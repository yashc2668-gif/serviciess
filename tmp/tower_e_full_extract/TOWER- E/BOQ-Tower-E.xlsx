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0" windowWidth="20490" windowHeight="7755" tabRatio="937" firstSheet="2" activeTab="2"/>
  </bookViews>
  <sheets>
    <sheet name="Budget Tower-E" sheetId="1" state="hidden" r:id="rId1"/>
    <sheet name="Schedule-Tower-E" sheetId="2" state="hidden" r:id="rId2"/>
    <sheet name="BOQ" sheetId="3" r:id="rId3"/>
    <sheet name="Sheet6" sheetId="5" state="hidden" r:id="rId4"/>
    <sheet name="Summary" sheetId="6" state="hidden" r:id="rId5"/>
    <sheet name="Sheet2" sheetId="17" state="hidden"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s>
  <definedNames>
    <definedName name="\" hidden="1">{#N/A,#N/A,TRUE,"Front";#N/A,#N/A,TRUE,"Simple Letter";#N/A,#N/A,TRUE,"Inside";#N/A,#N/A,TRUE,"Contents";#N/A,#N/A,TRUE,"Basis";#N/A,#N/A,TRUE,"Inclusions";#N/A,#N/A,TRUE,"Exclusions";#N/A,#N/A,TRUE,"Areas";#N/A,#N/A,TRUE,"Summary";#N/A,#N/A,TRUE,"Detail"}</definedName>
    <definedName name="______________________cat12" hidden="1">{#N/A,#N/A,TRUE,"Front";#N/A,#N/A,TRUE,"Simple Letter";#N/A,#N/A,TRUE,"Inside";#N/A,#N/A,TRUE,"Contents";#N/A,#N/A,TRUE,"Basis";#N/A,#N/A,TRUE,"Inclusions";#N/A,#N/A,TRUE,"Exclusions";#N/A,#N/A,TRUE,"Areas";#N/A,#N/A,TRUE,"Summary";#N/A,#N/A,TRUE,"Detail"}</definedName>
    <definedName name="____________________cat12" hidden="1">{#N/A,#N/A,TRUE,"Front";#N/A,#N/A,TRUE,"Simple Letter";#N/A,#N/A,TRUE,"Inside";#N/A,#N/A,TRUE,"Contents";#N/A,#N/A,TRUE,"Basis";#N/A,#N/A,TRUE,"Inclusions";#N/A,#N/A,TRUE,"Exclusions";#N/A,#N/A,TRUE,"Areas";#N/A,#N/A,TRUE,"Summary";#N/A,#N/A,TRUE,"Detail"}</definedName>
    <definedName name="__________________cat12" hidden="1">{#N/A,#N/A,TRUE,"Front";#N/A,#N/A,TRUE,"Simple Letter";#N/A,#N/A,TRUE,"Inside";#N/A,#N/A,TRUE,"Contents";#N/A,#N/A,TRUE,"Basis";#N/A,#N/A,TRUE,"Inclusions";#N/A,#N/A,TRUE,"Exclusions";#N/A,#N/A,TRUE,"Areas";#N/A,#N/A,TRUE,"Summary";#N/A,#N/A,TRUE,"Detail"}</definedName>
    <definedName name="_________________cat12" hidden="1">{#N/A,#N/A,TRUE,"Front";#N/A,#N/A,TRUE,"Simple Letter";#N/A,#N/A,TRUE,"Inside";#N/A,#N/A,TRUE,"Contents";#N/A,#N/A,TRUE,"Basis";#N/A,#N/A,TRUE,"Inclusions";#N/A,#N/A,TRUE,"Exclusions";#N/A,#N/A,TRUE,"Areas";#N/A,#N/A,TRUE,"Summary";#N/A,#N/A,TRUE,"Detail"}</definedName>
    <definedName name="________________cat12" hidden="1">{#N/A,#N/A,TRUE,"Front";#N/A,#N/A,TRUE,"Simple Letter";#N/A,#N/A,TRUE,"Inside";#N/A,#N/A,TRUE,"Contents";#N/A,#N/A,TRUE,"Basis";#N/A,#N/A,TRUE,"Inclusions";#N/A,#N/A,TRUE,"Exclusions";#N/A,#N/A,TRUE,"Areas";#N/A,#N/A,TRUE,"Summary";#N/A,#N/A,TRUE,"Detail"}</definedName>
    <definedName name="_______________cat12" hidden="1">{#N/A,#N/A,TRUE,"Front";#N/A,#N/A,TRUE,"Simple Letter";#N/A,#N/A,TRUE,"Inside";#N/A,#N/A,TRUE,"Contents";#N/A,#N/A,TRUE,"Basis";#N/A,#N/A,TRUE,"Inclusions";#N/A,#N/A,TRUE,"Exclusions";#N/A,#N/A,TRUE,"Areas";#N/A,#N/A,TRUE,"Summary";#N/A,#N/A,TRUE,"Detail"}</definedName>
    <definedName name="______________cat12" hidden="1">{#N/A,#N/A,TRUE,"Front";#N/A,#N/A,TRUE,"Simple Letter";#N/A,#N/A,TRUE,"Inside";#N/A,#N/A,TRUE,"Contents";#N/A,#N/A,TRUE,"Basis";#N/A,#N/A,TRUE,"Inclusions";#N/A,#N/A,TRUE,"Exclusions";#N/A,#N/A,TRUE,"Areas";#N/A,#N/A,TRUE,"Summary";#N/A,#N/A,TRUE,"Detail"}</definedName>
    <definedName name="_____________cat12" hidden="1">{#N/A,#N/A,TRUE,"Front";#N/A,#N/A,TRUE,"Simple Letter";#N/A,#N/A,TRUE,"Inside";#N/A,#N/A,TRUE,"Contents";#N/A,#N/A,TRUE,"Basis";#N/A,#N/A,TRUE,"Inclusions";#N/A,#N/A,TRUE,"Exclusions";#N/A,#N/A,TRUE,"Areas";#N/A,#N/A,TRUE,"Summary";#N/A,#N/A,TRUE,"Detail"}</definedName>
    <definedName name="____________cat12" hidden="1">{#N/A,#N/A,TRUE,"Front";#N/A,#N/A,TRUE,"Simple Letter";#N/A,#N/A,TRUE,"Inside";#N/A,#N/A,TRUE,"Contents";#N/A,#N/A,TRUE,"Basis";#N/A,#N/A,TRUE,"Inclusions";#N/A,#N/A,TRUE,"Exclusions";#N/A,#N/A,TRUE,"Areas";#N/A,#N/A,TRUE,"Summary";#N/A,#N/A,TRUE,"Detail"}</definedName>
    <definedName name="__________cat12" hidden="1">{#N/A,#N/A,TRUE,"Front";#N/A,#N/A,TRUE,"Simple Letter";#N/A,#N/A,TRUE,"Inside";#N/A,#N/A,TRUE,"Contents";#N/A,#N/A,TRUE,"Basis";#N/A,#N/A,TRUE,"Inclusions";#N/A,#N/A,TRUE,"Exclusions";#N/A,#N/A,TRUE,"Areas";#N/A,#N/A,TRUE,"Summary";#N/A,#N/A,TRUE,"Detail"}</definedName>
    <definedName name="_________cat12" hidden="1">{#N/A,#N/A,TRUE,"Front";#N/A,#N/A,TRUE,"Simple Letter";#N/A,#N/A,TRUE,"Inside";#N/A,#N/A,TRUE,"Contents";#N/A,#N/A,TRUE,"Basis";#N/A,#N/A,TRUE,"Inclusions";#N/A,#N/A,TRUE,"Exclusions";#N/A,#N/A,TRUE,"Areas";#N/A,#N/A,TRUE,"Summary";#N/A,#N/A,TRUE,"Detail"}</definedName>
    <definedName name="________cat12" hidden="1">{#N/A,#N/A,TRUE,"Front";#N/A,#N/A,TRUE,"Simple Letter";#N/A,#N/A,TRUE,"Inside";#N/A,#N/A,TRUE,"Contents";#N/A,#N/A,TRUE,"Basis";#N/A,#N/A,TRUE,"Inclusions";#N/A,#N/A,TRUE,"Exclusions";#N/A,#N/A,TRUE,"Areas";#N/A,#N/A,TRUE,"Summary";#N/A,#N/A,TRUE,"Detail"}</definedName>
    <definedName name="_______cat12" hidden="1">{#N/A,#N/A,TRUE,"Front";#N/A,#N/A,TRUE,"Simple Letter";#N/A,#N/A,TRUE,"Inside";#N/A,#N/A,TRUE,"Contents";#N/A,#N/A,TRUE,"Basis";#N/A,#N/A,TRUE,"Inclusions";#N/A,#N/A,TRUE,"Exclusions";#N/A,#N/A,TRUE,"Areas";#N/A,#N/A,TRUE,"Summary";#N/A,#N/A,TRUE,"Detail"}</definedName>
    <definedName name="______cat12" hidden="1">{#N/A,#N/A,TRUE,"Front";#N/A,#N/A,TRUE,"Simple Letter";#N/A,#N/A,TRUE,"Inside";#N/A,#N/A,TRUE,"Contents";#N/A,#N/A,TRUE,"Basis";#N/A,#N/A,TRUE,"Inclusions";#N/A,#N/A,TRUE,"Exclusions";#N/A,#N/A,TRUE,"Areas";#N/A,#N/A,TRUE,"Summary";#N/A,#N/A,TRUE,"Detail"}</definedName>
    <definedName name="_____cat12" hidden="1">{#N/A,#N/A,TRUE,"Front";#N/A,#N/A,TRUE,"Simple Letter";#N/A,#N/A,TRUE,"Inside";#N/A,#N/A,TRUE,"Contents";#N/A,#N/A,TRUE,"Basis";#N/A,#N/A,TRUE,"Inclusions";#N/A,#N/A,TRUE,"Exclusions";#N/A,#N/A,TRUE,"Areas";#N/A,#N/A,TRUE,"Summary";#N/A,#N/A,TRUE,"Detail"}</definedName>
    <definedName name="____cat12" hidden="1">{#N/A,#N/A,TRUE,"Front";#N/A,#N/A,TRUE,"Simple Letter";#N/A,#N/A,TRUE,"Inside";#N/A,#N/A,TRUE,"Contents";#N/A,#N/A,TRUE,"Basis";#N/A,#N/A,TRUE,"Inclusions";#N/A,#N/A,TRUE,"Exclusions";#N/A,#N/A,TRUE,"Areas";#N/A,#N/A,TRUE,"Summary";#N/A,#N/A,TRUE,"Detail"}</definedName>
    <definedName name="____ML1">'[1]Material List '!$M$4:$M$5</definedName>
    <definedName name="___cat12" hidden="1">{#N/A,#N/A,TRUE,"Front";#N/A,#N/A,TRUE,"Simple Letter";#N/A,#N/A,TRUE,"Inside";#N/A,#N/A,TRUE,"Contents";#N/A,#N/A,TRUE,"Basis";#N/A,#N/A,TRUE,"Inclusions";#N/A,#N/A,TRUE,"Exclusions";#N/A,#N/A,TRUE,"Areas";#N/A,#N/A,TRUE,"Summary";#N/A,#N/A,TRUE,"Detail"}</definedName>
    <definedName name="___hp10" hidden="1">{#N/A,#N/A,TRUE,"Front";#N/A,#N/A,TRUE,"Simple Letter";#N/A,#N/A,TRUE,"Inside";#N/A,#N/A,TRUE,"Contents";#N/A,#N/A,TRUE,"Basis";#N/A,#N/A,TRUE,"Inclusions";#N/A,#N/A,TRUE,"Exclusions";#N/A,#N/A,TRUE,"Areas";#N/A,#N/A,TRUE,"Summary";#N/A,#N/A,TRUE,"Detail"}</definedName>
    <definedName name="___ph1">[2]NPV!$B$40</definedName>
    <definedName name="___xlfn.BAHTTEXT" hidden="1">#NAME?</definedName>
    <definedName name="__123Graph_A" hidden="1">'[3]1'!$D$20:$D$31</definedName>
    <definedName name="__123Graph_ACURVE" hidden="1">'[3]1'!$D$20:$D$31</definedName>
    <definedName name="__123Graph_APAY" hidden="1">'[3]1'!$I$20:$I$46</definedName>
    <definedName name="__123Graph_X" hidden="1">'[3]1'!$B$20:$B$31</definedName>
    <definedName name="__123Graph_XCURVE" hidden="1">'[3]1'!$B$20:$B$31</definedName>
    <definedName name="__123Graph_XPAY" hidden="1">'[3]1'!$B$20:$B$46</definedName>
    <definedName name="__aoc1">'[4]01'!$H$43</definedName>
    <definedName name="__aoc10">#N/A</definedName>
    <definedName name="__aoc11">#REF!</definedName>
    <definedName name="__aoc2">'[4]02'!$H$24</definedName>
    <definedName name="__aoc3">'[4]03'!$H$21</definedName>
    <definedName name="__aoc4">'[4]04'!$H$33</definedName>
    <definedName name="__aoc7">#REF!</definedName>
    <definedName name="__aoc8">#REF!</definedName>
    <definedName name="__aoc9">#REF!</definedName>
    <definedName name="__cat12" hidden="1">{#N/A,#N/A,TRUE,"Front";#N/A,#N/A,TRUE,"Simple Letter";#N/A,#N/A,TRUE,"Inside";#N/A,#N/A,TRUE,"Contents";#N/A,#N/A,TRUE,"Basis";#N/A,#N/A,TRUE,"Inclusions";#N/A,#N/A,TRUE,"Exclusions";#N/A,#N/A,TRUE,"Areas";#N/A,#N/A,TRUE,"Summary";#N/A,#N/A,TRUE,"Detail"}</definedName>
    <definedName name="__FDS_HYPERLINK_TOGGLE_STATE__" hidden="1">"ON"</definedName>
    <definedName name="__hp10" hidden="1">{#N/A,#N/A,TRUE,"Front";#N/A,#N/A,TRUE,"Simple Letter";#N/A,#N/A,TRUE,"Inside";#N/A,#N/A,TRUE,"Contents";#N/A,#N/A,TRUE,"Basis";#N/A,#N/A,TRUE,"Inclusions";#N/A,#N/A,TRUE,"Exclusions";#N/A,#N/A,TRUE,"Areas";#N/A,#N/A,TRUE,"Summary";#N/A,#N/A,TRUE,"Detail"}</definedName>
    <definedName name="__IntlFixup" hidden="1">TRUE</definedName>
    <definedName name="__IntlFixupTable" hidden="1">#REF!</definedName>
    <definedName name="__ph1">[2]NPV!$B$40</definedName>
    <definedName name="__vut02533">#REF!</definedName>
    <definedName name="__xlfn.BAHTTEXT" hidden="1">#NAME?</definedName>
    <definedName name="__xlnm.Print_Area">"$#REF!.$A$2:$I$161"</definedName>
    <definedName name="__xlnm.Print_Area_1">#REF!</definedName>
    <definedName name="__xlnm.Print_Area_10">#REF!</definedName>
    <definedName name="__xlnm.Print_Area_11">#REF!</definedName>
    <definedName name="__xlnm.Print_Area_12">#REF!</definedName>
    <definedName name="__xlnm.Print_Area_13">#REF!</definedName>
    <definedName name="__xlnm.Print_Area_14">#REF!</definedName>
    <definedName name="__xlnm.Print_Area_15">#REF!</definedName>
    <definedName name="__xlnm.Print_Area_16">#REF!</definedName>
    <definedName name="__xlnm.Print_Area_17">#REF!</definedName>
    <definedName name="__xlnm.Print_Area_18">#REF!</definedName>
    <definedName name="__xlnm.Print_Area_19">#REF!</definedName>
    <definedName name="__xlnm.Print_Area_2">#REF!</definedName>
    <definedName name="__xlnm.Print_Area_20">#REF!</definedName>
    <definedName name="__xlnm.Print_Area_22">#REF!</definedName>
    <definedName name="__xlnm.Print_Area_25">#REF!</definedName>
    <definedName name="__xlnm.Print_Area_26">#REF!</definedName>
    <definedName name="__xlnm.Print_Area_27">#REF!</definedName>
    <definedName name="__xlnm.Print_Area_3">#REF!</definedName>
    <definedName name="__xlnm.Print_Area_4">#REF!</definedName>
    <definedName name="__xlnm.Print_Area_5">#REF!</definedName>
    <definedName name="__xlnm.Print_Area_6">#REF!</definedName>
    <definedName name="__xlnm.Print_Area_8">#REF!</definedName>
    <definedName name="__xlnm.Print_Area_9">#REF!</definedName>
    <definedName name="__xlnm.Print_Titles">#N/A</definedName>
    <definedName name="__xlnm.Print_Titles_1">"$'Soft landscape'.$A$4:$AMJ$5"</definedName>
    <definedName name="__xlnm.Print_Titles_10">#REF!</definedName>
    <definedName name="__xlnm.Print_Titles_11">#REF!</definedName>
    <definedName name="__xlnm.Print_Titles_12">#REF!</definedName>
    <definedName name="__xlnm.Print_Titles_14">#REF!</definedName>
    <definedName name="__xlnm.Print_Titles_15">#REF!</definedName>
    <definedName name="__xlnm.Print_Titles_16">#REF!</definedName>
    <definedName name="__xlnm.Print_Titles_17">#REF!</definedName>
    <definedName name="__xlnm.Print_Titles_18">#REF!</definedName>
    <definedName name="__xlnm.Print_Titles_19">#REF!</definedName>
    <definedName name="__xlnm.Print_Titles_2">#REF!</definedName>
    <definedName name="__xlnm.Print_Titles_20">#REF!</definedName>
    <definedName name="__xlnm.Print_Titles_22">#REF!</definedName>
    <definedName name="__xlnm.Print_Titles_23">#REF!</definedName>
    <definedName name="__xlnm.Print_Titles_24">#REF!</definedName>
    <definedName name="__xlnm.Print_Titles_27">#REF!</definedName>
    <definedName name="__xlnm.Print_Titles_3">#REF!</definedName>
    <definedName name="__xlnm.Print_Titles_4">#REF!</definedName>
    <definedName name="__xlnm.Print_Titles_5">#REF!</definedName>
    <definedName name="__xlnm.Print_Titles_6">#REF!</definedName>
    <definedName name="__xlnm.Print_Titles_7">#REF!</definedName>
    <definedName name="__xlnm.Print_Titles_8">#REF!</definedName>
    <definedName name="__xlnm.Print_Titles_9">#REF!</definedName>
    <definedName name="_06_26_03">'[5]MASTER_RATE ANALYSIS'!$B$188:$G$188</definedName>
    <definedName name="_1">'[5]MASTER_RATE ANALYSIS'!$A$2477:$I$2907</definedName>
    <definedName name="_10">'[5]MASTER_RATE ANALYSIS'!$A$592:$H$619</definedName>
    <definedName name="_11">'[5]MASTER_RATE ANALYSIS'!$A$678:$H$700</definedName>
    <definedName name="_12">'[5]MASTER_RATE ANALYSIS'!$A$702:$H$724</definedName>
    <definedName name="_12Excel_BuiltIn_Print_Area_5_1_1">#REF!</definedName>
    <definedName name="_13">'[5]MASTER_RATE ANALYSIS'!$A$726:$H$748</definedName>
    <definedName name="_14">'[5]MASTER_RATE ANALYSIS'!$A$773:$H$794</definedName>
    <definedName name="_15">'[5]MASTER_RATE ANALYSIS'!$A$796:$H$817</definedName>
    <definedName name="_16">'[5]MASTER_RATE ANALYSIS'!$A$845:$H$871</definedName>
    <definedName name="_166Headings_4_1">[6]Headings!$A$2:$K$123</definedName>
    <definedName name="_17">'[5]MASTER_RATE ANALYSIS'!$A$874:$H$899</definedName>
    <definedName name="_18">'[5]MASTER_RATE ANALYSIS'!$A$901:$H$922</definedName>
    <definedName name="_19">'[5]MASTER_RATE ANALYSIS'!$A$924:$H$950</definedName>
    <definedName name="_1Excel_BuiltIn_Print_Area_5_1_1">#REF!</definedName>
    <definedName name="_2">'[5]MASTER_RATE ANALYSIS'!$A$380:$H$402</definedName>
    <definedName name="_20">'[5]MASTER_RATE ANALYSIS'!$A$952:$H$978</definedName>
    <definedName name="_21">'[5]MASTER_RATE ANALYSIS'!$A$980:$H$1009</definedName>
    <definedName name="_22">'[5]MASTER_RATE ANALYSIS'!$A$1033:$H$1053</definedName>
    <definedName name="_23">'[5]MASTER_RATE ANALYSIS'!$A$1055:$H$1081</definedName>
    <definedName name="_24">'[5]MASTER_RATE ANALYSIS'!$A$1110:$H$1132</definedName>
    <definedName name="_25">'[5]MASTER_RATE ANALYSIS'!$A$1134:$H$1153</definedName>
    <definedName name="_26">'[5]MASTER_RATE ANALYSIS'!$A$1155:$H$1176</definedName>
    <definedName name="_27">'[5]MASTER_RATE ANALYSIS'!$A$1178:$H$1205</definedName>
    <definedName name="_28">'[5]MASTER_RATE ANALYSIS'!$A$1207:$H$1229</definedName>
    <definedName name="_29">'[5]MASTER_RATE ANALYSIS'!$A$1641:$H$1666</definedName>
    <definedName name="_3">'[5]MASTER_RATE ANALYSIS'!$A$404:$H$424</definedName>
    <definedName name="_30">'[5]MASTER_RATE ANALYSIS'!$A$1668:$H$1692</definedName>
    <definedName name="_31">'[5]MASTER_RATE ANALYSIS'!$A$1282:$H$1304</definedName>
    <definedName name="_32">'[5]MASTER_RATE ANALYSIS'!$A$1359:$H$1380</definedName>
    <definedName name="_33">'[5]MASTER_RATE ANALYSIS'!$A$1383:$H$1405</definedName>
    <definedName name="_34">'[5]MASTER_RATE ANALYSIS'!$A$1407:$H$1429</definedName>
    <definedName name="_35">'[5]MASTER_RATE ANALYSIS'!$A$1563:$H$1588</definedName>
    <definedName name="_36">'[5]MASTER_RATE ANALYSIS'!$A$1590:$H$1611</definedName>
    <definedName name="_37">'[5]MASTER_RATE ANALYSIS'!$A$1613:$H$1639</definedName>
    <definedName name="_38">'[5]MASTER_RATE ANALYSIS'!$A$1694:$H$1716</definedName>
    <definedName name="_39">'[5]MASTER_RATE ANALYSIS'!$A$1769:$H$1792</definedName>
    <definedName name="_4">'[5]MASTER_RATE ANALYSIS'!$A$426:$H$448</definedName>
    <definedName name="_40">'[5]MASTER_RATE ANALYSIS'!$A$1794:$H$1816</definedName>
    <definedName name="_41">'[5]MASTER_RATE ANALYSIS'!$A$1431:$H$1456</definedName>
    <definedName name="_42">'[5]MASTER_RATE ANALYSIS'!$A$1458:$H$1482</definedName>
    <definedName name="_43">'[5]MASTER_RATE ANALYSIS'!$A$1818:$H$1840</definedName>
    <definedName name="_44">'[5]MASTER_RATE ANALYSIS'!$A$1537:$H$1561</definedName>
    <definedName name="_45">'[5]MASTER_RATE ANALYSIS'!$A$1842:$H$1864</definedName>
    <definedName name="_46">'[5]MASTER_RATE ANALYSIS'!$A$1866:$H$1889</definedName>
    <definedName name="_47">'[5]MASTER_RATE ANALYSIS'!$A$1913:$H$1938</definedName>
    <definedName name="_48">'[5]MASTER_RATE ANALYSIS'!$A$1940:$H$1962</definedName>
    <definedName name="_49">'[5]MASTER_RATE ANALYSIS'!$A$1964:$H$1986</definedName>
    <definedName name="_5">'[5]MASTER_RATE ANALYSIS'!$A$474:$H$495</definedName>
    <definedName name="_50">'[5]MASTER_RATE ANALYSIS'!$A$1988:$H$2010</definedName>
    <definedName name="_51">'[5]MASTER_RATE ANALYSIS'!$A$2012:$H$2037</definedName>
    <definedName name="_52">'[5]MASTER_RATE ANALYSIS'!$A$2039:$H$2060</definedName>
    <definedName name="_53">'[5]MASTER_RATE ANALYSIS'!$A$2062:$H$2086</definedName>
    <definedName name="_54">'[5]MASTER_RATE ANALYSIS'!$A$2089:$H$2112</definedName>
    <definedName name="_55">'[5]MASTER_RATE ANALYSIS'!$A$2115:$H$2138</definedName>
    <definedName name="_56">'[5]MASTER_RATE ANALYSIS'!$A$2140:$H$2163</definedName>
    <definedName name="_56Headings_4_1">[6]Headings!$A$2:$K$123</definedName>
    <definedName name="_57">'[5]MASTER_RATE ANALYSIS'!$A$2165:$H$2187</definedName>
    <definedName name="_58">'[5]MASTER_RATE ANALYSIS'!$A$2190:$H$2214</definedName>
    <definedName name="_59">'[5]MASTER_RATE ANALYSIS'!$A$2216:$H$2242</definedName>
    <definedName name="_6">'[5]MASTER_RATE ANALYSIS'!$A$497:$H$518</definedName>
    <definedName name="_60">'[5]MASTER_RATE ANALYSIS'!$A$2244:$H$2272</definedName>
    <definedName name="_61">'[5]MASTER_RATE ANALYSIS'!$A$2303:$H$2331</definedName>
    <definedName name="_62">'[5]MASTER_RATE ANALYSIS'!$A$2333:$H$2361</definedName>
    <definedName name="_63">'[5]MASTER_RATE ANALYSIS'!$A$2363:$H$2391</definedName>
    <definedName name="_64">'[5]MASTER_RATE ANALYSIS'!$A$2393:$H$2418</definedName>
    <definedName name="_65">'[5]MASTER_RATE ANALYSIS'!$A$2420:$H$2447</definedName>
    <definedName name="_66">'[5]MASTER_RATE ANALYSIS'!$A$2449:$H$2476</definedName>
    <definedName name="_67">'[5]MASTER_RATE ANALYSIS'!$A$2504:$H$2551</definedName>
    <definedName name="_68">'[5]MASTER_RATE ANALYSIS'!$A$2553:$H$2601</definedName>
    <definedName name="_69">'[5]MASTER_RATE ANALYSIS'!$A$2603:$H$2648</definedName>
    <definedName name="_7">'[5]MASTER_RATE ANALYSIS'!$A$520:$H$541</definedName>
    <definedName name="_70">'[5]MASTER_RATE ANALYSIS'!$A$2650:$H$2697</definedName>
    <definedName name="_71">'[5]MASTER_RATE ANALYSIS'!$A$2699:$H$2748</definedName>
    <definedName name="_72">'[5]MASTER_RATE ANALYSIS'!$A$2750:$H$2795</definedName>
    <definedName name="_73">'[5]MASTER_RATE ANALYSIS'!$A$2478:$H$2502</definedName>
    <definedName name="_74">'[5]MASTER_RATE ANALYSIS'!$A$2797:$H$2822</definedName>
    <definedName name="_75">'[5]MASTER_RATE ANALYSIS'!$A$2879:$H$2909</definedName>
    <definedName name="_8">'[5]MASTER_RATE ANALYSIS'!$A$544:$H$566</definedName>
    <definedName name="_9">'[5]MASTER_RATE ANALYSIS'!$A$568:$H$590</definedName>
    <definedName name="_aoc1">'[7]01'!$I$31</definedName>
    <definedName name="_aoc10">#REF!</definedName>
    <definedName name="_aoc11">#REF!</definedName>
    <definedName name="_aoc2">'[7]02'!$I$21</definedName>
    <definedName name="_aoc3">'[7]03'!$I$21</definedName>
    <definedName name="_aoc7">#REF!</definedName>
    <definedName name="_aoc8">#REF!</definedName>
    <definedName name="_aoc9">#REF!</definedName>
    <definedName name="_B98518">#REF!</definedName>
    <definedName name="_cat12" hidden="1">{#N/A,#N/A,TRUE,"Front";#N/A,#N/A,TRUE,"Simple Letter";#N/A,#N/A,TRUE,"Inside";#N/A,#N/A,TRUE,"Contents";#N/A,#N/A,TRUE,"Basis";#N/A,#N/A,TRUE,"Inclusions";#N/A,#N/A,TRUE,"Exclusions";#N/A,#N/A,TRUE,"Areas";#N/A,#N/A,TRUE,"Summary";#N/A,#N/A,TRUE,"Detail"}</definedName>
    <definedName name="_e772">#REF!</definedName>
    <definedName name="_Fill" hidden="1">#REF!</definedName>
    <definedName name="_xlnm._FilterDatabase" hidden="1">'[8]SP Break Up'!$A$6:$I$39</definedName>
    <definedName name="_g147114">#REF!</definedName>
    <definedName name="_hp10" hidden="1">{#N/A,#N/A,TRUE,"Front";#N/A,#N/A,TRUE,"Simple Letter";#N/A,#N/A,TRUE,"Inside";#N/A,#N/A,TRUE,"Contents";#N/A,#N/A,TRUE,"Basis";#N/A,#N/A,TRUE,"Inclusions";#N/A,#N/A,TRUE,"Exclusions";#N/A,#N/A,TRUE,"Areas";#N/A,#N/A,TRUE,"Summary";#N/A,#N/A,TRUE,"Detail"}</definedName>
    <definedName name="_ll17">#REF!</definedName>
    <definedName name="_ML1">'[9]Material List '!$M$4:$M$6</definedName>
    <definedName name="_np3">'[10]Material '!$G$50</definedName>
    <definedName name="_Order1" hidden="1">0</definedName>
    <definedName name="_Order2" hidden="1">0</definedName>
    <definedName name="_ph1">[2]NPV!$B$40</definedName>
    <definedName name="_ra4">#REF!</definedName>
    <definedName name="_Ra6">#REF!</definedName>
    <definedName name="_s056">#REF!</definedName>
    <definedName name="_s0564">#REF!</definedName>
    <definedName name="_s105640">#REF!</definedName>
    <definedName name="_s12">#REF!</definedName>
    <definedName name="_s15604">#REF!</definedName>
    <definedName name="_s1564">#REF!</definedName>
    <definedName name="_s4560">#REF!</definedName>
    <definedName name="_s45620">#REF!</definedName>
    <definedName name="_s560">#REF!</definedName>
    <definedName name="_sep05">#REF!</definedName>
    <definedName name="_sls5">#REF!</definedName>
    <definedName name="_TB2">'[11]SPT vs PHI'!$B$2:$C$65</definedName>
    <definedName name="_vut02533">#REF!</definedName>
    <definedName name="a" hidden="1">{"'AC LOAD'!$H$14:$J$15"}</definedName>
    <definedName name="a0">#REF!</definedName>
    <definedName name="A1595H50">'[12]BLOCK-A (MEA.SHEET)'!$A$1596</definedName>
    <definedName name="aa">#REF!</definedName>
    <definedName name="AA.Report.Files" hidden="1">#REF!</definedName>
    <definedName name="AA.Reports.Available" hidden="1">#REF!</definedName>
    <definedName name="AAA" hidden="1">{#N/A,#N/A,TRUE,"Front";#N/A,#N/A,TRUE,"Simple Letter";#N/A,#N/A,TRUE,"Inside";#N/A,#N/A,TRUE,"Contents";#N/A,#N/A,TRUE,"Basis";#N/A,#N/A,TRUE,"Inclusions";#N/A,#N/A,TRUE,"Exclusions";#N/A,#N/A,TRUE,"Areas";#N/A,#N/A,TRUE,"Summary";#N/A,#N/A,TRUE,"Detail"}</definedName>
    <definedName name="aaaa">#REF!</definedName>
    <definedName name="aaaaaaa">'[13]Beams-Basement Roof T-22'!$V$2</definedName>
    <definedName name="AB" hidden="1">{"'AC LOAD'!$H$14:$J$15"}</definedName>
    <definedName name="abc">#REF!</definedName>
    <definedName name="ABCD">'[14]Back_Cal_for OMC'!$A$42:$B$45</definedName>
    <definedName name="acBridge">#REF!</definedName>
    <definedName name="AccessDatabase" hidden="1">"D:\VOLTAGE DROP FOR THREE PHASE.mdb"</definedName>
    <definedName name="aDADaAXasdE">'[4]01'!$H$43</definedName>
    <definedName name="ADD">#REF!</definedName>
    <definedName name="AE">#REF!</definedName>
    <definedName name="aggr10">#REF!</definedName>
    <definedName name="aggr11">#REF!</definedName>
    <definedName name="aggr13">#REF!</definedName>
    <definedName name="aggr2">#REF!</definedName>
    <definedName name="aggr2.36">#REF!</definedName>
    <definedName name="aggr20">#REF!</definedName>
    <definedName name="aggr22">#REF!</definedName>
    <definedName name="aggr26">#REF!</definedName>
    <definedName name="aggr40">#REF!</definedName>
    <definedName name="aggr53">#REF!</definedName>
    <definedName name="aggr6">#REF!</definedName>
    <definedName name="aggr63">#REF!</definedName>
    <definedName name="AGN">#REF!</definedName>
    <definedName name="agrr10">#REF!</definedName>
    <definedName name="agrr63mm">#REF!</definedName>
    <definedName name="aja">#REF!</definedName>
    <definedName name="AJAY">#REF!</definedName>
    <definedName name="an">#REF!</definedName>
    <definedName name="Analysis4">[15]labour!$C$7</definedName>
    <definedName name="ANGLE_CLEAT">'[16]Unit Weight'!$B$12</definedName>
    <definedName name="ankit">#REF!</definedName>
    <definedName name="anscount" hidden="1">1</definedName>
    <definedName name="anu">#REF!</definedName>
    <definedName name="anuj101" hidden="1">{#N/A,#N/A,TRUE,"Front";#N/A,#N/A,TRUE,"Simple Letter";#N/A,#N/A,TRUE,"Inside";#N/A,#N/A,TRUE,"Contents";#N/A,#N/A,TRUE,"Basis";#N/A,#N/A,TRUE,"Inclusions";#N/A,#N/A,TRUE,"Exclusions";#N/A,#N/A,TRUE,"Areas";#N/A,#N/A,TRUE,"Summary";#N/A,#N/A,TRUE,"Detail"}</definedName>
    <definedName name="anuj102" hidden="1">{#N/A,#N/A,TRUE,"Front";#N/A,#N/A,TRUE,"Simple Letter";#N/A,#N/A,TRUE,"Inside";#N/A,#N/A,TRUE,"Contents";#N/A,#N/A,TRUE,"Basis";#N/A,#N/A,TRUE,"Inclusions";#N/A,#N/A,TRUE,"Exclusions";#N/A,#N/A,TRUE,"Areas";#N/A,#N/A,TRUE,"Summary";#N/A,#N/A,TRUE,"Detail"}</definedName>
    <definedName name="anuj103" hidden="1">{#N/A,#N/A,TRUE,"Front";#N/A,#N/A,TRUE,"Simple Letter";#N/A,#N/A,TRUE,"Inside";#N/A,#N/A,TRUE,"Contents";#N/A,#N/A,TRUE,"Basis";#N/A,#N/A,TRUE,"Inclusions";#N/A,#N/A,TRUE,"Exclusions";#N/A,#N/A,TRUE,"Areas";#N/A,#N/A,TRUE,"Summary";#N/A,#N/A,TRUE,"Detail"}</definedName>
    <definedName name="anuj104" hidden="1">{#N/A,#N/A,TRUE,"Front";#N/A,#N/A,TRUE,"Simple Letter";#N/A,#N/A,TRUE,"Inside";#N/A,#N/A,TRUE,"Contents";#N/A,#N/A,TRUE,"Basis";#N/A,#N/A,TRUE,"Inclusions";#N/A,#N/A,TRUE,"Exclusions";#N/A,#N/A,TRUE,"Areas";#N/A,#N/A,TRUE,"Summary";#N/A,#N/A,TRUE,"Detail"}</definedName>
    <definedName name="anuj105" hidden="1">{#N/A,#N/A,TRUE,"Front";#N/A,#N/A,TRUE,"Simple Letter";#N/A,#N/A,TRUE,"Inside";#N/A,#N/A,TRUE,"Contents";#N/A,#N/A,TRUE,"Basis";#N/A,#N/A,TRUE,"Inclusions";#N/A,#N/A,TRUE,"Exclusions";#N/A,#N/A,TRUE,"Areas";#N/A,#N/A,TRUE,"Summary";#N/A,#N/A,TRUE,"Detail"}</definedName>
    <definedName name="anuj12" hidden="1">{#N/A,#N/A,TRUE,"Front";#N/A,#N/A,TRUE,"Simple Letter";#N/A,#N/A,TRUE,"Inside";#N/A,#N/A,TRUE,"Contents";#N/A,#N/A,TRUE,"Basis";#N/A,#N/A,TRUE,"Inclusions";#N/A,#N/A,TRUE,"Exclusions";#N/A,#N/A,TRUE,"Areas";#N/A,#N/A,TRUE,"Summary";#N/A,#N/A,TRUE,"Detail"}</definedName>
    <definedName name="anuj14" hidden="1">{#N/A,#N/A,TRUE,"Front";#N/A,#N/A,TRUE,"Simple Letter";#N/A,#N/A,TRUE,"Inside";#N/A,#N/A,TRUE,"Contents";#N/A,#N/A,TRUE,"Basis";#N/A,#N/A,TRUE,"Inclusions";#N/A,#N/A,TRUE,"Exclusions";#N/A,#N/A,TRUE,"Areas";#N/A,#N/A,TRUE,"Summary";#N/A,#N/A,TRUE,"Detail"}</definedName>
    <definedName name="anuj20" hidden="1">{#N/A,#N/A,TRUE,"Front";#N/A,#N/A,TRUE,"Simple Letter";#N/A,#N/A,TRUE,"Inside";#N/A,#N/A,TRUE,"Contents";#N/A,#N/A,TRUE,"Basis";#N/A,#N/A,TRUE,"Inclusions";#N/A,#N/A,TRUE,"Exclusions";#N/A,#N/A,TRUE,"Areas";#N/A,#N/A,TRUE,"Summary";#N/A,#N/A,TRUE,"Detail"}</definedName>
    <definedName name="anuj21" hidden="1">{#N/A,#N/A,TRUE,"Front";#N/A,#N/A,TRUE,"Simple Letter";#N/A,#N/A,TRUE,"Inside";#N/A,#N/A,TRUE,"Contents";#N/A,#N/A,TRUE,"Basis";#N/A,#N/A,TRUE,"Inclusions";#N/A,#N/A,TRUE,"Exclusions";#N/A,#N/A,TRUE,"Areas";#N/A,#N/A,TRUE,"Summary";#N/A,#N/A,TRUE,"Detail"}</definedName>
    <definedName name="anuj23" hidden="1">{#N/A,#N/A,TRUE,"Front";#N/A,#N/A,TRUE,"Simple Letter";#N/A,#N/A,TRUE,"Inside";#N/A,#N/A,TRUE,"Contents";#N/A,#N/A,TRUE,"Basis";#N/A,#N/A,TRUE,"Inclusions";#N/A,#N/A,TRUE,"Exclusions";#N/A,#N/A,TRUE,"Areas";#N/A,#N/A,TRUE,"Summary";#N/A,#N/A,TRUE,"Detail"}</definedName>
    <definedName name="anuj24" hidden="1">{#N/A,#N/A,TRUE,"Front";#N/A,#N/A,TRUE,"Simple Letter";#N/A,#N/A,TRUE,"Inside";#N/A,#N/A,TRUE,"Contents";#N/A,#N/A,TRUE,"Basis";#N/A,#N/A,TRUE,"Inclusions";#N/A,#N/A,TRUE,"Exclusions";#N/A,#N/A,TRUE,"Areas";#N/A,#N/A,TRUE,"Summary";#N/A,#N/A,TRUE,"Detail"}</definedName>
    <definedName name="anuj26" hidden="1">{#N/A,#N/A,TRUE,"Front";#N/A,#N/A,TRUE,"Simple Letter";#N/A,#N/A,TRUE,"Inside";#N/A,#N/A,TRUE,"Contents";#N/A,#N/A,TRUE,"Basis";#N/A,#N/A,TRUE,"Inclusions";#N/A,#N/A,TRUE,"Exclusions";#N/A,#N/A,TRUE,"Areas";#N/A,#N/A,TRUE,"Summary";#N/A,#N/A,TRUE,"Detail"}</definedName>
    <definedName name="anuj94" hidden="1">{#N/A,#N/A,TRUE,"Front";#N/A,#N/A,TRUE,"Simple Letter";#N/A,#N/A,TRUE,"Inside";#N/A,#N/A,TRUE,"Contents";#N/A,#N/A,TRUE,"Basis";#N/A,#N/A,TRUE,"Inclusions";#N/A,#N/A,TRUE,"Exclusions";#N/A,#N/A,TRUE,"Areas";#N/A,#N/A,TRUE,"Summary";#N/A,#N/A,TRUE,"Detail"}</definedName>
    <definedName name="anuj96" hidden="1">{#N/A,#N/A,TRUE,"Front";#N/A,#N/A,TRUE,"Simple Letter";#N/A,#N/A,TRUE,"Inside";#N/A,#N/A,TRUE,"Contents";#N/A,#N/A,TRUE,"Basis";#N/A,#N/A,TRUE,"Inclusions";#N/A,#N/A,TRUE,"Exclusions";#N/A,#N/A,TRUE,"Areas";#N/A,#N/A,TRUE,"Summary";#N/A,#N/A,TRUE,"Detail"}</definedName>
    <definedName name="approachslab">#REF!</definedName>
    <definedName name="Approved_Sum">[17]Sheet2!$I$499</definedName>
    <definedName name="ARCHITECT________M_s">'[5]MASTER_RATE ANALYSIS'!$B$186:$G$186</definedName>
    <definedName name="ard">#REF!</definedName>
    <definedName name="area">#REF!</definedName>
    <definedName name="AREAS_CA_CANOPY__WAREHOUSE">#REF!</definedName>
    <definedName name="AREAS_CB_Canteen_Building">#REF!</definedName>
    <definedName name="AREAS_CIPT_Tanker_CIP_Shed">#REF!</definedName>
    <definedName name="AREAS_CLRR_Contract_Labour_Rest_Room">#REF!</definedName>
    <definedName name="AREAS_CS_Chemical_Store">#REF!</definedName>
    <definedName name="AREAS_ETPC_ETP_Civil_Works">#REF!</definedName>
    <definedName name="AREAS_EX_EXTERNAL_WORKS">#REF!</definedName>
    <definedName name="AREAS_FC_Farmer_s_Conference">#REF!</definedName>
    <definedName name="AREAS_FU_Fumigation">#REF!</definedName>
    <definedName name="AREAS_GA_General_Area___Overall">#REF!</definedName>
    <definedName name="AREAS_GP_Guard_Posts">#REF!</definedName>
    <definedName name="AREAS_LS_LubeOil_Stores">#REF!</definedName>
    <definedName name="AREAS_MR_TB_Milk_Reception_Tanker_s_Bay">#REF!</definedName>
    <definedName name="AREAS_MTF_Milk_Tank_Foundations">#REF!</definedName>
    <definedName name="AREAS_PB_PROCESS_BUILDING">#REF!</definedName>
    <definedName name="AREAS_PR_Pipe_Racks">#REF!</definedName>
    <definedName name="AREAS_SR_2_Security_Room___2">#REF!</definedName>
    <definedName name="AREAS_SR_3_Store_Room">#REF!</definedName>
    <definedName name="AREAS_ST_Stacks_near_Utility_Buildings">#REF!</definedName>
    <definedName name="AREAS_SY_Scrap_Yard">#REF!</definedName>
    <definedName name="AREAS_TWW_Truck_Wheel_Wash">#REF!</definedName>
    <definedName name="AREAS_TY_Transformer_Yard">#REF!</definedName>
    <definedName name="AREAS_UB_UTILITY_BLOCK">#REF!</definedName>
    <definedName name="AREAS_WH_Ware_House_Area">#REF!</definedName>
    <definedName name="areatitle">#REF!</definedName>
    <definedName name="as">#REF!</definedName>
    <definedName name="AS2DocOpenMode" hidden="1">"AS2DocumentEdit"</definedName>
    <definedName name="AS2HasNoAutoHeaderFooter" hidden="1">" "</definedName>
    <definedName name="ASD">#REF!</definedName>
    <definedName name="asdsf">#REF!</definedName>
    <definedName name="ASE">#REF!</definedName>
    <definedName name="ass">#REF!</definedName>
    <definedName name="asw">#REF!</definedName>
    <definedName name="av3333333">#REF!</definedName>
    <definedName name="b" hidden="1">{"'AC LOAD'!$H$14:$J$15"}</definedName>
    <definedName name="ballies">'[10]Material '!$G$31</definedName>
    <definedName name="bargroup1" hidden="1">OR([18]SCHEDULE!$J1=20,[18]SCHEDULE!$J1=32,[18]SCHEDULE!$J1=33,[18]SCHEDULE!$J1=34,[18]SCHEDULE!$J1=35,[18]SCHEDULE!$J1=99)</definedName>
    <definedName name="bargroup2" hidden="1">OR([18]SCHEDULE!$J1=37,[18]SCHEDULE!$J1=61,[18]SCHEDULE!$J1=82,[18]SCHEDULE!$J1=77,[18]SCHEDULE!$J1=79)</definedName>
    <definedName name="bargroup3" hidden="1">OR([18]SCHEDULE!$J1=38,[18]SCHEDULE!$J1=62,[18]SCHEDULE!$J1=39,[18]SCHEDULE!$J1=54,[18]SCHEDULE!$J1=78,[18]SCHEDULE!$J1=87)</definedName>
    <definedName name="bargroup4" hidden="1">OR([18]SCHEDULE!$J1=41,[18]SCHEDULE!$J1=42,[18]SCHEDULE!$J1=45,[18]SCHEDULE!$J1=52,[18]SCHEDULE!$J1=85)</definedName>
    <definedName name="bargroup5" hidden="1">OR([18]SCHEDULE!$J1=43,[18]SCHEDULE!$J1=49,[18]SCHEDULE!$J1=53,[18]SCHEDULE!$J1=55)</definedName>
    <definedName name="bargroup6" hidden="1">[18]SCHEDULE!$J1=65</definedName>
    <definedName name="bargroup7" hidden="1">[18]SCHEDULE!$J1=51</definedName>
    <definedName name="Barkedasalam">#REF!</definedName>
    <definedName name="Barkhedabondar">#REF!</definedName>
    <definedName name="BASIC">'[5]MASTER_RATE ANALYSIS'!$A$1:$H$346</definedName>
    <definedName name="BB" hidden="1">{#N/A,#N/A,FALSE,"Organisation Chart"}</definedName>
    <definedName name="bbb">#REF!</definedName>
    <definedName name="bc">'[19]Beam T-12'!$U$3</definedName>
    <definedName name="bf">#REF!</definedName>
    <definedName name="bhistee">#REF!</definedName>
    <definedName name="bhisti">#REF!</definedName>
    <definedName name="bill" hidden="1">{"'AC LOAD'!$H$14:$J$15"}</definedName>
    <definedName name="bitumen">#REF!</definedName>
    <definedName name="bitumen6070">#REF!</definedName>
    <definedName name="bitumenboiler">#REF!</definedName>
    <definedName name="bitumenemul">#REF!</definedName>
    <definedName name="blacksmith">#REF!</definedName>
    <definedName name="blacksmithhelper">#REF!</definedName>
    <definedName name="blaster">#REF!</definedName>
    <definedName name="BLOCK">#REF!</definedName>
    <definedName name="Block1">#REF!</definedName>
    <definedName name="blocks">[20]Details!$K$5:$K$10</definedName>
    <definedName name="blocks_10">[20]Details!$K$5:$K$10</definedName>
    <definedName name="blocks_22">[20]Details!$K$5:$K$10</definedName>
    <definedName name="blocks_23">[20]Details!$K$5:$K$10</definedName>
    <definedName name="BM">#REF!</definedName>
    <definedName name="bondstone">'[10]Material '!$G$40</definedName>
    <definedName name="bose">#REF!</definedName>
    <definedName name="boulder">#REF!</definedName>
    <definedName name="bricks">#REF!</definedName>
    <definedName name="Bsalam">#REF!</definedName>
    <definedName name="BuiltIn_Print_Area___0">#REF!</definedName>
    <definedName name="BuiltIn_Print_Titles___0">#N/A</definedName>
    <definedName name="Button_1">"VOLTAGE_DROP_FOR_THREE_PHASE_Sheet2_List"</definedName>
    <definedName name="Button_5">"AS_PER_TALLY_31_09_04_ONYX_List"</definedName>
    <definedName name="Button_7">"AS_PER_TALLY_31_09_04_ONYX_List1"</definedName>
    <definedName name="Button_8">"AS_PER_TALLY_31_09_04_ONYX_List1"</definedName>
    <definedName name="C.C.Road">'[21]Gen Info'!$B$34:$B$57</definedName>
    <definedName name="C_">#N/A</definedName>
    <definedName name="carpenter">#REF!</definedName>
    <definedName name="carpenter1">#REF!</definedName>
    <definedName name="carpenter2">#REF!</definedName>
    <definedName name="carpenterI">#REF!</definedName>
    <definedName name="carpenterII">#REF!</definedName>
    <definedName name="cc">'[22]Beams-Basement Roof T-22'!$V$2</definedName>
    <definedName name="cccc">'[23]TBAL9697 -group wise  sdpl'!$A$34</definedName>
    <definedName name="ccv" hidden="1">{#N/A,#N/A,TRUE,"Front";#N/A,#N/A,TRUE,"Simple Letter";#N/A,#N/A,TRUE,"Inside";#N/A,#N/A,TRUE,"Contents";#N/A,#N/A,TRUE,"Basis";#N/A,#N/A,TRUE,"Inclusions";#N/A,#N/A,TRUE,"Exclusions";#N/A,#N/A,TRUE,"Areas";#N/A,#N/A,TRUE,"Summary";#N/A,#N/A,TRUE,"Detail"}</definedName>
    <definedName name="cdds">'[24]RA-markate'!$A$389:$B$1034</definedName>
    <definedName name="CE">#REF!</definedName>
    <definedName name="CEE">#REF!</definedName>
    <definedName name="Ceiling_Fin">'[25]Fin Sum'!$H$1:$H$26</definedName>
    <definedName name="Charge_Code">'[26]Time Codes'!$A$4:$A$9</definedName>
    <definedName name="chiseler">#REF!</definedName>
    <definedName name="COAD">'[24]Civil Works'!$K$7</definedName>
    <definedName name="cod">#REF!</definedName>
    <definedName name="COLM25">#REF!</definedName>
    <definedName name="COLM30">#REF!</definedName>
    <definedName name="COLM35">[27]Sheet1!$B$4</definedName>
    <definedName name="COMELEC">#REF!</definedName>
    <definedName name="Commencement">[28]Data!$C$6</definedName>
    <definedName name="compactor">#REF!</definedName>
    <definedName name="COMPLUMB">#REF!</definedName>
    <definedName name="CON">'[29]VCH-SLC'!$A$1:$D$100</definedName>
    <definedName name="concretepump">#REF!</definedName>
    <definedName name="Contingency">'[30]Cat A Change Control'!$A$1:$Q$48</definedName>
    <definedName name="Contra" hidden="1">{#N/A,#N/A,TRUE,"Front";#N/A,#N/A,TRUE,"Simple Letter";#N/A,#N/A,TRUE,"Inside";#N/A,#N/A,TRUE,"Contents";#N/A,#N/A,TRUE,"Basis";#N/A,#N/A,TRUE,"Inclusions";#N/A,#N/A,TRUE,"Exclusions";#N/A,#N/A,TRUE,"Areas";#N/A,#N/A,TRUE,"Summary";#N/A,#N/A,TRUE,"Detail"}</definedName>
    <definedName name="Contractdetors" hidden="1">{#N/A,#N/A,TRUE,"Front";#N/A,#N/A,TRUE,"Simple Letter";#N/A,#N/A,TRUE,"Inside";#N/A,#N/A,TRUE,"Contents";#N/A,#N/A,TRUE,"Basis";#N/A,#N/A,TRUE,"Inclusions";#N/A,#N/A,TRUE,"Exclusions";#N/A,#N/A,TRUE,"Areas";#N/A,#N/A,TRUE,"Summary";#N/A,#N/A,TRUE,"Detail"}</definedName>
    <definedName name="copperplate">#REF!</definedName>
    <definedName name="cost" hidden="1">{#N/A,#N/A,TRUE,"Front";#N/A,#N/A,TRUE,"Simple Letter";#N/A,#N/A,TRUE,"Inside";#N/A,#N/A,TRUE,"Contents";#N/A,#N/A,TRUE,"Basis";#N/A,#N/A,TRUE,"Inclusions";#N/A,#N/A,TRUE,"Exclusions";#N/A,#N/A,TRUE,"Areas";#N/A,#N/A,TRUE,"Summary";#N/A,#N/A,TRUE,"Detail"}</definedName>
    <definedName name="Cover">'[22]Phase-1stirrups'!$A$3</definedName>
    <definedName name="Cover_Width">'[31]Table 4'!$A$24:$I$33</definedName>
    <definedName name="CP">#REF!</definedName>
    <definedName name="crane">#REF!</definedName>
    <definedName name="crashbarrier">#REF!</definedName>
    <definedName name="_xlnm.Criteria">#REF!</definedName>
    <definedName name="crsobpl">'[23]TBAL9697 -group wise  sdpl'!$A$34</definedName>
    <definedName name="cscsd">'[32]Meas.-Hotel Part'!$F$152</definedName>
    <definedName name="cxz">#REF!</definedName>
    <definedName name="Damkheda">#REF!</definedName>
    <definedName name="DATA1">#REF!</definedName>
    <definedName name="DATA10">#REF!</definedName>
    <definedName name="DATA11">#REF!</definedName>
    <definedName name="DATA12">#REF!</definedName>
    <definedName name="DATA13">#REF!</definedName>
    <definedName name="DATA134110">#REF!</definedName>
    <definedName name="DATA134125">#REF!</definedName>
    <definedName name="DATA134140">#REF!</definedName>
    <definedName name="DATA134160">#REF!</definedName>
    <definedName name="DATA134180">#REF!</definedName>
    <definedName name="DATA134200">#REF!</definedName>
    <definedName name="DATA134225">#REF!</definedName>
    <definedName name="DATA134250">#REF!</definedName>
    <definedName name="DATA134280">#REF!</definedName>
    <definedName name="DATA134315">#REF!</definedName>
    <definedName name="DATA134355">#REF!</definedName>
    <definedName name="DATA134400">#REF!</definedName>
    <definedName name="DATA13450">#REF!</definedName>
    <definedName name="DATA13463">#REF!</definedName>
    <definedName name="DATA13475">#REF!</definedName>
    <definedName name="DATA13490">#REF!</definedName>
    <definedName name="DATA135110">#REF!</definedName>
    <definedName name="DATA135125">#REF!</definedName>
    <definedName name="DATA135140">#REF!</definedName>
    <definedName name="DATA135160">#REF!</definedName>
    <definedName name="DATA135180">#REF!</definedName>
    <definedName name="DATA135200">#REF!</definedName>
    <definedName name="DATA135225">#REF!</definedName>
    <definedName name="DATA135250">#REF!</definedName>
    <definedName name="DATA135280">#REF!</definedName>
    <definedName name="DATA135315">#REF!</definedName>
    <definedName name="DATA135355">#REF!</definedName>
    <definedName name="DATA135400">#REF!</definedName>
    <definedName name="DATA13550">#REF!</definedName>
    <definedName name="DATA13563">#REF!</definedName>
    <definedName name="DATA13575">#REF!</definedName>
    <definedName name="DATA13590">#REF!</definedName>
    <definedName name="DATA136A">#REF!</definedName>
    <definedName name="DATA136B">#REF!</definedName>
    <definedName name="DATA136C">#REF!</definedName>
    <definedName name="DATA136D">#REF!</definedName>
    <definedName name="DATA136E">#REF!</definedName>
    <definedName name="DATA136F">#REF!</definedName>
    <definedName name="DATA136G">#REF!</definedName>
    <definedName name="DATA136H">#REF!</definedName>
    <definedName name="DATA136I">#REF!</definedName>
    <definedName name="DATA136J">#REF!</definedName>
    <definedName name="DATA136K">#REF!</definedName>
    <definedName name="DATA136L">#REF!</definedName>
    <definedName name="DATA136M">#REF!</definedName>
    <definedName name="DATA136N">#REF!</definedName>
    <definedName name="DATA136O">#REF!</definedName>
    <definedName name="DATA136P">#REF!</definedName>
    <definedName name="DATA137I">#REF!</definedName>
    <definedName name="DATA137II">#REF!</definedName>
    <definedName name="DATA137III">#REF!</definedName>
    <definedName name="DATA137IV">#REF!</definedName>
    <definedName name="DATA137V">#REF!</definedName>
    <definedName name="DATA138I">#REF!</definedName>
    <definedName name="DATA138II">#REF!</definedName>
    <definedName name="DATA138III">#REF!</definedName>
    <definedName name="DATA138IV">#REF!</definedName>
    <definedName name="DATA138V">#REF!</definedName>
    <definedName name="DATA138VI">#REF!</definedName>
    <definedName name="DATA139IX">#REF!</definedName>
    <definedName name="DATA139V">#REF!</definedName>
    <definedName name="DATA139VI">#REF!</definedName>
    <definedName name="DATA139VII">#REF!</definedName>
    <definedName name="DATA139VIII">#REF!</definedName>
    <definedName name="DATA14">#REF!</definedName>
    <definedName name="DATA140I">#REF!</definedName>
    <definedName name="DATA140II">#REF!</definedName>
    <definedName name="DATA140III">#REF!</definedName>
    <definedName name="DATA140IV">#REF!</definedName>
    <definedName name="DATA140V">#REF!</definedName>
    <definedName name="DATA141I">#REF!</definedName>
    <definedName name="DATA141II">#REF!</definedName>
    <definedName name="DATA141III">#REF!</definedName>
    <definedName name="DATA141IV">#REF!</definedName>
    <definedName name="DATA141V">#REF!</definedName>
    <definedName name="DATA142I">#REF!</definedName>
    <definedName name="DATA142II">#REF!</definedName>
    <definedName name="DATA142III">#REF!</definedName>
    <definedName name="DATA142IV">#REF!</definedName>
    <definedName name="DATA142V">#REF!</definedName>
    <definedName name="DATA15">#REF!</definedName>
    <definedName name="DATA16">#REF!</definedName>
    <definedName name="DATA17">#REF!</definedName>
    <definedName name="DATA18">#REF!</definedName>
    <definedName name="DATA2">#REF!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_xlnm.Database">#REF!</definedName>
    <definedName name="Database.File" hidden="1">#REF!</definedName>
    <definedName name="Date">'[33]Fill this out first...'!$D$14</definedName>
    <definedName name="datonators">#REF!</definedName>
    <definedName name="DBM">#REF!</definedName>
    <definedName name="DCX">#REF!</definedName>
    <definedName name="dd">#REF!</definedName>
    <definedName name="DDD">#REF!</definedName>
    <definedName name="dddddddd">#REF!</definedName>
    <definedName name="DEPTH">#REF!</definedName>
    <definedName name="Depth1">#REF!</definedName>
    <definedName name="DERF">#REF!</definedName>
    <definedName name="Detonator">#REF!</definedName>
    <definedName name="dffds" hidden="1">{#N/A,#N/A,TRUE,"Front";#N/A,#N/A,TRUE,"Simple Letter";#N/A,#N/A,TRUE,"Inside";#N/A,#N/A,TRUE,"Contents";#N/A,#N/A,TRUE,"Basis";#N/A,#N/A,TRUE,"Inclusions";#N/A,#N/A,TRUE,"Exclusions";#N/A,#N/A,TRUE,"Areas";#N/A,#N/A,TRUE,"Summary";#N/A,#N/A,TRUE,"Detail"}</definedName>
    <definedName name="dia">#REF!</definedName>
    <definedName name="dia_12">#N/A</definedName>
    <definedName name="dia_13">#N/A</definedName>
    <definedName name="dia_14">#N/A</definedName>
    <definedName name="dia_23">#N/A</definedName>
    <definedName name="dia_24">#N/A</definedName>
    <definedName name="dia_25">#N/A</definedName>
    <definedName name="dia_3">#N/A</definedName>
    <definedName name="diameter">#REF!</definedName>
    <definedName name="diameter_14">#N/A</definedName>
    <definedName name="diameter_3">#N/A</definedName>
    <definedName name="diesel">#REF!</definedName>
    <definedName name="Discount_Rate">[34]Model!$C$3</definedName>
    <definedName name="DK">#REF!</definedName>
    <definedName name="DLP">#REF!</definedName>
    <definedName name="DM">#REF!</definedName>
    <definedName name="DONGRE_ASSOCIATES______________PROJECT">'[5]MASTER_RATE ANALYSIS'!$B$184:$G$184</definedName>
    <definedName name="DOOR_BOTTOM_SECTION">'[16]Unit Weight'!$B$11</definedName>
    <definedName name="DOOR_HANDLE_SECTION">'[16]Unit Weight'!$B$9</definedName>
    <definedName name="DOOR_HINGE_SECTION">'[16]Unit Weight'!$B$8</definedName>
    <definedName name="DOOR_TOP_SECTION">'[16]Unit Weight'!$B$10</definedName>
    <definedName name="dozer">#REF!</definedName>
    <definedName name="dozer200">#REF!</definedName>
    <definedName name="drains">#REF!</definedName>
    <definedName name="dresser">#REF!</definedName>
    <definedName name="driller">#REF!</definedName>
    <definedName name="drillingequipment">#REF!</definedName>
    <definedName name="DRREW">#REF!</definedName>
    <definedName name="Dust">#REF!</definedName>
    <definedName name="DWIT22">#REF!</definedName>
    <definedName name="e">#REF!</definedName>
    <definedName name="EastAndWest">[35]INDEX!$D$91:$G$93,[35]INDEX!$D$96:$G$98</definedName>
    <definedName name="EE">#REF!</definedName>
    <definedName name="electrician">#REF!</definedName>
    <definedName name="electricpoles">#N/A</definedName>
    <definedName name="Embankment">#REF!</definedName>
    <definedName name="emulsion">#REF!</definedName>
    <definedName name="environmentalcost">#N/A</definedName>
    <definedName name="erer"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ertyqw">#REF!</definedName>
    <definedName name="ertyw">#REF!</definedName>
    <definedName name="ESSR1">#REF!</definedName>
    <definedName name="ESSR10">#REF!</definedName>
    <definedName name="ESSR11">#REF!</definedName>
    <definedName name="ESSR12">#REF!</definedName>
    <definedName name="ESSR13">#REF!</definedName>
    <definedName name="ESSR2">#REF!</definedName>
    <definedName name="ESSR3">#REF!</definedName>
    <definedName name="ESSR4">#REF!</definedName>
    <definedName name="ESSR5">#REF!</definedName>
    <definedName name="ESSR6">#REF!</definedName>
    <definedName name="ESSR7">#REF!</definedName>
    <definedName name="ESSR8">#REF!</definedName>
    <definedName name="ESSR9">#REF!</definedName>
    <definedName name="ew">#REF!</definedName>
    <definedName name="exc">[36]labour!$C$7</definedName>
    <definedName name="Excavation">#REF!</definedName>
    <definedName name="excavator">#REF!</definedName>
    <definedName name="excel">#REF!</definedName>
    <definedName name="Excel_BuiltIn_Database_0">#REF!</definedName>
    <definedName name="Excel_BuiltIn_Print_Area_1">#REF!</definedName>
    <definedName name="Excel_BuiltIn_Print_Area_1_1_1">#REF!</definedName>
    <definedName name="Excel_BuiltIn_Print_Area_10">#REF!</definedName>
    <definedName name="Excel_BuiltIn_Print_Area_12">#REF!</definedName>
    <definedName name="Excel_BuiltIn_Print_Area_14">#REF!</definedName>
    <definedName name="Excel_BuiltIn_Print_Area_15">#REF!</definedName>
    <definedName name="Excel_BuiltIn_Print_Area_16">#REF!</definedName>
    <definedName name="Excel_BuiltIn_Print_Area_17">#REF!</definedName>
    <definedName name="Excel_BuiltIn_Print_Area_18">#REF!</definedName>
    <definedName name="Excel_BuiltIn_Print_Area_19">#REF!</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0">#REF!</definedName>
    <definedName name="Excel_BuiltIn_Print_Area_21">#REF!</definedName>
    <definedName name="Excel_BuiltIn_Print_Area_3_1">#REF!</definedName>
    <definedName name="Excel_BuiltIn_Print_Area_3_1_1">#REF!</definedName>
    <definedName name="Excel_BuiltIn_Print_Area_4_1">#REF!</definedName>
    <definedName name="Excel_BuiltIn_Print_Area_4_1_1">#REF!</definedName>
    <definedName name="Excel_BuiltIn_Print_Area_4_1_1_1">#REF!</definedName>
    <definedName name="Excel_BuiltIn_Print_Area_5_1">#REF!</definedName>
    <definedName name="Excel_BuiltIn_Print_Area_6">#REF!</definedName>
    <definedName name="Excel_BuiltIn_Print_Area_6_1">#REF!</definedName>
    <definedName name="Excel_BuiltIn_Print_Area_7">#REF!</definedName>
    <definedName name="Excel_BuiltIn_Print_Area_8">#REF!</definedName>
    <definedName name="Excel_BuiltIn_Print_Area_9">#REF!</definedName>
    <definedName name="Excel_BuiltIn_Print_Titles_2">#REF!</definedName>
    <definedName name="Excel_BuiltIn_Print_Titles_4">#REF!</definedName>
    <definedName name="_xlnm.Extract">#REF!</definedName>
    <definedName name="facia">#REF!</definedName>
    <definedName name="faciastone">'[10]Material '!$G$51</definedName>
    <definedName name="facom">'[23]TBAL9697 -group wise  sdpl'!$A$34</definedName>
    <definedName name="fafur">'[23]TBAL9697 -group wise  sdpl'!$A$34</definedName>
    <definedName name="faofeq">'[23]TBAL9697 -group wise  sdpl'!$A$34</definedName>
    <definedName name="faplm">'[23]TBAL9697 -group wise  sdpl'!$A$34</definedName>
    <definedName name="fapms">'[23]TBAL9697 -group wise  sdpl'!$A$34</definedName>
    <definedName name="faraz">#REF!</definedName>
    <definedName name="farazd7723">#REF!</definedName>
    <definedName name="faveh">'[23]TBAL9697 -group wise  sdpl'!$A$34</definedName>
    <definedName name="ff" hidden="1">{#N/A,#N/A,TRUE,"Front";#N/A,#N/A,TRUE,"Simple Letter";#N/A,#N/A,TRUE,"Inside";#N/A,#N/A,TRUE,"Contents";#N/A,#N/A,TRUE,"Basis";#N/A,#N/A,TRUE,"Inclusions";#N/A,#N/A,TRUE,"Exclusions";#N/A,#N/A,TRUE,"Areas";#N/A,#N/A,TRUE,"Summary";#N/A,#N/A,TRUE,"Detail"}</definedName>
    <definedName name="fgfgsfdg" hidden="1">{#N/A,#N/A,FALSE,"Organisation Chart"}</definedName>
    <definedName name="fiberboard">#REF!</definedName>
    <definedName name="fiberboard20">#REF!</definedName>
    <definedName name="fiberboard5">#REF!</definedName>
    <definedName name="fibreboard12">#REF!</definedName>
    <definedName name="File.Type" hidden="1">#REF!</definedName>
    <definedName name="filtermaterial">#REF!</definedName>
    <definedName name="final" hidden="1">{"'Sheet1'!$A$4386:$N$4591"}</definedName>
    <definedName name="fitter">#REF!</definedName>
    <definedName name="FLAT30X5">#REF!</definedName>
    <definedName name="FLAT32X5">#REF!</definedName>
    <definedName name="FLAT40X5">#REF!</definedName>
    <definedName name="FLAT50X5">'[37]Unit Weight'!$B$4</definedName>
    <definedName name="FLOOR">#REF!</definedName>
    <definedName name="Floor_Fin">'[25]Fin Sum'!$B$1:$B$26</definedName>
    <definedName name="fm">#REF!</definedName>
    <definedName name="Footing_Shuttering">#REF!</definedName>
    <definedName name="format" hidden="1">#REF!</definedName>
    <definedName name="Full_Model_Name">[34]Model!$C$6</definedName>
    <definedName name="fusewire">#REF!</definedName>
    <definedName name="fv" hidden="1">{#N/A,#N/A,FALSE,"Organisation Chart"}</definedName>
    <definedName name="g6216.">#REF!</definedName>
    <definedName name="Garhakala">#REF!</definedName>
    <definedName name="gelatine">#REF!</definedName>
    <definedName name="geofabric">#REF!</definedName>
    <definedName name="GGG">#REF!</definedName>
    <definedName name="GLAZING_CLIP">'[16]Unit Weight'!$B$3</definedName>
    <definedName name="GLAZING_PLATE">'[16]Unit Weight'!$B$4</definedName>
    <definedName name="grader">#REF!</definedName>
    <definedName name="Gross_Floor_Area">'[34]CONSTRUCTION COMPONENT'!$G$53</definedName>
    <definedName name="Gross_Margin">[34]Model!$C$7</definedName>
    <definedName name="group"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SB">#REF!</definedName>
    <definedName name="guhj">#REF!</definedName>
    <definedName name="gunga">#REF!</definedName>
    <definedName name="gungakalara">#REF!</definedName>
    <definedName name="Hammerman">#REF!</definedName>
    <definedName name="headblacksmith">#REF!</definedName>
    <definedName name="Headings">[38]Headings!$A$2:$K$123</definedName>
    <definedName name="Headings_16">[38]Headings!$A$2:$K$123</definedName>
    <definedName name="Headings_3">[38]Headings!$A$2:$K$123</definedName>
    <definedName name="Headings_4">[6]Headings!$A$2:$K$123</definedName>
    <definedName name="Headings_6">[6]Headings!$A$2:$K$123</definedName>
    <definedName name="Headings_9">[38]Headings!$A$2:$K$123</definedName>
    <definedName name="headmason">#REF!</definedName>
    <definedName name="Hel">'[39]labour rates'!$C$5</definedName>
    <definedName name="hg">[40]Construction!$S$36:$S$74</definedName>
    <definedName name="hghjh">#REF!</definedName>
    <definedName name="hkjjhkhkhk" hidden="1">{#N/A,#N/A,TRUE,"Front";#N/A,#N/A,TRUE,"Simple Letter";#N/A,#N/A,TRUE,"Inside";#N/A,#N/A,TRUE,"Contents";#N/A,#N/A,TRUE,"Basis";#N/A,#N/A,TRUE,"Inclusions";#N/A,#N/A,TRUE,"Exclusions";#N/A,#N/A,TRUE,"Areas";#N/A,#N/A,TRUE,"Summary";#N/A,#N/A,TRUE,"Detail"}</definedName>
    <definedName name="hmplant">#REF!</definedName>
    <definedName name="hmplant10">#REF!</definedName>
    <definedName name="hmplant30">#REF!</definedName>
    <definedName name="hotmixmidium">#REF!</definedName>
    <definedName name="hotmixplant">#REF!</definedName>
    <definedName name="hotmixsmall">#REF!</definedName>
    <definedName name="HTML_CodePage" hidden="1">1252</definedName>
    <definedName name="HTML_Control" hidden="1">{"'AC LOAD'!$H$14:$J$15"}</definedName>
    <definedName name="HTML_Description" hidden="1">""</definedName>
    <definedName name="HTML_Email" hidden="1">""</definedName>
    <definedName name="HTML_Header" hidden="1">"AC LOAD"</definedName>
    <definedName name="HTML_LastUpdate" hidden="1">"4/10/03"</definedName>
    <definedName name="HTML_LineAfter" hidden="1">FALSE</definedName>
    <definedName name="HTML_LineBefore" hidden="1">FALSE</definedName>
    <definedName name="HTML_Name" hidden="1">"RAJIV Kr. MEHTA"</definedName>
    <definedName name="HTML_OBDlg2" hidden="1">TRUE</definedName>
    <definedName name="HTML_OBDlg4" hidden="1">TRUE</definedName>
    <definedName name="HTML_OS" hidden="1">0</definedName>
    <definedName name="HTML_PathFile" hidden="1">"C:\My Documents\MyHTML.htm"</definedName>
    <definedName name="HTML_Title" hidden="1">"MD HOUSE AC"</definedName>
    <definedName name="humepipe1000">#REF!</definedName>
    <definedName name="humepipe1200">'[10]Material '!$G$48</definedName>
    <definedName name="Humepipe600">#REF!</definedName>
    <definedName name="Humepipe900">#REF!</definedName>
    <definedName name="humepipenp3">'[10]Material '!$G$49</definedName>
    <definedName name="hysd">#REF!</definedName>
    <definedName name="inflation">[41]NPV!$B$40</definedName>
    <definedName name="Interior">#REF!</definedName>
    <definedName name="INTT">#REF!</definedName>
    <definedName name="invoice1">#REF!</definedName>
    <definedName name="io" hidden="1">{#N/A,#N/A,TRUE,"Front";#N/A,#N/A,TRUE,"Simple Letter";#N/A,#N/A,TRUE,"Inside";#N/A,#N/A,TRUE,"Contents";#N/A,#N/A,TRUE,"Basis";#N/A,#N/A,TRUE,"Inclusions";#N/A,#N/A,TRUE,"Exclusions";#N/A,#N/A,TRUE,"Areas";#N/A,#N/A,TRUE,"Summary";#N/A,#N/A,TRUE,"Detail"}</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CURRENCY" hidden="1">"c2140"</definedName>
    <definedName name="IQ_EST_DATE" hidden="1">"c1634"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39245.8345138889</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SA35X5">#REF!</definedName>
    <definedName name="ISA40X5">#REF!</definedName>
    <definedName name="ISA50X5">'[37]Unit Weight'!$B$7</definedName>
    <definedName name="ISA50X6">'[37]Unit Weight'!$B$8</definedName>
    <definedName name="ISA65X5">#REF!</definedName>
    <definedName name="ISMB100">#REF!</definedName>
    <definedName name="ISMC100">'[37]Unit Weight'!$B$11</definedName>
    <definedName name="ISMC100X50X5">#REF!</definedName>
    <definedName name="ISMC75">#REF!</definedName>
    <definedName name="ISMC75X40X5">#REF!</definedName>
    <definedName name="JHH">#REF!</definedName>
    <definedName name="jhjkh">#REF!</definedName>
    <definedName name="JIM">[42]Construction!$S$36:$S$74</definedName>
    <definedName name="jlk">#REF!</definedName>
    <definedName name="JMBVC">#REF!</definedName>
    <definedName name="kapil">'[39]labour rates'!$C$6</definedName>
    <definedName name="khal">'[39]labour rates'!$C$4</definedName>
    <definedName name="khalasi">#REF!</definedName>
    <definedName name="khamkheda">#REF!</definedName>
    <definedName name="kkkkkkkkk">#REF!</definedName>
    <definedName name="kolukhedi">#REF!</definedName>
    <definedName name="KOMT2341">#REF!</definedName>
    <definedName name="kopui">#REF!</definedName>
    <definedName name="KW">[2]NPV!$B$40</definedName>
    <definedName name="l" hidden="1">{#N/A,#N/A,TRUE,"Front";#N/A,#N/A,TRUE,"Simple Letter";#N/A,#N/A,TRUE,"Inside";#N/A,#N/A,TRUE,"Contents";#N/A,#N/A,TRUE,"Basis";#N/A,#N/A,TRUE,"Inclusions";#N/A,#N/A,TRUE,"Exclusions";#N/A,#N/A,TRUE,"Areas";#N/A,#N/A,TRUE,"Summary";#N/A,#N/A,TRUE,"Detail"}</definedName>
    <definedName name="L_Bhisti">[43]Labour!$D$3</definedName>
    <definedName name="L_BitumenSprayer">[43]Labour!$D$4</definedName>
    <definedName name="L_Blacksmith">[43]Labour!$D$5</definedName>
    <definedName name="L_Blaster">[43]Labour!$D$6</definedName>
    <definedName name="L_Carpenter_1stClass">[43]Labour!$D$7</definedName>
    <definedName name="L_ChipsSpreader">[43]Labour!$D$8</definedName>
    <definedName name="L_Chiseller">[43]Labour!$D$9</definedName>
    <definedName name="L_Dresser_Skilled">[43]Labour!$D$10</definedName>
    <definedName name="L_Driller">[43]Labour!$D$11</definedName>
    <definedName name="L_Electrician_Lineman">[43]Labour!$D$12</definedName>
    <definedName name="L_Fitter">[43]Labour!$D$13</definedName>
    <definedName name="L_Mason_1stClass">[43]Labour!$D$14</definedName>
    <definedName name="L_Mason_2ndClass">[43]Labour!$D$15</definedName>
    <definedName name="L_Mate">[43]Labour!$D$16</definedName>
    <definedName name="L_Mazdoor">[43]Labour!$D$17</definedName>
    <definedName name="L_Mazdoor_Semi">[43]Labour!$D$18</definedName>
    <definedName name="L_Mazdoor_Skilled">[43]Labour!$D$19</definedName>
    <definedName name="L_Painter_1stClass">[43]Labour!$D$20</definedName>
    <definedName name="L_Plumber">[43]Labour!$D$21</definedName>
    <definedName name="L_Surveyor">[43]Labour!$D$22</definedName>
    <definedName name="Labour">'[44]Beams-Basement Roof T-22'!$V$2</definedName>
    <definedName name="labourrate">'[5]MASTER_RATE ANALYSIS'!$A$184:$G$345</definedName>
    <definedName name="LACS">[45]PLAN_FEB97!$A$2</definedName>
    <definedName name="landacqcost">#N/A</definedName>
    <definedName name="lead">'[46]Material '!$S$11</definedName>
    <definedName name="Leave">'[26]Time Codes'!$A$20:$A$28</definedName>
    <definedName name="levelling">#REF!</definedName>
    <definedName name="light">#REF!</definedName>
    <definedName name="limcount" hidden="1">1</definedName>
    <definedName name="ljkhk">'[44]Phase-1stirrups'!$A$3</definedName>
    <definedName name="lk">#REF!</definedName>
    <definedName name="loader">#REF!</definedName>
    <definedName name="Location___0">#N/A</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P" hidden="1">{#N/A,#N/A,TRUE,"Front";#N/A,#N/A,TRUE,"Simple Letter";#N/A,#N/A,TRUE,"Inside";#N/A,#N/A,TRUE,"Contents";#N/A,#N/A,TRUE,"Basis";#N/A,#N/A,TRUE,"Inclusions";#N/A,#N/A,TRUE,"Exclusions";#N/A,#N/A,TRUE,"Areas";#N/A,#N/A,TRUE,"Summary";#N/A,#N/A,TRUE,"Detail"}</definedName>
    <definedName name="LSNO1">#REF!</definedName>
    <definedName name="LSNO10">#REF!</definedName>
    <definedName name="LSNO100">#REF!</definedName>
    <definedName name="LSNO101">#REF!</definedName>
    <definedName name="LSNO102">#REF!</definedName>
    <definedName name="LSNO103">#REF!</definedName>
    <definedName name="LSNO104">#REF!</definedName>
    <definedName name="LSNO105">#REF!</definedName>
    <definedName name="LSNO106">#REF!</definedName>
    <definedName name="LSNO107">#REF!</definedName>
    <definedName name="LSNO108">#REF!</definedName>
    <definedName name="LSNO109">#REF!</definedName>
    <definedName name="LSNO11">#REF!</definedName>
    <definedName name="LSNO110">#REF!</definedName>
    <definedName name="LSNO111">#REF!</definedName>
    <definedName name="LSNO112">#REF!</definedName>
    <definedName name="LSNO113">#REF!</definedName>
    <definedName name="LSNO114">#REF!</definedName>
    <definedName name="LSNO115">#REF!</definedName>
    <definedName name="LSNO116">#REF!</definedName>
    <definedName name="LSNO117">#REF!</definedName>
    <definedName name="LSNO118">#REF!</definedName>
    <definedName name="LSNO119">#REF!</definedName>
    <definedName name="LSNO12">#REF!</definedName>
    <definedName name="LSNO120">#REF!</definedName>
    <definedName name="LSNO121">#REF!</definedName>
    <definedName name="LSNO122">#REF!</definedName>
    <definedName name="LSNO123">#REF!</definedName>
    <definedName name="LSNO124">#REF!</definedName>
    <definedName name="LSNO125">#REF!</definedName>
    <definedName name="LSNO126">#REF!</definedName>
    <definedName name="LSNO127">#REF!</definedName>
    <definedName name="LSNO128">#REF!</definedName>
    <definedName name="LSNO129">#REF!</definedName>
    <definedName name="LSNO13">#REF!</definedName>
    <definedName name="LSNO130">#REF!</definedName>
    <definedName name="LSNO131">#REF!</definedName>
    <definedName name="LSNO132">#REF!</definedName>
    <definedName name="LSNO133">#REF!</definedName>
    <definedName name="LSNO134">#REF!</definedName>
    <definedName name="LSNO135">#REF!</definedName>
    <definedName name="LSNO136">#REF!</definedName>
    <definedName name="LSNO137">#REF!</definedName>
    <definedName name="LSNO138">#REF!</definedName>
    <definedName name="LSNO139">#REF!</definedName>
    <definedName name="LSNO14">#REF!</definedName>
    <definedName name="LSNO140">#REF!</definedName>
    <definedName name="LSNO141">#REF!</definedName>
    <definedName name="LSNO142">#REF!</definedName>
    <definedName name="LSNO143">#REF!</definedName>
    <definedName name="LSNO144">#REF!</definedName>
    <definedName name="LSNO145">#REF!</definedName>
    <definedName name="LSNO146">#REF!</definedName>
    <definedName name="LSNO147">#REF!</definedName>
    <definedName name="LSNO148">#REF!</definedName>
    <definedName name="LSNO149">#REF!</definedName>
    <definedName name="LSNO15">#REF!</definedName>
    <definedName name="LSNO150">#REF!</definedName>
    <definedName name="LSNO151">#REF!</definedName>
    <definedName name="LSNO152">#REF!</definedName>
    <definedName name="LSNO153">#REF!</definedName>
    <definedName name="LSNO154">#REF!</definedName>
    <definedName name="LSNO155">#REF!</definedName>
    <definedName name="LSNO156">#REF!</definedName>
    <definedName name="LSNO157">#REF!</definedName>
    <definedName name="LSNO158">#REF!</definedName>
    <definedName name="LSNO159">#REF!</definedName>
    <definedName name="LSNO16">#REF!</definedName>
    <definedName name="LSNO160">#REF!</definedName>
    <definedName name="LSNO161">#REF!</definedName>
    <definedName name="LSNO162">#REF!</definedName>
    <definedName name="LSNO163">#REF!</definedName>
    <definedName name="LSNO164">#REF!</definedName>
    <definedName name="LSNO165">#REF!</definedName>
    <definedName name="LSNO166">#REF!</definedName>
    <definedName name="LSNO167">#REF!</definedName>
    <definedName name="LSNO168">#REF!</definedName>
    <definedName name="LSNO169">#REF!</definedName>
    <definedName name="LSNO17">#REF!</definedName>
    <definedName name="LSNO170">#REF!</definedName>
    <definedName name="LSNO171">#REF!</definedName>
    <definedName name="LSNO172">#REF!</definedName>
    <definedName name="LSNO173">#REF!</definedName>
    <definedName name="LSNO174">#REF!</definedName>
    <definedName name="LSNO175">#REF!</definedName>
    <definedName name="LSNO176">#REF!</definedName>
    <definedName name="LSNO177">#REF!</definedName>
    <definedName name="LSNO178">#REF!</definedName>
    <definedName name="LSNO179">#REF!</definedName>
    <definedName name="LSNO18">#REF!</definedName>
    <definedName name="LSNO180">#REF!</definedName>
    <definedName name="LSNO181">#REF!</definedName>
    <definedName name="LSNO182">#REF!</definedName>
    <definedName name="LSNO183">#REF!</definedName>
    <definedName name="LSNO184">#REF!</definedName>
    <definedName name="LSNO185">#REF!</definedName>
    <definedName name="LSNO186">#REF!</definedName>
    <definedName name="LSNO187">#REF!</definedName>
    <definedName name="LSNO188">#REF!</definedName>
    <definedName name="LSNO189">#REF!</definedName>
    <definedName name="LSNO19">#REF!</definedName>
    <definedName name="LSNO190">#REF!</definedName>
    <definedName name="LSNO191">#REF!</definedName>
    <definedName name="LSNO192">#REF!</definedName>
    <definedName name="LSNO193">#REF!</definedName>
    <definedName name="LSNO194">#REF!</definedName>
    <definedName name="LSNO195">#REF!</definedName>
    <definedName name="LSNO196">#REF!</definedName>
    <definedName name="LSNO197">#REF!</definedName>
    <definedName name="LSNO198">#REF!</definedName>
    <definedName name="LSNO199">#REF!</definedName>
    <definedName name="LSNO2">#REF!</definedName>
    <definedName name="LSNO20">#REF!</definedName>
    <definedName name="LSNO200">#REF!</definedName>
    <definedName name="LSNO201">#REF!</definedName>
    <definedName name="LSNO202">#REF!</definedName>
    <definedName name="LSNO203">#REF!</definedName>
    <definedName name="LSNO204">#REF!</definedName>
    <definedName name="LSNO205">#REF!</definedName>
    <definedName name="LSNO206">#REF!</definedName>
    <definedName name="LSNO207">#REF!</definedName>
    <definedName name="LSNO208">#REF!</definedName>
    <definedName name="LSNO209">#REF!</definedName>
    <definedName name="LSNO21">#REF!</definedName>
    <definedName name="LSNO210">#REF!</definedName>
    <definedName name="LSNO211">#REF!</definedName>
    <definedName name="LSNO212">#REF!</definedName>
    <definedName name="LSNO213">#REF!</definedName>
    <definedName name="LSNO214">#REF!</definedName>
    <definedName name="LSNO215">#REF!</definedName>
    <definedName name="LSNO216">#REF!</definedName>
    <definedName name="LSNO217">#REF!</definedName>
    <definedName name="LSNO218">#REF!</definedName>
    <definedName name="LSNO219">#REF!</definedName>
    <definedName name="LSNO22">#REF!</definedName>
    <definedName name="LSNO220">#REF!</definedName>
    <definedName name="LSNO221">#REF!</definedName>
    <definedName name="LSNO222">#REF!</definedName>
    <definedName name="LSNO223">#REF!</definedName>
    <definedName name="LSNO224">#REF!</definedName>
    <definedName name="LSNO225">#REF!</definedName>
    <definedName name="LSNO226">#REF!</definedName>
    <definedName name="LSNO227">#REF!</definedName>
    <definedName name="LSNO228">#REF!</definedName>
    <definedName name="LSNO229">#REF!</definedName>
    <definedName name="LSNO23">#REF!</definedName>
    <definedName name="LSNO230">#REF!</definedName>
    <definedName name="LSNO231">#REF!</definedName>
    <definedName name="LSNO232">#REF!</definedName>
    <definedName name="LSNO233">#REF!</definedName>
    <definedName name="LSNO234">#REF!</definedName>
    <definedName name="LSNO235">#REF!</definedName>
    <definedName name="LSNO236">#REF!</definedName>
    <definedName name="LSNO237">#REF!</definedName>
    <definedName name="LSNO238">#REF!</definedName>
    <definedName name="LSNO239">#REF!</definedName>
    <definedName name="LSNO24">#REF!</definedName>
    <definedName name="LSNO240">#REF!</definedName>
    <definedName name="LSNO241">#REF!</definedName>
    <definedName name="LSNO242">#REF!</definedName>
    <definedName name="LSNO243">#REF!</definedName>
    <definedName name="LSNO244">#REF!</definedName>
    <definedName name="LSNO245">#REF!</definedName>
    <definedName name="LSNO246">#REF!</definedName>
    <definedName name="LSNO247">#REF!</definedName>
    <definedName name="LSNO248">#REF!</definedName>
    <definedName name="LSNO249">#REF!</definedName>
    <definedName name="LSNO25">#REF!</definedName>
    <definedName name="LSNO250">#REF!</definedName>
    <definedName name="LSNO251">#REF!</definedName>
    <definedName name="LSNO26">#REF!</definedName>
    <definedName name="LSNO27">#REF!</definedName>
    <definedName name="LSNO28">#REF!</definedName>
    <definedName name="LSNO29">#REF!</definedName>
    <definedName name="LSNO3">#REF!</definedName>
    <definedName name="LSNO30">#REF!</definedName>
    <definedName name="LSNO31">#REF!</definedName>
    <definedName name="LSNO32">#REF!</definedName>
    <definedName name="LSNO33">#REF!</definedName>
    <definedName name="LSNO34">#REF!</definedName>
    <definedName name="LSNO35">#REF!</definedName>
    <definedName name="LSNO36">#REF!</definedName>
    <definedName name="LSNO37">#REF!</definedName>
    <definedName name="LSNO38">#REF!</definedName>
    <definedName name="LSNO39">#REF!</definedName>
    <definedName name="LSNO4">#REF!</definedName>
    <definedName name="LSNO40">#REF!</definedName>
    <definedName name="LSNO41">#REF!</definedName>
    <definedName name="LSNO42">#REF!</definedName>
    <definedName name="LSNO43">#REF!</definedName>
    <definedName name="LSNO44">#REF!</definedName>
    <definedName name="LSNO45">#REF!</definedName>
    <definedName name="LSNO46">#REF!</definedName>
    <definedName name="LSNO47">#REF!</definedName>
    <definedName name="LSNO48">#REF!</definedName>
    <definedName name="LSNO49">#REF!</definedName>
    <definedName name="LSNO5">#REF!</definedName>
    <definedName name="LSNO50">#REF!</definedName>
    <definedName name="LSNO51">#REF!</definedName>
    <definedName name="LSNO52">#REF!</definedName>
    <definedName name="LSNO53">#REF!</definedName>
    <definedName name="LSNO54">#REF!</definedName>
    <definedName name="LSNO55">#REF!</definedName>
    <definedName name="LSNO56">#REF!</definedName>
    <definedName name="LSNO57">#REF!</definedName>
    <definedName name="LSNO58">#REF!</definedName>
    <definedName name="LSNO59">#REF!</definedName>
    <definedName name="LSNO6">#REF!</definedName>
    <definedName name="LSNO60">#REF!</definedName>
    <definedName name="LSNO61">#REF!</definedName>
    <definedName name="LSNO62">#REF!</definedName>
    <definedName name="LSNO63">#REF!</definedName>
    <definedName name="LSNO64">#REF!</definedName>
    <definedName name="LSNO65">#REF!</definedName>
    <definedName name="LSNO66">#REF!</definedName>
    <definedName name="LSNO67">#REF!</definedName>
    <definedName name="LSNO68">#REF!</definedName>
    <definedName name="LSNO69">#REF!</definedName>
    <definedName name="LSNO7">#REF!</definedName>
    <definedName name="LSNO70">#REF!</definedName>
    <definedName name="LSNO71">#REF!</definedName>
    <definedName name="LSNO72">#REF!</definedName>
    <definedName name="LSNO73">#REF!</definedName>
    <definedName name="LSNO74">#REF!</definedName>
    <definedName name="LSNO75">#REF!</definedName>
    <definedName name="LSNO76">#REF!</definedName>
    <definedName name="LSNO77">#REF!</definedName>
    <definedName name="LSNO78">#REF!</definedName>
    <definedName name="LSNO79">#REF!</definedName>
    <definedName name="LSNO8">#REF!</definedName>
    <definedName name="LSNO80">#REF!</definedName>
    <definedName name="LSNO81">#REF!</definedName>
    <definedName name="LSNO82">#REF!</definedName>
    <definedName name="LSNO83">#REF!</definedName>
    <definedName name="LSNO84">#REF!</definedName>
    <definedName name="LSNO85">#REF!</definedName>
    <definedName name="LSNO86">#REF!</definedName>
    <definedName name="LSNO87">#REF!</definedName>
    <definedName name="LSNO88">#REF!</definedName>
    <definedName name="LSNO89">#REF!</definedName>
    <definedName name="LSNO9">#REF!</definedName>
    <definedName name="LSNO90">#REF!</definedName>
    <definedName name="LSNO91">#REF!</definedName>
    <definedName name="LSNO92">#REF!</definedName>
    <definedName name="LSNO93">#REF!</definedName>
    <definedName name="LSNO94">#REF!</definedName>
    <definedName name="LSNO95">#REF!</definedName>
    <definedName name="LSNO96">#REF!</definedName>
    <definedName name="LSNO97">#REF!</definedName>
    <definedName name="LSNO98">#REF!</definedName>
    <definedName name="LSNO99">#REF!</definedName>
    <definedName name="m">#REF!</definedName>
    <definedName name="M.B.">#REF!</definedName>
    <definedName name="M_25_box_Culvert">#REF!</definedName>
    <definedName name="M_ACPipe_100">[43]Material!$D$3</definedName>
    <definedName name="M_Aggregate_10">[43]Material!$D$17</definedName>
    <definedName name="M_Aggregate_20">[43]Material!$D$18</definedName>
    <definedName name="M_Aggregate_224_236m_WMM">[43]Material!$D$26</definedName>
    <definedName name="M_Aggregate_375mmMaximum_224_56mm">[43]Material!$D$4</definedName>
    <definedName name="M_Aggregate_375mmMaximum_45_225mm">[43]Material!$D$5</definedName>
    <definedName name="M_Aggregate_375mmMaximum_Below_56mm">[43]Material!$D$6</definedName>
    <definedName name="M_Aggregate_40">[43]Material!$D$19</definedName>
    <definedName name="M_Aggregate_45_224m_WMM">[43]Material!$D$27</definedName>
    <definedName name="M_Aggregate_53mmMaximum_225_56mm">[43]Material!$D$7</definedName>
    <definedName name="M_Aggregate_53mmMaximum_63_45mm">[43]Material!$D$8</definedName>
    <definedName name="M_Aggregate_53mmMaximum_below_56mm">[43]Material!$D$9</definedName>
    <definedName name="M_Aggregate_Crushable_GradeI">[43]Material!$D$20</definedName>
    <definedName name="M_Aggregate_Crushable_GradeII">[43]Material!$D$21</definedName>
    <definedName name="M_Aggregate_Crushable_GradeIII">[43]Material!$D$22</definedName>
    <definedName name="M_Aggregate_GradeI_90_45mm">[43]Material!$D$23</definedName>
    <definedName name="M_Aggregate_GradeII_19mmNominal_10_5mm">[43]Material!$D$14</definedName>
    <definedName name="M_Aggregate_GradeII_19mmNominal_25_10mm">[43]Material!$D$15</definedName>
    <definedName name="M_Aggregate_GradeII_19mmNominal_5mm_below">[43]Material!$D$16</definedName>
    <definedName name="M_Aggregate_GradeII_63_45mm">[43]Material!$D$24</definedName>
    <definedName name="M_Aggregate_GradeIII_53_224mm">[43]Material!$D$25</definedName>
    <definedName name="M_AluminiumSheeting_15mm">[43]Material!$D$28</definedName>
    <definedName name="M_AluminiumStuds_100_100_Lense">[43]Material!$D$29</definedName>
    <definedName name="M_Bamboo_1stClass_85_100mm_25m_long">[43]Material!$D$31</definedName>
    <definedName name="M_Bamboo_1stClass_85_100mm_2m_long">[43]Material!$D$30</definedName>
    <definedName name="M_Bamboo_1stClass_85_100mm_3m_long">[43]Material!$D$32</definedName>
    <definedName name="M_Bamboo_1stClass_85_100mm_45_55m_long">[43]Material!$D$33</definedName>
    <definedName name="M_Bamboo_2ndClass_75mm_18_25m_long">[43]Material!$D$34</definedName>
    <definedName name="M_Bamboo_2ndClass_75mm_21_30m_long">[43]Material!$D$35</definedName>
    <definedName name="M_BarbedWire">[43]Material!$D$36</definedName>
    <definedName name="M_BindingMaterial">[43]Material!$D$37</definedName>
    <definedName name="M_BindingWire">[43]Material!$D$38</definedName>
    <definedName name="M_Bitumen_CRM">[43]Material!$D$39</definedName>
    <definedName name="M_Bitumen_NRM">[43]Material!$D$40</definedName>
    <definedName name="M_Bitumen_PM">[43]Material!$D$41</definedName>
    <definedName name="M_Bitumen_S65">[43]Material!$D$42</definedName>
    <definedName name="M_Bitumen_S90">[43]Material!$D$43</definedName>
    <definedName name="M_BitumenEmulsion_RS1">[43]Material!$D$44</definedName>
    <definedName name="M_BitumenEmulsion_SS1">[43]Material!$D$45</definedName>
    <definedName name="M_BitumenSealant">[43]Material!$D$46</definedName>
    <definedName name="M_Blasted_Rubble">[43]Material!$D$47</definedName>
    <definedName name="M_BlastingMaterial">[43]Material!$D$48</definedName>
    <definedName name="M_BondStone_400_150_150mm">[43]Material!$D$49</definedName>
    <definedName name="M_Brick_1stClass">[43]Material!$D$50</definedName>
    <definedName name="M_Cement">[43]Material!$D$51</definedName>
    <definedName name="M_CementPrimer">[43]Material!$D$52</definedName>
    <definedName name="M_ChlorpreneElastomer_OR_ClosedCellFoamSealingElement">[43]Material!$D$53</definedName>
    <definedName name="M_CompensationForEarthTakenFromPrivateLand">[43]Material!$D$54</definedName>
    <definedName name="M_CompressibleFibreBoard">[43]Material!$D$55</definedName>
    <definedName name="M_CopperPlate">[43]Material!$D$56</definedName>
    <definedName name="M_CorbellingStones_300_150_150mm">[43]Material!$D$57</definedName>
    <definedName name="M_CorrosionResistantStructuralSteelGrating">[43]Material!$D$58</definedName>
    <definedName name="M_CreditForExcavatedRock">[43]Material!$D$59</definedName>
    <definedName name="M_CrowBars_40mm">[43]Material!$D$60</definedName>
    <definedName name="M_CrushedSand_OR_Grit">[43]Material!$D$61</definedName>
    <definedName name="M_CrushedSlag">[43]Material!$D$62</definedName>
    <definedName name="M_CrushedStoneChipping_132">[43]Material!$D$64</definedName>
    <definedName name="M_CrushedStoneChipping_67mm_100Passing_112mm">[43]Material!$D$65</definedName>
    <definedName name="M_CrushedStoneChipping_67mm_100Passing_95mm">[43]Material!$D$66</definedName>
    <definedName name="M_CrushedStoneChipping_95">[43]Material!$D$67</definedName>
    <definedName name="M_CrushedStoneCoarseAggregatePassing_53mm">[43]Material!$D$68</definedName>
    <definedName name="M_CuringCompound">[43]Material!$D$69</definedName>
    <definedName name="M_DebondingStrips">[43]Material!$D$70</definedName>
    <definedName name="M_EdgeStone_450_350_100mm">[43]Material!$D$71</definedName>
    <definedName name="M_EdgeStone_450_350_200mm">[43]Material!$D$72</definedName>
    <definedName name="M_ElastomericBearingAssembly">[43]Material!$D$73</definedName>
    <definedName name="M_ElectricDetonator">[43]Material!$D$74</definedName>
    <definedName name="M_EpoxyPaint">[43]Material!$D$75</definedName>
    <definedName name="M_FarmyardManure">[43]Material!$D$77</definedName>
    <definedName name="M_FilterMedia">[43]Material!$D$79</definedName>
    <definedName name="M_FineAggregate_CrushedSand">[43]Material!$D$80</definedName>
    <definedName name="M_GalvanisedAngle">[43]Material!$D$81</definedName>
    <definedName name="M_Gelatine_80">[43]Material!$D$83</definedName>
    <definedName name="M_GIPipe_100mm">[43]Material!$D$84</definedName>
    <definedName name="M_GIPipe_50mm">[43]Material!$D$85</definedName>
    <definedName name="M_GIWires">[43]Material!$D$86</definedName>
    <definedName name="M_GradedStoneAggregate">[43]Material!$D$87</definedName>
    <definedName name="M_GranularMaterial">[43]Material!$D$88</definedName>
    <definedName name="M_HandBrokenMetal_40mm">[43]Material!$D$89</definedName>
    <definedName name="M_InterlockingBlocks_60mm">[43]Material!$D$91</definedName>
    <definedName name="M_InterlockingBlocks_80mm">[43]Material!$D$92</definedName>
    <definedName name="M_JointFillerBoard">[43]Material!$D$93</definedName>
    <definedName name="M_JuteNetting_OpenWeave_25mm">[43]Material!$D$94</definedName>
    <definedName name="M_JuteRope_12mm">[43]Material!$D$95</definedName>
    <definedName name="M_KeyAggregatesPassing_224mm">[43]Material!$D$96</definedName>
    <definedName name="M_Lime">[43]Material!$D$97</definedName>
    <definedName name="M_LocalWoodPiles_1stClass">[43]Material!$D$99</definedName>
    <definedName name="M_LocalWoodPiles_1stClass_100_75mm">[43]Material!$D$100</definedName>
    <definedName name="M_LooseStone">[43]Material!$D$101</definedName>
    <definedName name="M_MS_Sheet_15mm">[43]Material!$D$105</definedName>
    <definedName name="M_MS_Sheet_2mm">[43]Material!$D$106</definedName>
    <definedName name="M_MSClamps">[43]Material!$D$102</definedName>
    <definedName name="M_MSFlat_StructuralSteel">[43]Material!$D$103</definedName>
    <definedName name="M_MSSheetTube_47_47mm_12_SWG">[43]Material!$D$104</definedName>
    <definedName name="M_Nuts_Bolts_Rivets">[43]Material!$D$107</definedName>
    <definedName name="M_Paint_SyntheticEnamel">[43]Material!$D$108</definedName>
    <definedName name="M_Plasticizer">[43]Material!$D$109</definedName>
    <definedName name="M_PolytheneSheet_125">[43]Material!$D$110</definedName>
    <definedName name="M_PolytheneSheething">[43]Material!$D$111</definedName>
    <definedName name="M_QuarriedStone_150_200mm">[43]Material!$D$112</definedName>
    <definedName name="M_RCCPipeNP3_1000mm">[43]Material!$D$114</definedName>
    <definedName name="M_RCCPipeNP3_1200mm">[43]Material!$D$113</definedName>
    <definedName name="M_RCCPipeNP3_500mm">[43]Material!$D$117</definedName>
    <definedName name="M_RCCPipeNP3_750mm">[43]Material!$D$115</definedName>
    <definedName name="M_RCCPipeNP4_1000mm">[43]Material!$D$119</definedName>
    <definedName name="M_RCCPipeNP4_1200mm">[43]Material!$D$118</definedName>
    <definedName name="M_RCCPipeNP4_500mm">[43]Material!$D$122</definedName>
    <definedName name="M_RCCPipeNP4_750mm">[43]Material!$D$120</definedName>
    <definedName name="M_RedOxidePrimer">[43]Material!$D$123</definedName>
    <definedName name="M_RoadMarkingPaint">[43]Material!$D$124</definedName>
    <definedName name="M_Sand_Coarse">[43]Material!$D$125</definedName>
    <definedName name="M_Sand_Fine">[43]Material!$D$126</definedName>
    <definedName name="M_Seeds">[43]Material!$D$127</definedName>
    <definedName name="M_SteelPipe_500mm">[43]Material!$D$128</definedName>
    <definedName name="M_SteelReinforcement_HYSDBars">[43]Material!$D$129</definedName>
    <definedName name="M_SteelReinforcement_MSRoundBars">[43]Material!$D$130</definedName>
    <definedName name="M_SteelReinforcement_TMTBars">[43]Material!$D$131</definedName>
    <definedName name="M_StoneBoulder_150mm_below">[43]Material!$D$132</definedName>
    <definedName name="M_StoneChips_12mm">[43]Material!$D$133</definedName>
    <definedName name="M_StoneCrushedAggregate_112_009mm">[43]Material!$D$135</definedName>
    <definedName name="M_StoneForCoarseRubbleMasonry_1stSort">[43]Material!$D$136</definedName>
    <definedName name="M_StoneForCoarseRubbleMasonry_2ndSort">[43]Material!$D$137</definedName>
    <definedName name="M_StoneForRandomRubbleMasonry">[43]Material!$D$138</definedName>
    <definedName name="M_StoneForStoneSetPavement">[43]Material!$D$139</definedName>
    <definedName name="M_StoneScreening_TypeA_132mm_Grade1">[43]Material!$D$140</definedName>
    <definedName name="M_StoneScreening_TypeB_112mm_Grade2">[43]Material!$D$142</definedName>
    <definedName name="M_StoneScreening_TypeB_112mm_Grade3">[43]Material!$D$143</definedName>
    <definedName name="M_StoneSpalls">[43]Material!$D$144</definedName>
    <definedName name="M_TrafficCones">[43]Material!$D$145</definedName>
    <definedName name="M_Water">[43]Material!$D$146</definedName>
    <definedName name="M_WellGradedGranularBaseMaterial_GradeA_236mm">[43]Material!$D$147</definedName>
    <definedName name="M_WellGradedGranularBaseMaterial_GradeA_265_475mm">[43]Material!$D$148</definedName>
    <definedName name="M_WellGradedGranularBaseMaterial_GradeA_53_265mm">[43]Material!$D$149</definedName>
    <definedName name="M_WellGradedGranularBaseMaterial_GradeB_236mm_below">[43]Material!$D$150</definedName>
    <definedName name="M_WellGradedGranularBaseMaterial_GradeB_265_475mm">[43]Material!$D$151</definedName>
    <definedName name="M_WellGradedGranularBaseMaterial_GradeC_236mm_below">[43]Material!$D$152</definedName>
    <definedName name="M_WellGradedGranularBaseMaterial_GradeC_95_475mm">[43]Material!$D$153</definedName>
    <definedName name="M_WellGradedMateralForSubbase_GradeI_236mm_below">[43]Material!$D$154</definedName>
    <definedName name="M_WellGradedMateralForSubbase_GradeI_53_95mm">[43]Material!$D$155</definedName>
    <definedName name="M_WellGradedMateralForSubbase_GradeI_95_236mm">[43]Material!$D$156</definedName>
    <definedName name="M_WellGradedMateralForSubbase_GradeII_236mm_below">[43]Material!$D$157</definedName>
    <definedName name="M_WellGradedMateralForSubbase_GradeII_265_95mm">[43]Material!$D$158</definedName>
    <definedName name="M_WellGradedMateralForSubbase_GradeII_95_236mm">[43]Material!$D$159</definedName>
    <definedName name="M_WellGradedMateralForSubbase_GradeIII_236mm_below">[43]Material!$D$160</definedName>
    <definedName name="M_WellGradedMateralForSubbase_GradeIII_475_236mm">[43]Material!$D$161</definedName>
    <definedName name="M_WellGradedMateralForSubbase_GradeIII_95_475mm">[43]Material!$D$162</definedName>
    <definedName name="M_WoodenSleepers">[43]Material!$D$163</definedName>
    <definedName name="m15levelling">#REF!</definedName>
    <definedName name="Macro1">#N/A</definedName>
    <definedName name="Macro2">#N/A</definedName>
    <definedName name="March_11">#REF!</definedName>
    <definedName name="mason">#REF!</definedName>
    <definedName name="mason1">'[10]Labour &amp; Plant'!$C$14</definedName>
    <definedName name="mason2">'[10]Labour &amp; Plant'!$C$15</definedName>
    <definedName name="masonhelper">#REF!</definedName>
    <definedName name="mat" hidden="1">{#N/A,#N/A,TRUE,"Front";#N/A,#N/A,TRUE,"Simple Letter";#N/A,#N/A,TRUE,"Inside";#N/A,#N/A,TRUE,"Contents";#N/A,#N/A,TRUE,"Basis";#N/A,#N/A,TRUE,"Inclusions";#N/A,#N/A,TRUE,"Exclusions";#N/A,#N/A,TRUE,"Areas";#N/A,#N/A,TRUE,"Summary";#N/A,#N/A,TRUE,"Detail"}</definedName>
    <definedName name="Mate">#REF!</definedName>
    <definedName name="MaterialList">'[1]Material List '!$C$4:$C$9960</definedName>
    <definedName name="Mazdoor">#REF!</definedName>
    <definedName name="MB" hidden="1">{"'AC LOAD'!$H$14:$J$15"}</definedName>
    <definedName name="measur" hidden="1">{#N/A,#N/A,TRUE,"Front";#N/A,#N/A,TRUE,"Simple Letter";#N/A,#N/A,TRUE,"Inside";#N/A,#N/A,TRUE,"Contents";#N/A,#N/A,TRUE,"Basis";#N/A,#N/A,TRUE,"Inclusions";#N/A,#N/A,TRUE,"Exclusions";#N/A,#N/A,TRUE,"Areas";#N/A,#N/A,TRUE,"Summary";#N/A,#N/A,TRUE,"Detail"}</definedName>
    <definedName name="Median">#REF!</definedName>
    <definedName name="MER">'[47]Project Budget Worksheet'!$A$1:$H$106</definedName>
    <definedName name="Mera">#REF!</definedName>
    <definedName name="Miss" hidden="1">{#N/A,#N/A,TRUE,"Front";#N/A,#N/A,TRUE,"Simple Letter";#N/A,#N/A,TRUE,"Inside";#N/A,#N/A,TRUE,"Contents";#N/A,#N/A,TRUE,"Basis";#N/A,#N/A,TRUE,"Inclusions";#N/A,#N/A,TRUE,"Exclusions";#N/A,#N/A,TRUE,"Areas";#N/A,#N/A,TRUE,"Summary";#N/A,#N/A,TRUE,"Detail"}</definedName>
    <definedName name="mixer">#REF!</definedName>
    <definedName name="MMList2">'[1]Labour Rate '!$B$4:$B$73</definedName>
    <definedName name="MMList3">'[1](M+L)'!$B$4:$B$1071</definedName>
    <definedName name="Model_Name">[34]Model!$C$4</definedName>
    <definedName name="modifiedbitumen">#REF!</definedName>
    <definedName name="Moh">#REF!</definedName>
    <definedName name="msbars">#REF!</definedName>
    <definedName name="MSFLAT32X5">#REF!</definedName>
    <definedName name="mta" hidden="1">{#N/A,#N/A,TRUE,"Front";#N/A,#N/A,TRUE,"Simple Letter";#N/A,#N/A,TRUE,"Inside";#N/A,#N/A,TRUE,"Contents";#N/A,#N/A,TRUE,"Basis";#N/A,#N/A,TRUE,"Inclusions";#N/A,#N/A,TRUE,"Exclusions";#N/A,#N/A,TRUE,"Areas";#N/A,#N/A,TRUE,"Summary";#N/A,#N/A,TRUE,"Detail"}</definedName>
    <definedName name="Mugaliyahat">#REF!</definedName>
    <definedName name="Muram">#REF!</definedName>
    <definedName name="Nalkheda">#REF!</definedName>
    <definedName name="NCC">'[26]Time Codes'!$A$13:$A$17</definedName>
    <definedName name="neoprene">#REF!</definedName>
    <definedName name="neoprinbearing">#REF!</definedName>
    <definedName name="NorthAndSouth">[35]INDEX!$D$67:$G$69,[35]INDEX!$D$72:$G$74</definedName>
    <definedName name="nothing">#REF!</definedName>
    <definedName name="NP3HP450">#REF!</definedName>
    <definedName name="NP3HP600">#REF!</definedName>
    <definedName name="NP3HP750">#REF!</definedName>
    <definedName name="np3humepipe600">#REF!</definedName>
    <definedName name="np3humepipe750">#REF!</definedName>
    <definedName name="NP4Hume1.2">#REF!</definedName>
    <definedName name="NP4Hume1000">#REF!</definedName>
    <definedName name="NP4Hume1200">#REF!</definedName>
    <definedName name="NP4Hume600">#REF!</definedName>
    <definedName name="NP4Hume900">#REF!</definedName>
    <definedName name="NSSR1">#REF!</definedName>
    <definedName name="NSSR10">#REF!</definedName>
    <definedName name="NSSR100">#REF!</definedName>
    <definedName name="NSSR101">#REF!</definedName>
    <definedName name="NSSR102">#REF!</definedName>
    <definedName name="NSSR103">#REF!</definedName>
    <definedName name="NSSR104">#REF!</definedName>
    <definedName name="NSSR105">#REF!</definedName>
    <definedName name="NSSR106">#REF!</definedName>
    <definedName name="NSSR107">#REF!</definedName>
    <definedName name="NSSR108">#REF!</definedName>
    <definedName name="NSSR109">#REF!</definedName>
    <definedName name="NSSR11">#REF!</definedName>
    <definedName name="NSSR110">#REF!</definedName>
    <definedName name="NSSR111">#REF!</definedName>
    <definedName name="NSSR112">#REF!</definedName>
    <definedName name="NSSR113">#REF!</definedName>
    <definedName name="NSSR114">#REF!</definedName>
    <definedName name="NSSR115">#REF!</definedName>
    <definedName name="NSSR116">#REF!</definedName>
    <definedName name="NSSR117">#REF!</definedName>
    <definedName name="NSSR118">#REF!</definedName>
    <definedName name="NSSR119">#REF!</definedName>
    <definedName name="NSSR12">#REF!</definedName>
    <definedName name="NSSR120">#REF!</definedName>
    <definedName name="NSSR121">#REF!</definedName>
    <definedName name="NSSR122">#REF!</definedName>
    <definedName name="NSSR123">#REF!</definedName>
    <definedName name="NSSR124">#REF!</definedName>
    <definedName name="NSSR125">#REF!</definedName>
    <definedName name="NSSR126">#REF!</definedName>
    <definedName name="NSSR127">#REF!</definedName>
    <definedName name="NSSR128">#REF!</definedName>
    <definedName name="NSSR129">#REF!</definedName>
    <definedName name="NSSR13">#REF!</definedName>
    <definedName name="NSSR130">#REF!</definedName>
    <definedName name="NSSR131">#REF!</definedName>
    <definedName name="NSSR132">#REF!</definedName>
    <definedName name="NSSR133">#REF!</definedName>
    <definedName name="NSSR134">#REF!</definedName>
    <definedName name="NSSR135">#REF!</definedName>
    <definedName name="NSSR136">#REF!</definedName>
    <definedName name="NSSR137">#REF!</definedName>
    <definedName name="NSSR138">#REF!</definedName>
    <definedName name="NSSR139">#REF!</definedName>
    <definedName name="NSSR14">#REF!</definedName>
    <definedName name="NSSR140">#REF!</definedName>
    <definedName name="NSSR141">#REF!</definedName>
    <definedName name="NSSR142">#REF!</definedName>
    <definedName name="NSSR143">#REF!</definedName>
    <definedName name="NSSR144">#REF!</definedName>
    <definedName name="NSSR145">#REF!</definedName>
    <definedName name="NSSR146">#REF!</definedName>
    <definedName name="NSSR147">#REF!</definedName>
    <definedName name="NSSR148">#REF!</definedName>
    <definedName name="NSSR149">#REF!</definedName>
    <definedName name="NSSR15">#REF!</definedName>
    <definedName name="NSSR150">#REF!</definedName>
    <definedName name="NSSR151">#REF!</definedName>
    <definedName name="NSSR152">#REF!</definedName>
    <definedName name="NSSR153">#REF!</definedName>
    <definedName name="NSSR154">#REF!</definedName>
    <definedName name="NSSR155">#REF!</definedName>
    <definedName name="NSSR156">#REF!</definedName>
    <definedName name="NSSR157">#REF!</definedName>
    <definedName name="NSSR158">#REF!</definedName>
    <definedName name="NSSR159">#REF!</definedName>
    <definedName name="NSSR16">#REF!</definedName>
    <definedName name="NSSR160">#REF!</definedName>
    <definedName name="NSSR161">#REF!</definedName>
    <definedName name="NSSR162">#REF!</definedName>
    <definedName name="NSSR163">#REF!</definedName>
    <definedName name="NSSR164">#REF!</definedName>
    <definedName name="NSSR165">#REF!</definedName>
    <definedName name="NSSR166">#REF!</definedName>
    <definedName name="NSSR167">#REF!</definedName>
    <definedName name="NSSR168">#REF!</definedName>
    <definedName name="NSSR169">#REF!</definedName>
    <definedName name="NSSR17">#REF!</definedName>
    <definedName name="NSSR170">#REF!</definedName>
    <definedName name="NSSR171">#REF!</definedName>
    <definedName name="NSSR172">#REF!</definedName>
    <definedName name="NSSR173">#REF!</definedName>
    <definedName name="NSSR174">#REF!</definedName>
    <definedName name="NSSR18">#REF!</definedName>
    <definedName name="NSSR19">#REF!</definedName>
    <definedName name="NSSR2">#REF!</definedName>
    <definedName name="NSSR20">#REF!</definedName>
    <definedName name="NSSR21">#REF!</definedName>
    <definedName name="NSSR22">#REF!</definedName>
    <definedName name="NSSR23">#REF!</definedName>
    <definedName name="NSSR24">#REF!</definedName>
    <definedName name="NSSR25">#REF!</definedName>
    <definedName name="NSSR26">#REF!</definedName>
    <definedName name="NSSR27">#REF!</definedName>
    <definedName name="NSSR28">#REF!</definedName>
    <definedName name="NSSR29">#REF!</definedName>
    <definedName name="NSSR3">#REF!</definedName>
    <definedName name="NSSR30">#REF!</definedName>
    <definedName name="NSSR31">#REF!</definedName>
    <definedName name="NSSR32">#REF!</definedName>
    <definedName name="NSSR33">#REF!</definedName>
    <definedName name="NSSR34">#REF!</definedName>
    <definedName name="NSSR35">#REF!</definedName>
    <definedName name="NSSR36">#REF!</definedName>
    <definedName name="NSSR37">#REF!</definedName>
    <definedName name="NSSR38">#REF!</definedName>
    <definedName name="NSSR39">#REF!</definedName>
    <definedName name="NSSR4">#REF!</definedName>
    <definedName name="NSSR40">#REF!</definedName>
    <definedName name="NSSR41">#REF!</definedName>
    <definedName name="NSSR42">#REF!</definedName>
    <definedName name="NSSR43">#REF!</definedName>
    <definedName name="NSSR44">#REF!</definedName>
    <definedName name="NSSR45">#REF!</definedName>
    <definedName name="NSSR46">#REF!</definedName>
    <definedName name="NSSR47">#REF!</definedName>
    <definedName name="NSSR48">#REF!</definedName>
    <definedName name="NSSR49">#REF!</definedName>
    <definedName name="NSSR5">#REF!</definedName>
    <definedName name="NSSR50">#REF!</definedName>
    <definedName name="NSSR51">#REF!</definedName>
    <definedName name="NSSR52">#REF!</definedName>
    <definedName name="NSSR53">#REF!</definedName>
    <definedName name="NSSR54">#REF!</definedName>
    <definedName name="NSSR55">#REF!</definedName>
    <definedName name="NSSR56">#REF!</definedName>
    <definedName name="NSSR57">#REF!</definedName>
    <definedName name="NSSR58">#REF!</definedName>
    <definedName name="NSSR59">#REF!</definedName>
    <definedName name="NSSR6">#REF!</definedName>
    <definedName name="NSSR60">#REF!</definedName>
    <definedName name="NSSR61">#REF!</definedName>
    <definedName name="NSSR62">#REF!</definedName>
    <definedName name="NSSR63">#REF!</definedName>
    <definedName name="NSSR64">#REF!</definedName>
    <definedName name="NSSR65">#REF!</definedName>
    <definedName name="NSSR66">#REF!</definedName>
    <definedName name="NSSR67">#REF!</definedName>
    <definedName name="NSSR68">#REF!</definedName>
    <definedName name="NSSR69">#REF!</definedName>
    <definedName name="NSSR7">#REF!</definedName>
    <definedName name="NSSR70">#REF!</definedName>
    <definedName name="NSSR71">#REF!</definedName>
    <definedName name="NSSR72">#REF!</definedName>
    <definedName name="NSSR73">#REF!</definedName>
    <definedName name="NSSR74">#REF!</definedName>
    <definedName name="NSSR75">#REF!</definedName>
    <definedName name="NSSR76">#REF!</definedName>
    <definedName name="NSSR77">#REF!</definedName>
    <definedName name="NSSR78">#REF!</definedName>
    <definedName name="NSSR79">#REF!</definedName>
    <definedName name="NSSR8">#REF!</definedName>
    <definedName name="NSSR80">#REF!</definedName>
    <definedName name="NSSR81">#REF!</definedName>
    <definedName name="NSSR82">#REF!</definedName>
    <definedName name="NSSR83">#REF!</definedName>
    <definedName name="NSSR84">#REF!</definedName>
    <definedName name="NSSR85">#REF!</definedName>
    <definedName name="NSSR86">#REF!</definedName>
    <definedName name="NSSR87">#REF!</definedName>
    <definedName name="NSSR88">#REF!</definedName>
    <definedName name="NSSR89">#REF!</definedName>
    <definedName name="NSSR9">#REF!</definedName>
    <definedName name="NSSR90">#REF!</definedName>
    <definedName name="NSSR91">#REF!</definedName>
    <definedName name="NSSR92">#REF!</definedName>
    <definedName name="NSSR93">#REF!</definedName>
    <definedName name="NSSR94">#REF!</definedName>
    <definedName name="NSSR95">#REF!</definedName>
    <definedName name="NSSR96">#REF!</definedName>
    <definedName name="NSSR97">#REF!</definedName>
    <definedName name="NSSR98">#REF!</definedName>
    <definedName name="NSSR99">#REF!</definedName>
    <definedName name="nta">#REF!</definedName>
    <definedName name="OB">#REF!</definedName>
    <definedName name="ofcablescost">#N/A</definedName>
    <definedName name="offset">1</definedName>
    <definedName name="OLE_LINK1">"$boq.$"</definedName>
    <definedName name="OLE_LINK2">"$boq.$"</definedName>
    <definedName name="OrdinaryRodBinder">#REF!</definedName>
    <definedName name="os">#REF!</definedName>
    <definedName name="osdnvkls" hidden="1">'[48]Labor abs-NMR'!$I$1:$I$7</definedName>
    <definedName name="OUTER_FRAME_2.5X1.5">'[16]Unit Weight'!$B$13</definedName>
    <definedName name="OUTER_FRAME_3.25_X1.5">'[49]Unit Weight'!$B$3</definedName>
    <definedName name="OUTER_FRAME_4X1.75">'[16]Unit Weight'!$B$2</definedName>
    <definedName name="p">#REF!</definedName>
    <definedName name="painter">#REF!</definedName>
    <definedName name="painter1">'[50]Labour &amp; Plant'!$C$32</definedName>
    <definedName name="painting">#REF!</definedName>
    <definedName name="part">'[51]RA-markate'!$A$389:$B$1034</definedName>
    <definedName name="paver">#REF!</definedName>
    <definedName name="pawan">#REF!</definedName>
    <definedName name="PCC">#REF!</definedName>
    <definedName name="PeopleLists">[35]AREAS!$C$3:$D$6,[35]AREAS!$C$8:$D$11</definedName>
    <definedName name="PhaseCode">'[33]Fill this out first...'!$D$17</definedName>
    <definedName name="pilingfinal" hidden="1">{#N/A,#N/A,FALSE,"Organisation Chart"}</definedName>
    <definedName name="pitching">#REF!</definedName>
    <definedName name="platecompactor">#REF!</definedName>
    <definedName name="plumber">#REF!</definedName>
    <definedName name="PM">#REF!</definedName>
    <definedName name="PM_AirCompressor_210cfm">'[43]Plant &amp;  Machinery'!$G$4</definedName>
    <definedName name="PM_BatchMixHMP_46_60THP">'[43]Plant &amp;  Machinery'!$G$5</definedName>
    <definedName name="PM_BatchTypeHMP_30_40">'[43]Plant &amp;  Machinery'!$G$6</definedName>
    <definedName name="PM_BitumenBoilerOilFired_1000">'[43]Plant &amp;  Machinery'!$G$9</definedName>
    <definedName name="PM_BitumenBoilerOilFired_200">'[43]Plant &amp;  Machinery'!$G$8</definedName>
    <definedName name="PM_BitumenEmulsionPressureDistributor">'[43]Plant &amp;  Machinery'!$G$10</definedName>
    <definedName name="PM_ConcreteMixer">'[43]Plant &amp;  Machinery'!$G$11</definedName>
    <definedName name="PM_Crane">'[43]Plant &amp;  Machinery'!$G$12</definedName>
    <definedName name="PM_Dozer_D50">'[43]Plant &amp;  Machinery'!$G$13</definedName>
    <definedName name="PM_ElectricGeneratorSet_125">'[43]Plant &amp;  Machinery'!$G$15</definedName>
    <definedName name="PM_FrontEndLoader_1cum">'[43]Plant &amp;  Machinery'!$G$17</definedName>
    <definedName name="PM_HydraulicBroom">'[43]Plant &amp;  Machinery'!$G$19</definedName>
    <definedName name="PM_HydraulicExcavator_09cum">'[43]Plant &amp;  Machinery'!$G$20</definedName>
    <definedName name="PM_HydraulicSelfPropelledChipSpreader">'[43]Plant &amp;  Machinery'!$G$21</definedName>
    <definedName name="PM_JointCuttingMachine">'[43]Plant &amp;  Machinery'!$G$23</definedName>
    <definedName name="PM_Mixall_6_10t">'[43]Plant &amp;  Machinery'!$G$24</definedName>
    <definedName name="PM_MotorGrader">'[43]Plant &amp;  Machinery'!$G$25</definedName>
    <definedName name="PM_NeedleVibrator">'[43]Plant &amp;  Machinery'!$G$27</definedName>
    <definedName name="PM_PaverFinisher">'[43]Plant &amp;  Machinery'!$G$28</definedName>
    <definedName name="PM_PlateVibrator">'[43]Plant &amp;  Machinery'!$G$30</definedName>
    <definedName name="PM_ScreedVibrator">'[43]Plant &amp;  Machinery'!$G$31</definedName>
    <definedName name="PM_StoneCrusher_200TPH">'[43]Plant &amp;  Machinery'!$G$33</definedName>
    <definedName name="PM_ThreeWheeled_80_100kN_StaticRoller">'[43]Plant &amp;  Machinery'!$G$34</definedName>
    <definedName name="PM_Tipper_55">'[43]Plant &amp;  Machinery'!$G$45</definedName>
    <definedName name="PM_Tractor_DiscHarrows">'[43]Plant &amp;  Machinery'!$G$46</definedName>
    <definedName name="PM_Tractor_Ripper">'[43]Plant &amp;  Machinery'!$G$47</definedName>
    <definedName name="PM_Tractor_Rotavator">'[43]Plant &amp;  Machinery'!$G$49</definedName>
    <definedName name="PM_Tractor_Trolley">'[43]Plant &amp;  Machinery'!$G$48</definedName>
    <definedName name="PM_Truck">'[43]Plant &amp;  Machinery'!$G$50</definedName>
    <definedName name="PM_VibratoryRoller_80_100kN">'[43]Plant &amp;  Machinery'!$G$51</definedName>
    <definedName name="PM_WaterTanker_6kl">'[43]Plant &amp;  Machinery'!$G$53</definedName>
    <definedName name="PM_WetMixPlant_or_PugMill">'[43]Plant &amp;  Machinery'!$G$54</definedName>
    <definedName name="POP">#REF!</definedName>
    <definedName name="Premould20">#REF!</definedName>
    <definedName name="premoulded">#REF!</definedName>
    <definedName name="pRICE">0</definedName>
    <definedName name="_xlnm.Print_Area" localSheetId="2">BOQ!$A$1:$F$187</definedName>
    <definedName name="_xlnm.Print_Area">#REF!</definedName>
    <definedName name="Print_Area_MI">#REF!</definedName>
    <definedName name="_xlnm.Print_Titles" localSheetId="2">BOQ!$1:$2</definedName>
    <definedName name="_xlnm.Print_Titles">#REF!</definedName>
    <definedName name="Priority">[52]Legend!$A$2:$A$5</definedName>
    <definedName name="program" hidden="1">{#N/A,#N/A,TRUE,"Front";#N/A,#N/A,TRUE,"Simple Letter";#N/A,#N/A,TRUE,"Inside";#N/A,#N/A,TRUE,"Contents";#N/A,#N/A,TRUE,"Basis";#N/A,#N/A,TRUE,"Inclusions";#N/A,#N/A,TRUE,"Exclusions";#N/A,#N/A,TRUE,"Areas";#N/A,#N/A,TRUE,"Summary";#N/A,#N/A,TRUE,"Detail"}</definedName>
    <definedName name="Project_Term">[28]Data!$C$5</definedName>
    <definedName name="ProjectLocation">'[33]Fill this out first...'!$D$10</definedName>
    <definedName name="ProjectNumber">'[33]Fill this out first...'!$D$16</definedName>
    <definedName name="ProjectSubtitle">'[33]Fill this out first...'!$D$9</definedName>
    <definedName name="ProjectTitle">'[33]Fill this out first...'!$D$8</definedName>
    <definedName name="PRWMAY07">#REF!</definedName>
    <definedName name="PRWSEP05">#REF!</definedName>
    <definedName name="Ptroller">#REF!</definedName>
    <definedName name="PUB_FileID" hidden="1">"L10003363.xls"</definedName>
    <definedName name="PUB_UserID" hidden="1">"MAYERX"</definedName>
    <definedName name="Pugmill">#REF!</definedName>
    <definedName name="Punjab_National_Bank">#REF!</definedName>
    <definedName name="pvcpipe100">#REF!</definedName>
    <definedName name="pvcpipe150">#REF!</definedName>
    <definedName name="pvcpipe50">#REF!</definedName>
    <definedName name="q">#REF!</definedName>
    <definedName name="qr">#REF!</definedName>
    <definedName name="QS">#REF!</definedName>
    <definedName name="qwe" hidden="1">{#N/A,#N/A,TRUE,"Front";#N/A,#N/A,TRUE,"Simple Letter";#N/A,#N/A,TRUE,"Inside";#N/A,#N/A,TRUE,"Contents";#N/A,#N/A,TRUE,"Basis";#N/A,#N/A,TRUE,"Inclusions";#N/A,#N/A,TRUE,"Exclusions";#N/A,#N/A,TRUE,"Areas";#N/A,#N/A,TRUE,"Summary";#N/A,#N/A,TRUE,"Detail"}</definedName>
    <definedName name="qwera">#REF!</definedName>
    <definedName name="RA">#REF!</definedName>
    <definedName name="Raj" hidden="1">{"'Sheet1'!$A$4386:$N$4591"}</definedName>
    <definedName name="Rampura">#REF!</definedName>
    <definedName name="Range2">[53]Sheet2!$B$2:$B$15</definedName>
    <definedName name="_xlnm.Recorder">#REF!</definedName>
    <definedName name="REINF.DC.2MX1M">'[54]BBS-SLAB'!$S$212</definedName>
    <definedName name="REINF.DC.3MX2.25M">'[54]BBS-SLAB'!$S$221</definedName>
    <definedName name="REINF.RWH.3.5M">'[54]BBS-SLAB'!$S$95</definedName>
    <definedName name="REINF.RWH.3M">'[54]BBS-SLAB'!$S$48</definedName>
    <definedName name="REINF.RWH.4.5M">'[54]BBS-SLAB'!$S$202</definedName>
    <definedName name="REINF.RWH.4M">'[54]BBS-SLAB'!$S$146</definedName>
    <definedName name="Resources" hidden="1">{#N/A,#N/A,FALSE,"Organisation Chart"}</definedName>
    <definedName name="RETAINING">'[55]1.01 (a)'!$J$1254</definedName>
    <definedName name="revc">ROW([56]DATA!$B$3:$B$52)-ROW([56]DATA!$B$3)+1</definedName>
    <definedName name="RiskAutoStopPercChange">1.5</definedName>
    <definedName name="RiskCollectDistributionSamples">2</definedName>
    <definedName name="RiskExcelReportsGoInNewWorkbook">TRUE</definedName>
    <definedName name="RiskExcelReportsToGenerate">0</definedName>
    <definedName name="RiskFixedSeed">1</definedName>
    <definedName name="RiskGenerateExcelReportsAtEndOfSimulation">FALSE</definedName>
    <definedName name="RiskHasSettings">TRUE</definedName>
    <definedName name="RiskLevel">[57]Register!$IV$1:$IV$5</definedName>
    <definedName name="RiskMinimizeOnStart">FALSE</definedName>
    <definedName name="RiskMonitorConvergence">FALSE</definedName>
    <definedName name="RiskNumIterations">1000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howRiskWindowAtEndOfSimulation">TRUE</definedName>
    <definedName name="RiskStandardRecalc">1</definedName>
    <definedName name="RiskStatFunctionsUpdateFreq">1</definedName>
    <definedName name="RiskTemplateSheetName">"myTemplate"</definedName>
    <definedName name="RiskUpdateDisplay">TRUE</definedName>
    <definedName name="RiskUpdateStatFunctions">TRUE</definedName>
    <definedName name="RiskUseDifferentSeedForEachSim">FALSE</definedName>
    <definedName name="RiskUseFixedSeed">FALSE</definedName>
    <definedName name="RiskUseMultipleCPUs">FALSE</definedName>
    <definedName name="Rodbinder">#REF!</definedName>
    <definedName name="roller">#REF!</definedName>
    <definedName name="roughstone">#REF!</definedName>
    <definedName name="ROUNDPIPE40DIA">#REF!</definedName>
    <definedName name="rr">#REF!</definedName>
    <definedName name="rrcost">#N/A</definedName>
    <definedName name="rt">#REF!</definedName>
    <definedName name="S">ROW([56]DATA!$B$3:$B$52)-ROW([56]DATA!$B$3)+1</definedName>
    <definedName name="s1234560">#REF!</definedName>
    <definedName name="sa" hidden="1">{"'AC LOAD'!$H$14:$J$15"}</definedName>
    <definedName name="sab">#REF!</definedName>
    <definedName name="salballies">#REF!</definedName>
    <definedName name="Saleable_Area__Sq.M">#REF!</definedName>
    <definedName name="sand">#REF!</definedName>
    <definedName name="sandfilling">#REF!</definedName>
    <definedName name="SANITARY">#REF!</definedName>
    <definedName name="sarkna">#REF!</definedName>
    <definedName name="sat" hidden="1">{#N/A,#N/A,TRUE,"Front";#N/A,#N/A,TRUE,"Simple Letter";#N/A,#N/A,TRUE,"Inside";#N/A,#N/A,TRUE,"Contents";#N/A,#N/A,TRUE,"Basis";#N/A,#N/A,TRUE,"Inclusions";#N/A,#N/A,TRUE,"Exclusions";#N/A,#N/A,TRUE,"Areas";#N/A,#N/A,TRUE,"Summary";#N/A,#N/A,TRUE,"Detail"}</definedName>
    <definedName name="scraper">#REF!</definedName>
    <definedName name="SCS">#REF!</definedName>
    <definedName name="SCSS">#REF!</definedName>
    <definedName name="sdafdsa" hidden="1">{#N/A,#N/A,TRUE,"Front";#N/A,#N/A,TRUE,"Simple Letter";#N/A,#N/A,TRUE,"Inside";#N/A,#N/A,TRUE,"Contents";#N/A,#N/A,TRUE,"Basis";#N/A,#N/A,TRUE,"Inclusions";#N/A,#N/A,TRUE,"Exclusions";#N/A,#N/A,TRUE,"Areas";#N/A,#N/A,TRUE,"Summary";#N/A,#N/A,TRUE,"Detail"}</definedName>
    <definedName name="sdassdad">#REF!</definedName>
    <definedName name="sddff455">#REF!</definedName>
    <definedName name="SDERT">#REF!</definedName>
    <definedName name="sdfds" hidden="1">{#N/A,#N/A,TRUE,"Front";#N/A,#N/A,TRUE,"Simple Letter";#N/A,#N/A,TRUE,"Inside";#N/A,#N/A,TRUE,"Contents";#N/A,#N/A,TRUE,"Basis";#N/A,#N/A,TRUE,"Inclusions";#N/A,#N/A,TRUE,"Exclusions";#N/A,#N/A,TRUE,"Areas";#N/A,#N/A,TRUE,"Summary";#N/A,#N/A,TRUE,"Detail"}</definedName>
    <definedName name="Sdfgh">#REF!</definedName>
    <definedName name="sdfsd" hidden="1">{#N/A,#N/A,TRUE,"Front";#N/A,#N/A,TRUE,"Simple Letter";#N/A,#N/A,TRUE,"Inside";#N/A,#N/A,TRUE,"Contents";#N/A,#N/A,TRUE,"Basis";#N/A,#N/A,TRUE,"Inclusions";#N/A,#N/A,TRUE,"Exclusions";#N/A,#N/A,TRUE,"Areas";#N/A,#N/A,TRUE,"Summary";#N/A,#N/A,TRUE,"Detail"}</definedName>
    <definedName name="SE">#REF!</definedName>
    <definedName name="Semi">'[39]labour rates'!$C$6</definedName>
    <definedName name="sencount" hidden="1">1</definedName>
    <definedName name="senserpaver">#REF!</definedName>
    <definedName name="Services_Floor">#REF!</definedName>
    <definedName name="SEWERAGE">#REF!</definedName>
    <definedName name="sfssf" hidden="1">'[58]Labor abs-NMR'!$I$1:$I$7</definedName>
    <definedName name="sfvdafv" hidden="1">{#N/A,#N/A,TRUE,"Front";#N/A,#N/A,TRUE,"Simple Letter";#N/A,#N/A,TRUE,"Inside";#N/A,#N/A,TRUE,"Contents";#N/A,#N/A,TRUE,"Basis";#N/A,#N/A,TRUE,"Inclusions";#N/A,#N/A,TRUE,"Exclusions";#N/A,#N/A,TRUE,"Areas";#N/A,#N/A,TRUE,"Summary";#N/A,#N/A,TRUE,"Detail"}</definedName>
    <definedName name="shape.codes" hidden="1">[18]SCHEDULE!$AU$9:$BV$9</definedName>
    <definedName name="SHARED_FORMULA_5_239_5_239_3">+((5200)*1.03)</definedName>
    <definedName name="SHARED_FORMULA_5_256_5_256_8">300*10.764*1.1+((((0.024*0.25*1.02*1000*1.05)+2*1.05)*(275/50)+4.5*1.05*23)+((1.07/2)*0.024*(8000/2.83)*1.05*1.15)+((1.07/2)*0.024*(6000/2.83)*1.05*1.15)+50*1.05)</definedName>
    <definedName name="SHARED_FORMULA_5_284_5_284_8">300*10.764*1.1+((((0.024*0.25*1.05*1000)+4.5*1.05)*(275/50)+2*23*1.05)+((1.07/2)*0.024*(8000/2.83)*1.05*1.15)+((1.07/2)*0.024*(6000/2.83)*1.05*1.15)+50*1.05)</definedName>
    <definedName name="SHARED_FORMULA_5_335_5_335_8">(200*10.764*1.15+(((0.024*0.38*1000*1.05))*(5.5)+3*1.05*23)+((1.07/2)*0.024*(8000/2.83)*1.05*1.15)+((1.07/2)*0.024*(6000/2.83)*1.05*1.15)+(50*1.05))*0.3</definedName>
    <definedName name="SHARED_FORMULA_5_382_5_382_8">300*10.764*1.15+(((0.024*0.38*1.05*1000)*(275/50)+5*1.05*23))+((1.07/2)*0.024*(8000/2.83)*1.05*1.15)+((1.07/2)*0.024*(6000/2.83)*1.05*1.15)+50*1.05</definedName>
    <definedName name="SHARED_FORMULA_5_413_5_413_8">300*10.764*1.15+250*1.05</definedName>
    <definedName name="Shoulder">#REF!</definedName>
    <definedName name="Show.Acct.Update.Warning" hidden="1">#REF!</definedName>
    <definedName name="Show.MDB.Update.Warning" hidden="1">#REF!</definedName>
    <definedName name="SHS20LIGHT">'[37]Unit Weight'!$B$14</definedName>
    <definedName name="SHS40LIGHT">'[37]Unit Weight'!$B$15</definedName>
    <definedName name="shutter">#REF!</definedName>
    <definedName name="shutteringtimber">#REF!</definedName>
    <definedName name="SK">#REF!</definedName>
    <definedName name="Skil">'[39]labour rates'!$C$7</definedName>
    <definedName name="skilldresser">#REF!</definedName>
    <definedName name="skilledmazdoor">#REF!</definedName>
    <definedName name="skillmazdoor">#REF!</definedName>
    <definedName name="Skirting">'[25]Fin Sum'!$E$1:$E$26</definedName>
    <definedName name="SLC">[29]Supplier!$A$2:$B$3409</definedName>
    <definedName name="slss">#REF!</definedName>
    <definedName name="slsssss">#REF!</definedName>
    <definedName name="slssssss">#REF!</definedName>
    <definedName name="SM">#REF!</definedName>
    <definedName name="sohan">#REF!</definedName>
    <definedName name="SOIL">#REF!</definedName>
    <definedName name="SPR">#REF!</definedName>
    <definedName name="sprayer">#REF!</definedName>
    <definedName name="SR_NO.">'[5]MASTER_RATE ANALYSIS'!$B$190:$G$190</definedName>
    <definedName name="srtthyrt" hidden="1">{#N/A,#N/A,TRUE,"Front";#N/A,#N/A,TRUE,"Simple Letter";#N/A,#N/A,TRUE,"Inside";#N/A,#N/A,TRUE,"Contents";#N/A,#N/A,TRUE,"Basis";#N/A,#N/A,TRUE,"Inclusions";#N/A,#N/A,TRUE,"Exclusions";#N/A,#N/A,TRUE,"Areas";#N/A,#N/A,TRUE,"Summary";#N/A,#N/A,TRUE,"Detail"}</definedName>
    <definedName name="sss">#REF!</definedName>
    <definedName name="ssss">#REF!</definedName>
    <definedName name="ssss056">#REF!</definedName>
    <definedName name="sssss15605">#REF!</definedName>
    <definedName name="ssssss">#REF!</definedName>
    <definedName name="sssssss">#REF!</definedName>
    <definedName name="ssssssslff">#REF!</definedName>
    <definedName name="ssssssss">#REF!</definedName>
    <definedName name="ssssssss456">#REF!</definedName>
    <definedName name="sssssssssss">#REF!</definedName>
    <definedName name="ssssssSsssss45566s">#REF!</definedName>
    <definedName name="staff" hidden="1">{#N/A,#N/A,TRUE,"Front";#N/A,#N/A,TRUE,"Simple Letter";#N/A,#N/A,TRUE,"Inside";#N/A,#N/A,TRUE,"Contents";#N/A,#N/A,TRUE,"Basis";#N/A,#N/A,TRUE,"Inclusions";#N/A,#N/A,TRUE,"Exclusions";#N/A,#N/A,TRUE,"Areas";#N/A,#N/A,TRUE,"Summary";#N/A,#N/A,TRUE,"Detail"}</definedName>
    <definedName name="Stage">'[33]Fill this out first...'!$D$12</definedName>
    <definedName name="staticpaver">#REF!</definedName>
    <definedName name="stationary">#REF!</definedName>
    <definedName name="Status">[52]Legend!$A$8:$A$10</definedName>
    <definedName name="STE">#REF!</definedName>
    <definedName name="steelbars">#REF!</definedName>
    <definedName name="steelrod">#REF!</definedName>
    <definedName name="steelstrands">#REF!</definedName>
    <definedName name="steelwire">#REF!</definedName>
    <definedName name="steelwires">#REF!</definedName>
    <definedName name="Stirrups">#REF!</definedName>
    <definedName name="stonebreaker">#REF!</definedName>
    <definedName name="strands">#REF!</definedName>
    <definedName name="structuralsteel">#REF!</definedName>
    <definedName name="su">'[39]labour rates'!$C$2</definedName>
    <definedName name="Subgrade">#REF!</definedName>
    <definedName name="substructure">#REF!</definedName>
    <definedName name="sumana">#REF!</definedName>
    <definedName name="SUMCOLUMN">#REF!</definedName>
    <definedName name="summ" hidden="1">{#N/A,#N/A,TRUE,"Front";#N/A,#N/A,TRUE,"Simple Letter";#N/A,#N/A,TRUE,"Inside";#N/A,#N/A,TRUE,"Contents";#N/A,#N/A,TRUE,"Basis";#N/A,#N/A,TRUE,"Inclusions";#N/A,#N/A,TRUE,"Exclusions";#N/A,#N/A,TRUE,"Areas";#N/A,#N/A,TRUE,"Summary";#N/A,#N/A,TRUE,"Detail"}</definedName>
    <definedName name="SUMRETAINING">'[59]1.01 (a)'!$J$1254</definedName>
    <definedName name="SUMSHEAR">#REF!</definedName>
    <definedName name="super">#REF!</definedName>
    <definedName name="suresh" hidden="1">{#N/A,#N/A,TRUE,"Front";#N/A,#N/A,TRUE,"Simple Letter";#N/A,#N/A,TRUE,"Inside";#N/A,#N/A,TRUE,"Contents";#N/A,#N/A,TRUE,"Basis";#N/A,#N/A,TRUE,"Inclusions";#N/A,#N/A,TRUE,"Exclusions";#N/A,#N/A,TRUE,"Areas";#N/A,#N/A,TRUE,"Summary";#N/A,#N/A,TRUE,"Detail"}</definedName>
    <definedName name="SuS">#REF!</definedName>
    <definedName name="system">'[39]labour rates'!$C$5</definedName>
    <definedName name="tab_4_a">'[31]Table 4'!$A$9:$H$18</definedName>
    <definedName name="tab_4_b">'[31]Table 4'!$A$24:$H$33</definedName>
    <definedName name="tab_4_c">'[31]Table 4'!$A$39:$H$48</definedName>
    <definedName name="tab_5">'[31]Table 5'!$A$7:$I$16</definedName>
    <definedName name="Table_2">'[31]Table 2'!$A$7:$D$25</definedName>
    <definedName name="table_27">'[31]Table 27'!$A$7:$O$15</definedName>
    <definedName name="Table_Md">'[14]Back_Cal_for OMC'!$G$7:$J$7</definedName>
    <definedName name="table1">'[11]SPT vs PHI'!$E$2:$F$47</definedName>
    <definedName name="TableName">"Dummy"</definedName>
    <definedName name="TAHOMA">#REF!</definedName>
    <definedName name="tarnian">#REF!</definedName>
    <definedName name="telephonepoles">#N/A</definedName>
    <definedName name="TEST0">#REF!</definedName>
    <definedName name="TESTHKEY">#REF!</definedName>
    <definedName name="TESTKEYS">#REF!</definedName>
    <definedName name="TESTVKEY">#REF!</definedName>
    <definedName name="TextRefCopyRangeCount" hidden="1">2</definedName>
    <definedName name="Tiles">#REF!</definedName>
    <definedName name="tim">[60]Construction!$S$36:$S$74</definedName>
    <definedName name="timber">'[10]Material '!$G$30</definedName>
    <definedName name="tipp5t">#REF!</definedName>
    <definedName name="tipper">#REF!</definedName>
    <definedName name="tipper5t">#REF!</definedName>
    <definedName name="Title">#REF!</definedName>
    <definedName name="tractor">#REF!</definedName>
    <definedName name="transitmixer">#REF!</definedName>
    <definedName name="truck5t">#REF!</definedName>
    <definedName name="tttt" hidden="1">{#N/A,#N/A,TRUE,"Front";#N/A,#N/A,TRUE,"Simple Letter";#N/A,#N/A,TRUE,"Inside";#N/A,#N/A,TRUE,"Contents";#N/A,#N/A,TRUE,"Basis";#N/A,#N/A,TRUE,"Inclusions";#N/A,#N/A,TRUE,"Exclusions";#N/A,#N/A,TRUE,"Areas";#N/A,#N/A,TRUE,"Summary";#N/A,#N/A,TRUE,"Detail"}</definedName>
    <definedName name="ty">#REF!</definedName>
    <definedName name="type">'[33]Fill this out first...'!$D$13</definedName>
    <definedName name="U_CLIP">'[16]Unit Weight'!$B$7</definedName>
    <definedName name="Unit">#REF!</definedName>
    <definedName name="unit_wts_22">#N/A</definedName>
    <definedName name="Unit_wts_23">#N/A</definedName>
    <definedName name="Unit_wts_24">#N/A</definedName>
    <definedName name="v" hidden="1">{"'AC LOAD'!$H$14:$J$15"}</definedName>
    <definedName name="VADODARA_________________________________CLIENT_______________M_s">'[5]MASTER_RATE ANALYSIS'!$B$185:$G$185</definedName>
    <definedName name="vbvbvb" hidden="1">{#N/A,#N/A,TRUE,"Front";#N/A,#N/A,TRUE,"Simple Letter";#N/A,#N/A,TRUE,"Inside";#N/A,#N/A,TRUE,"Contents";#N/A,#N/A,TRUE,"Basis";#N/A,#N/A,TRUE,"Inclusions";#N/A,#N/A,TRUE,"Exclusions";#N/A,#N/A,TRUE,"Areas";#N/A,#N/A,TRUE,"Summary";#N/A,#N/A,TRUE,"Detail"}</definedName>
    <definedName name="vbvbvvv" hidden="1">{#N/A,#N/A,TRUE,"Front";#N/A,#N/A,TRUE,"Simple Letter";#N/A,#N/A,TRUE,"Inside";#N/A,#N/A,TRUE,"Contents";#N/A,#N/A,TRUE,"Basis";#N/A,#N/A,TRUE,"Inclusions";#N/A,#N/A,TRUE,"Exclusions";#N/A,#N/A,TRUE,"Areas";#N/A,#N/A,TRUE,"Summary";#N/A,#N/A,TRUE,"Detail"}</definedName>
    <definedName name="vibrator">#REF!</definedName>
    <definedName name="vibro">#REF!</definedName>
    <definedName name="vvvvv">#REF!</definedName>
    <definedName name="W">#REF!</definedName>
    <definedName name="Waiting">"Picture 1"</definedName>
    <definedName name="Wall_Fin">'[25]Fin Sum'!$K$1:$K$26</definedName>
    <definedName name="WATER">#REF!</definedName>
    <definedName name="watertank">#REF!</definedName>
    <definedName name="watertanker">#REF!</definedName>
    <definedName name="wearingcourse">#REF!</definedName>
    <definedName name="weepholes">#REF!</definedName>
    <definedName name="Welder">#REF!</definedName>
    <definedName name="welderhelper">#REF!</definedName>
    <definedName name="wertdft">#REF!</definedName>
    <definedName name="wire">'[39]labour rates'!$C$2</definedName>
    <definedName name="Wires">'[39]labour rates'!$C$3</definedName>
    <definedName name="WMM">#REF!</definedName>
    <definedName name="wmmplant">#REF!</definedName>
    <definedName name="wrn.ADSS._.CONT._.432._._._.Organisation._.Chart." hidden="1">{#N/A,#N/A,FALSE,"Organisation Chart"}</definedName>
    <definedName name="wrn.Full._.Report." hidden="1">{#N/A,#N/A,TRUE,"Front";#N/A,#N/A,TRUE,"Simple Letter";#N/A,#N/A,TRUE,"Inside";#N/A,#N/A,TRUE,"Contents";#N/A,#N/A,TRUE,"Basis";#N/A,#N/A,TRUE,"Inclusions";#N/A,#N/A,TRUE,"Exclusions";#N/A,#N/A,TRUE,"Areas";#N/A,#N/A,TRUE,"Summary";#N/A,#N/A,TRUE,"Detail"}</definedName>
    <definedName name="wrn.WorkBook._.Print."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fulla" hidden="1">{#N/A,#N/A,TRUE,"Front";#N/A,#N/A,TRUE,"Simple Letter";#N/A,#N/A,TRUE,"Inside";#N/A,#N/A,TRUE,"Contents";#N/A,#N/A,TRUE,"Basis";#N/A,#N/A,TRUE,"Inclusions";#N/A,#N/A,TRUE,"Exclusions";#N/A,#N/A,TRUE,"Areas";#N/A,#N/A,TRUE,"Summary";#N/A,#N/A,TRUE,"Detail"}</definedName>
    <definedName name="WRNFULLA1" hidden="1">{#N/A,#N/A,TRUE,"Front";#N/A,#N/A,TRUE,"Simple Letter";#N/A,#N/A,TRUE,"Inside";#N/A,#N/A,TRUE,"Contents";#N/A,#N/A,TRUE,"Basis";#N/A,#N/A,TRUE,"Inclusions";#N/A,#N/A,TRUE,"Exclusions";#N/A,#N/A,TRUE,"Areas";#N/A,#N/A,TRUE,"Summary";#N/A,#N/A,TRUE,"Detail"}</definedName>
    <definedName name="WWWRTCF">#REF!</definedName>
    <definedName name="x" hidden="1">{"'AC LOAD'!$H$14:$J$15"}</definedName>
    <definedName name="XRefColumnsCount" hidden="1">12</definedName>
    <definedName name="XRefCopyRangeCount" hidden="1">7</definedName>
    <definedName name="XRefPasteRangeCount" hidden="1">142</definedName>
    <definedName name="xxxx" hidden="1">{#N/A,#N/A,TRUE,"Front";#N/A,#N/A,TRUE,"Simple Letter";#N/A,#N/A,TRUE,"Inside";#N/A,#N/A,TRUE,"Contents";#N/A,#N/A,TRUE,"Basis";#N/A,#N/A,TRUE,"Inclusions";#N/A,#N/A,TRUE,"Exclusions";#N/A,#N/A,TRUE,"Areas";#N/A,#N/A,TRUE,"Summary";#N/A,#N/A,TRUE,"Detail"}</definedName>
    <definedName name="xxxxxxxxx">#REF!</definedName>
    <definedName name="Y" hidden="1">{#N/A,#N/A,TRUE,"Front";#N/A,#N/A,TRUE,"Simple Letter";#N/A,#N/A,TRUE,"Inside";#N/A,#N/A,TRUE,"Contents";#N/A,#N/A,TRUE,"Basis";#N/A,#N/A,TRUE,"Inclusions";#N/A,#N/A,TRUE,"Exclusions";#N/A,#N/A,TRUE,"Areas";#N/A,#N/A,TRUE,"Summary";#N/A,#N/A,TRUE,"Detail"}</definedName>
    <definedName name="yyyy" hidden="1">{#N/A,#N/A,TRUE,"Front";#N/A,#N/A,TRUE,"Simple Letter";#N/A,#N/A,TRUE,"Inside";#N/A,#N/A,TRUE,"Contents";#N/A,#N/A,TRUE,"Basis";#N/A,#N/A,TRUE,"Inclusions";#N/A,#N/A,TRUE,"Exclusions";#N/A,#N/A,TRUE,"Areas";#N/A,#N/A,TRUE,"Summary";#N/A,#N/A,TRUE,"Detail"}</definedName>
    <definedName name="yyyyyy" hidden="1">{#N/A,#N/A,TRUE,"Front";#N/A,#N/A,TRUE,"Simple Letter";#N/A,#N/A,TRUE,"Inside";#N/A,#N/A,TRUE,"Contents";#N/A,#N/A,TRUE,"Basis";#N/A,#N/A,TRUE,"Inclusions";#N/A,#N/A,TRUE,"Exclusions";#N/A,#N/A,TRUE,"Areas";#N/A,#N/A,TRUE,"Summary";#N/A,#N/A,TRUE,"Detail"}</definedName>
    <definedName name="z">#REF!</definedName>
    <definedName name="Z_5A4CDE39_BC84_48C0_8208_6970E7A71896_.wvu.Cols" hidden="1">'[61]GM &amp; TA'!$F$1:$F$65536,'[61]GM &amp; TA'!$G$1:$G$65536,'[61]GM &amp; TA'!$I$1:$T$65536</definedName>
    <definedName name="Z_64FBE21F_D610_4122_B662_C1CA556F0E6B_.wvu.Rows" hidden="1">[62]Macro!$A$9:$IV$47,[62]Macro!$A$49:$IV$49</definedName>
    <definedName name="Z_SHUTTER_INNER_FRAME">'[16]Unit Weight'!$B$6</definedName>
    <definedName name="Z_SHUTTER_OUTER_FRAME">'[16]Unit Weight'!$B$5</definedName>
    <definedName name="Zero">#REF!</definedName>
    <definedName name="Zip1" hidden="1">{#N/A,#N/A,TRUE,"Front";#N/A,#N/A,TRUE,"Simple Letter";#N/A,#N/A,TRUE,"Inside";#N/A,#N/A,TRUE,"Contents";#N/A,#N/A,TRUE,"Basis";#N/A,#N/A,TRUE,"Inclusions";#N/A,#N/A,TRUE,"Exclusions";#N/A,#N/A,TRUE,"Areas";#N/A,#N/A,TRUE,"Summary";#N/A,#N/A,TRUE,"Detail"}</definedName>
    <definedName name="ZONE">#REF!</definedName>
    <definedName name="zxcdfe">#REF!</definedName>
    <definedName name="管理施設費計">#REF!</definedName>
  </definedNames>
  <calcPr calcId="152511"/>
</workbook>
</file>

<file path=xl/calcChain.xml><?xml version="1.0" encoding="utf-8"?>
<calcChain xmlns="http://schemas.openxmlformats.org/spreadsheetml/2006/main">
  <c r="F54" i="3" l="1"/>
  <c r="K91" i="17" l="1"/>
  <c r="K89" i="17"/>
  <c r="K88" i="17"/>
  <c r="K87" i="17"/>
  <c r="K86" i="17"/>
  <c r="K85" i="17"/>
  <c r="K84" i="17"/>
  <c r="K83" i="17"/>
  <c r="K82" i="17"/>
  <c r="K81" i="17"/>
  <c r="K80" i="17"/>
  <c r="K78" i="17"/>
  <c r="K77" i="17"/>
  <c r="K76" i="17"/>
  <c r="K75" i="17"/>
  <c r="K74" i="17"/>
  <c r="J74" i="17"/>
  <c r="K73" i="17"/>
  <c r="K72" i="17"/>
  <c r="K71" i="17"/>
  <c r="K70" i="17"/>
  <c r="K69" i="17"/>
  <c r="K68" i="17"/>
  <c r="J68" i="17"/>
  <c r="K67" i="17"/>
  <c r="J67" i="17"/>
  <c r="K66" i="17"/>
  <c r="J66" i="17"/>
  <c r="K65" i="17"/>
  <c r="J65" i="17"/>
  <c r="K64" i="17"/>
  <c r="J64" i="17"/>
  <c r="K63" i="17"/>
  <c r="J63" i="17"/>
  <c r="K62" i="17"/>
  <c r="J62" i="17"/>
  <c r="K60" i="17"/>
  <c r="J60" i="17"/>
  <c r="K59" i="17"/>
  <c r="J59" i="17"/>
  <c r="K58" i="17"/>
  <c r="K57" i="17"/>
  <c r="J57" i="17"/>
  <c r="K56" i="17"/>
  <c r="J56" i="17"/>
  <c r="K55" i="17"/>
  <c r="K54" i="17"/>
  <c r="J54" i="17"/>
  <c r="K53" i="17"/>
  <c r="J53" i="17"/>
  <c r="K52" i="17"/>
  <c r="J52" i="17"/>
  <c r="K51" i="17"/>
  <c r="J51" i="17"/>
  <c r="K50" i="17"/>
  <c r="J50" i="17"/>
  <c r="K49" i="17"/>
  <c r="J49" i="17"/>
  <c r="K48" i="17"/>
  <c r="J48" i="17"/>
  <c r="K47" i="17"/>
  <c r="K46" i="17"/>
  <c r="J46" i="17"/>
  <c r="K45" i="17"/>
  <c r="J45" i="17"/>
  <c r="K44" i="17"/>
  <c r="J44" i="17"/>
  <c r="K42" i="17"/>
  <c r="J42" i="17"/>
  <c r="K41" i="17"/>
  <c r="J41" i="17"/>
  <c r="K40" i="17"/>
  <c r="J40" i="17"/>
  <c r="K39" i="17"/>
  <c r="J39" i="17"/>
  <c r="K38" i="17"/>
  <c r="J38" i="17"/>
  <c r="K37" i="17"/>
  <c r="J37" i="17"/>
  <c r="K36" i="17"/>
  <c r="J36" i="17"/>
  <c r="K35" i="17"/>
  <c r="K34" i="17"/>
  <c r="J34" i="17"/>
  <c r="K33" i="17"/>
  <c r="J33" i="17"/>
  <c r="K32" i="17"/>
  <c r="J32" i="17"/>
  <c r="K31" i="17"/>
  <c r="J31" i="17"/>
  <c r="K30" i="17"/>
  <c r="J30" i="17"/>
  <c r="K29" i="17"/>
  <c r="K28" i="17"/>
  <c r="J28" i="17"/>
  <c r="K27" i="17"/>
  <c r="K26" i="17"/>
  <c r="J26" i="17"/>
  <c r="K25" i="17"/>
  <c r="J25" i="17"/>
  <c r="K24" i="17"/>
  <c r="J24" i="17"/>
  <c r="K23" i="17"/>
  <c r="J23" i="17"/>
  <c r="K22" i="17"/>
  <c r="J22" i="17"/>
  <c r="K21" i="17"/>
  <c r="J21" i="17"/>
  <c r="K20" i="17"/>
  <c r="J20" i="17"/>
  <c r="D14" i="17"/>
  <c r="D13" i="17"/>
  <c r="C13" i="17"/>
  <c r="B13" i="17"/>
  <c r="C12" i="17"/>
  <c r="B12" i="17"/>
  <c r="B11" i="17"/>
  <c r="D9" i="17"/>
  <c r="B9" i="17"/>
  <c r="E8" i="17"/>
  <c r="D8" i="17"/>
  <c r="B8" i="17"/>
  <c r="E7" i="17"/>
  <c r="D7" i="17"/>
  <c r="D14" i="6"/>
  <c r="D13" i="6"/>
  <c r="D12" i="6"/>
  <c r="D11" i="6"/>
  <c r="D10" i="6"/>
  <c r="D9" i="6"/>
  <c r="D8" i="6"/>
  <c r="D5" i="6"/>
  <c r="D3" i="6"/>
  <c r="D4" i="6" s="1"/>
  <c r="G2" i="6"/>
  <c r="F2" i="6"/>
  <c r="D2" i="6"/>
  <c r="F156" i="3"/>
  <c r="F142" i="3"/>
  <c r="F143" i="3" s="1"/>
  <c r="F131" i="3"/>
  <c r="F132" i="3" s="1"/>
  <c r="F115" i="3"/>
  <c r="F114" i="3"/>
  <c r="F113" i="3"/>
  <c r="F112" i="3"/>
  <c r="F109" i="3"/>
  <c r="F108" i="3"/>
  <c r="F100" i="3"/>
  <c r="F98" i="3"/>
  <c r="F97" i="3"/>
  <c r="F94" i="3"/>
  <c r="F93" i="3"/>
  <c r="F90" i="3"/>
  <c r="F88" i="3"/>
  <c r="F82" i="3"/>
  <c r="F81" i="3"/>
  <c r="F80" i="3"/>
  <c r="F74" i="3"/>
  <c r="F72" i="3"/>
  <c r="F71" i="3"/>
  <c r="F70" i="3"/>
  <c r="F67" i="3"/>
  <c r="F66" i="3"/>
  <c r="F65" i="3"/>
  <c r="F63" i="3"/>
  <c r="F57" i="3"/>
  <c r="F56" i="3"/>
  <c r="F55" i="3"/>
  <c r="F51" i="3"/>
  <c r="F50" i="3"/>
  <c r="F49" i="3"/>
  <c r="F47" i="3"/>
  <c r="F43" i="3"/>
  <c r="F42" i="3"/>
  <c r="F41" i="3"/>
  <c r="F36" i="3"/>
  <c r="F35" i="3"/>
  <c r="F33" i="3"/>
  <c r="AY35" i="2"/>
  <c r="AW35" i="2"/>
  <c r="AV35" i="2"/>
  <c r="AU35" i="2"/>
  <c r="AT35" i="2"/>
  <c r="AS35" i="2"/>
  <c r="AR35" i="2"/>
  <c r="AQ35" i="2"/>
  <c r="AP35" i="2"/>
  <c r="AO35" i="2"/>
  <c r="AN35" i="2"/>
  <c r="AM35" i="2"/>
  <c r="AL35" i="2"/>
  <c r="AK35" i="2"/>
  <c r="AJ35" i="2"/>
  <c r="AI35" i="2"/>
  <c r="AH35" i="2"/>
  <c r="AG35" i="2"/>
  <c r="AF35" i="2"/>
  <c r="AE35" i="2"/>
  <c r="AD35" i="2"/>
  <c r="AC35" i="2"/>
  <c r="AB35" i="2"/>
  <c r="AA35" i="2"/>
  <c r="Z35" i="2"/>
  <c r="Y35" i="2"/>
  <c r="X35" i="2"/>
  <c r="W35" i="2"/>
  <c r="V35" i="2"/>
  <c r="U35" i="2"/>
  <c r="T35" i="2"/>
  <c r="S35" i="2"/>
  <c r="R35" i="2"/>
  <c r="Q35" i="2"/>
  <c r="P35" i="2"/>
  <c r="O35" i="2"/>
  <c r="N35" i="2"/>
  <c r="M35" i="2"/>
  <c r="L35" i="2"/>
  <c r="K35" i="2"/>
  <c r="J35" i="2"/>
  <c r="I35" i="2"/>
  <c r="H35" i="2"/>
  <c r="G35" i="2"/>
  <c r="F35" i="2"/>
  <c r="E35" i="2"/>
  <c r="D35" i="2"/>
  <c r="AY34" i="2"/>
  <c r="AW34" i="2"/>
  <c r="AV34" i="2"/>
  <c r="AU34" i="2"/>
  <c r="AT34" i="2"/>
  <c r="AS34" i="2"/>
  <c r="AR34" i="2"/>
  <c r="AQ34" i="2"/>
  <c r="AP34" i="2"/>
  <c r="AO34" i="2"/>
  <c r="AN34" i="2"/>
  <c r="AM34" i="2"/>
  <c r="AL34" i="2"/>
  <c r="AK34" i="2"/>
  <c r="AJ34" i="2"/>
  <c r="AI34" i="2"/>
  <c r="AH34" i="2"/>
  <c r="AG34" i="2"/>
  <c r="AF34" i="2"/>
  <c r="AE34" i="2"/>
  <c r="AD34" i="2"/>
  <c r="AC34" i="2"/>
  <c r="AB34" i="2"/>
  <c r="AA34" i="2"/>
  <c r="Z34" i="2"/>
  <c r="Y34" i="2"/>
  <c r="X34" i="2"/>
  <c r="W34" i="2"/>
  <c r="V34" i="2"/>
  <c r="U34" i="2"/>
  <c r="T34" i="2"/>
  <c r="S34" i="2"/>
  <c r="R34" i="2"/>
  <c r="Q34" i="2"/>
  <c r="P34" i="2"/>
  <c r="O34" i="2"/>
  <c r="N34" i="2"/>
  <c r="M34" i="2"/>
  <c r="L34" i="2"/>
  <c r="K34" i="2"/>
  <c r="J34" i="2"/>
  <c r="I34" i="2"/>
  <c r="H34" i="2"/>
  <c r="G34" i="2"/>
  <c r="F34" i="2"/>
  <c r="E34" i="2"/>
  <c r="D34" i="2"/>
  <c r="AY32" i="2"/>
  <c r="AW32" i="2"/>
  <c r="AV32" i="2"/>
  <c r="AU32" i="2"/>
  <c r="AT32" i="2"/>
  <c r="AS32" i="2"/>
  <c r="AR32" i="2"/>
  <c r="AQ32" i="2"/>
  <c r="AP32" i="2"/>
  <c r="AO32" i="2"/>
  <c r="AN32" i="2"/>
  <c r="AM32" i="2"/>
  <c r="AL32" i="2"/>
  <c r="AK32" i="2"/>
  <c r="AJ32" i="2"/>
  <c r="AI32" i="2"/>
  <c r="AH32" i="2"/>
  <c r="AG32" i="2"/>
  <c r="AF32" i="2"/>
  <c r="AE32" i="2"/>
  <c r="AD32" i="2"/>
  <c r="AC32" i="2"/>
  <c r="AB32" i="2"/>
  <c r="AA32" i="2"/>
  <c r="Z32" i="2"/>
  <c r="Y32" i="2"/>
  <c r="X32" i="2"/>
  <c r="W32" i="2"/>
  <c r="V32" i="2"/>
  <c r="U32" i="2"/>
  <c r="T32" i="2"/>
  <c r="S32" i="2"/>
  <c r="R32" i="2"/>
  <c r="Q32" i="2"/>
  <c r="P32" i="2"/>
  <c r="O32" i="2"/>
  <c r="N32" i="2"/>
  <c r="M32" i="2"/>
  <c r="L32" i="2"/>
  <c r="K32" i="2"/>
  <c r="J32" i="2"/>
  <c r="I32" i="2"/>
  <c r="H32" i="2"/>
  <c r="G32" i="2"/>
  <c r="F32" i="2"/>
  <c r="E32" i="2"/>
  <c r="D32" i="2"/>
  <c r="D31" i="2"/>
  <c r="AY30" i="2"/>
  <c r="N30" i="2"/>
  <c r="M30" i="2"/>
  <c r="L30" i="2"/>
  <c r="K30" i="2"/>
  <c r="J30" i="2"/>
  <c r="I30" i="2"/>
  <c r="H30" i="2"/>
  <c r="G30" i="2"/>
  <c r="D30" i="2"/>
  <c r="AY29" i="2"/>
  <c r="AW29" i="2"/>
  <c r="AV29" i="2"/>
  <c r="AU29" i="2"/>
  <c r="AT29" i="2"/>
  <c r="AS29" i="2"/>
  <c r="AR29" i="2"/>
  <c r="AQ29" i="2"/>
  <c r="AP29" i="2"/>
  <c r="AO29" i="2"/>
  <c r="AN29" i="2"/>
  <c r="AM29" i="2"/>
  <c r="AL29" i="2"/>
  <c r="AK29" i="2"/>
  <c r="AJ29" i="2"/>
  <c r="AI29" i="2"/>
  <c r="AH29" i="2"/>
  <c r="AG29" i="2"/>
  <c r="AF29" i="2"/>
  <c r="AE29" i="2"/>
  <c r="AD29" i="2"/>
  <c r="AC29" i="2"/>
  <c r="AB29" i="2"/>
  <c r="AA29" i="2"/>
  <c r="Z29" i="2"/>
  <c r="Y29" i="2"/>
  <c r="X29" i="2"/>
  <c r="W29" i="2"/>
  <c r="V29" i="2"/>
  <c r="U29" i="2"/>
  <c r="T29" i="2"/>
  <c r="S29" i="2"/>
  <c r="R29" i="2"/>
  <c r="Q29" i="2"/>
  <c r="P29" i="2"/>
  <c r="O29" i="2"/>
  <c r="N29" i="2"/>
  <c r="M29" i="2"/>
  <c r="L29" i="2"/>
  <c r="K29" i="2"/>
  <c r="J29" i="2"/>
  <c r="I29" i="2"/>
  <c r="H29" i="2"/>
  <c r="G29" i="2"/>
  <c r="F29" i="2"/>
  <c r="E29" i="2"/>
  <c r="D29" i="2"/>
  <c r="AY28" i="2"/>
  <c r="AW28" i="2"/>
  <c r="AV28" i="2"/>
  <c r="AU28" i="2"/>
  <c r="AT28" i="2"/>
  <c r="AS28" i="2"/>
  <c r="AR28" i="2"/>
  <c r="AQ28" i="2"/>
  <c r="AP28" i="2"/>
  <c r="AO28" i="2"/>
  <c r="AN28" i="2"/>
  <c r="AM28" i="2"/>
  <c r="AL28" i="2"/>
  <c r="AK28" i="2"/>
  <c r="AJ28" i="2"/>
  <c r="AI28" i="2"/>
  <c r="AH28" i="2"/>
  <c r="AG28" i="2"/>
  <c r="AF28" i="2"/>
  <c r="AE28" i="2"/>
  <c r="AD28" i="2"/>
  <c r="AC28" i="2"/>
  <c r="AB28" i="2"/>
  <c r="AA28" i="2"/>
  <c r="Z28" i="2"/>
  <c r="Y28" i="2"/>
  <c r="X28" i="2"/>
  <c r="W28" i="2"/>
  <c r="V28" i="2"/>
  <c r="U28" i="2"/>
  <c r="T28" i="2"/>
  <c r="S28" i="2"/>
  <c r="R28" i="2"/>
  <c r="Q28" i="2"/>
  <c r="P28" i="2"/>
  <c r="O28" i="2"/>
  <c r="N28" i="2"/>
  <c r="M28" i="2"/>
  <c r="L28" i="2"/>
  <c r="K28" i="2"/>
  <c r="J28" i="2"/>
  <c r="I28" i="2"/>
  <c r="H28" i="2"/>
  <c r="G28" i="2"/>
  <c r="F28" i="2"/>
  <c r="E28" i="2"/>
  <c r="D28" i="2"/>
  <c r="AT27" i="2"/>
  <c r="AS27" i="2"/>
  <c r="AR27" i="2"/>
  <c r="AQ27" i="2"/>
  <c r="AP27" i="2"/>
  <c r="AO27" i="2"/>
  <c r="AN27" i="2"/>
  <c r="AM27" i="2"/>
  <c r="AL27" i="2"/>
  <c r="AK27" i="2"/>
  <c r="D27" i="2"/>
  <c r="C27" i="2"/>
  <c r="AY26" i="2"/>
  <c r="AL26" i="2"/>
  <c r="AK26" i="2"/>
  <c r="AJ26" i="2"/>
  <c r="AI26" i="2"/>
  <c r="AH26" i="2"/>
  <c r="AG26" i="2"/>
  <c r="AF26" i="2"/>
  <c r="AE26" i="2"/>
  <c r="AD26" i="2"/>
  <c r="AC26" i="2"/>
  <c r="AB26" i="2"/>
  <c r="AA26" i="2"/>
  <c r="Z26" i="2"/>
  <c r="Y26" i="2"/>
  <c r="X26" i="2"/>
  <c r="D26" i="2"/>
  <c r="AY25" i="2"/>
  <c r="AO25" i="2"/>
  <c r="AN25" i="2"/>
  <c r="AM25" i="2"/>
  <c r="AL25" i="2"/>
  <c r="AK25" i="2"/>
  <c r="AJ25" i="2"/>
  <c r="AI25" i="2"/>
  <c r="AH25" i="2"/>
  <c r="D25" i="2"/>
  <c r="AY24" i="2"/>
  <c r="AO24" i="2"/>
  <c r="AN24" i="2"/>
  <c r="AM24" i="2"/>
  <c r="AL24" i="2"/>
  <c r="AK24" i="2"/>
  <c r="AJ24" i="2"/>
  <c r="AI24" i="2"/>
  <c r="AH24" i="2"/>
  <c r="D24" i="2"/>
  <c r="AY23" i="2"/>
  <c r="AL23" i="2"/>
  <c r="AK23" i="2"/>
  <c r="AJ23" i="2"/>
  <c r="AI23" i="2"/>
  <c r="AH23" i="2"/>
  <c r="AG23" i="2"/>
  <c r="AF23" i="2"/>
  <c r="AE23" i="2"/>
  <c r="AD23" i="2"/>
  <c r="AC23" i="2"/>
  <c r="AB23" i="2"/>
  <c r="AA23" i="2"/>
  <c r="Z23" i="2"/>
  <c r="Y23" i="2"/>
  <c r="X23" i="2"/>
  <c r="D23" i="2"/>
  <c r="AY22" i="2"/>
  <c r="AQ22" i="2"/>
  <c r="AP22" i="2"/>
  <c r="AO22" i="2"/>
  <c r="AN22" i="2"/>
  <c r="AM22" i="2"/>
  <c r="AL22" i="2"/>
  <c r="AK22" i="2"/>
  <c r="AJ22" i="2"/>
  <c r="AI22" i="2"/>
  <c r="AH22" i="2"/>
  <c r="AG22" i="2"/>
  <c r="AF22" i="2"/>
  <c r="AE22" i="2"/>
  <c r="AD22" i="2"/>
  <c r="AC22" i="2"/>
  <c r="AB22" i="2"/>
  <c r="AA22" i="2"/>
  <c r="Z22" i="2"/>
  <c r="Y22" i="2"/>
  <c r="X22" i="2"/>
  <c r="W22" i="2"/>
  <c r="V22" i="2"/>
  <c r="U22" i="2"/>
  <c r="T22" i="2"/>
  <c r="S22" i="2"/>
  <c r="D22" i="2"/>
  <c r="AY20" i="2"/>
  <c r="AW20" i="2"/>
  <c r="AV20" i="2"/>
  <c r="AU20" i="2"/>
  <c r="AT20" i="2"/>
  <c r="AS20" i="2"/>
  <c r="AR20" i="2"/>
  <c r="AQ20" i="2"/>
  <c r="AP20" i="2"/>
  <c r="AO20" i="2"/>
  <c r="AN20" i="2"/>
  <c r="AM20" i="2"/>
  <c r="AL20" i="2"/>
  <c r="AK20" i="2"/>
  <c r="AJ20" i="2"/>
  <c r="AI20" i="2"/>
  <c r="AH20" i="2"/>
  <c r="AG20" i="2"/>
  <c r="AF20" i="2"/>
  <c r="AE20" i="2"/>
  <c r="AD20" i="2"/>
  <c r="AC20" i="2"/>
  <c r="AB20" i="2"/>
  <c r="AA20" i="2"/>
  <c r="Z20" i="2"/>
  <c r="Y20" i="2"/>
  <c r="X20" i="2"/>
  <c r="W20" i="2"/>
  <c r="V20" i="2"/>
  <c r="U20" i="2"/>
  <c r="T20" i="2"/>
  <c r="S20" i="2"/>
  <c r="R20" i="2"/>
  <c r="Q20" i="2"/>
  <c r="P20" i="2"/>
  <c r="O20" i="2"/>
  <c r="N20" i="2"/>
  <c r="M20" i="2"/>
  <c r="L20" i="2"/>
  <c r="K20" i="2"/>
  <c r="J20" i="2"/>
  <c r="I20" i="2"/>
  <c r="H20" i="2"/>
  <c r="G20" i="2"/>
  <c r="F20" i="2"/>
  <c r="E20" i="2"/>
  <c r="D20" i="2"/>
  <c r="AY19" i="2"/>
  <c r="AW19" i="2"/>
  <c r="AV19" i="2"/>
  <c r="AU19" i="2"/>
  <c r="AT19" i="2"/>
  <c r="AS19" i="2"/>
  <c r="AR19" i="2"/>
  <c r="AQ19" i="2"/>
  <c r="AP19" i="2"/>
  <c r="AO19" i="2"/>
  <c r="AN19" i="2"/>
  <c r="AM19" i="2"/>
  <c r="AL19" i="2"/>
  <c r="AK19" i="2"/>
  <c r="AJ19" i="2"/>
  <c r="AI19" i="2"/>
  <c r="AH19" i="2"/>
  <c r="AG19" i="2"/>
  <c r="AF19" i="2"/>
  <c r="AE19" i="2"/>
  <c r="AD19" i="2"/>
  <c r="AC19" i="2"/>
  <c r="AB19" i="2"/>
  <c r="AA19" i="2"/>
  <c r="Z19" i="2"/>
  <c r="Y19" i="2"/>
  <c r="X19" i="2"/>
  <c r="W19" i="2"/>
  <c r="V19" i="2"/>
  <c r="U19" i="2"/>
  <c r="T19" i="2"/>
  <c r="S19" i="2"/>
  <c r="R19" i="2"/>
  <c r="Q19" i="2"/>
  <c r="P19" i="2"/>
  <c r="O19" i="2"/>
  <c r="N19" i="2"/>
  <c r="M19" i="2"/>
  <c r="L19" i="2"/>
  <c r="K19" i="2"/>
  <c r="J19" i="2"/>
  <c r="I19" i="2"/>
  <c r="H19" i="2"/>
  <c r="G19" i="2"/>
  <c r="F19" i="2"/>
  <c r="E19" i="2"/>
  <c r="D19" i="2"/>
  <c r="AY18" i="2"/>
  <c r="AB18" i="2"/>
  <c r="AA18" i="2"/>
  <c r="Z18" i="2"/>
  <c r="Y18" i="2"/>
  <c r="X18" i="2"/>
  <c r="W18" i="2"/>
  <c r="V18" i="2"/>
  <c r="U18" i="2"/>
  <c r="D18" i="2"/>
  <c r="C18" i="2"/>
  <c r="AY17" i="2"/>
  <c r="AW17" i="2"/>
  <c r="AJ17" i="2"/>
  <c r="AI17" i="2"/>
  <c r="AH17" i="2"/>
  <c r="AG17" i="2"/>
  <c r="AF17" i="2"/>
  <c r="AE17" i="2"/>
  <c r="AD17" i="2"/>
  <c r="AC17" i="2"/>
  <c r="D17" i="2"/>
  <c r="AY16" i="2"/>
  <c r="AW16" i="2"/>
  <c r="AV16" i="2"/>
  <c r="AU16" i="2"/>
  <c r="AT16" i="2"/>
  <c r="AS16" i="2"/>
  <c r="AR16" i="2"/>
  <c r="AQ16" i="2"/>
  <c r="AP16" i="2"/>
  <c r="AO16" i="2"/>
  <c r="AN16" i="2"/>
  <c r="AM16" i="2"/>
  <c r="AL16" i="2"/>
  <c r="AK16" i="2"/>
  <c r="AJ16" i="2"/>
  <c r="AI16" i="2"/>
  <c r="AH16" i="2"/>
  <c r="AG16" i="2"/>
  <c r="AF16" i="2"/>
  <c r="AE16" i="2"/>
  <c r="AD16" i="2"/>
  <c r="D16" i="2"/>
  <c r="C16" i="2"/>
  <c r="AY15" i="2"/>
  <c r="AS15" i="2"/>
  <c r="AR15" i="2"/>
  <c r="AQ15" i="2"/>
  <c r="AP15" i="2"/>
  <c r="AO15" i="2"/>
  <c r="AN15" i="2"/>
  <c r="AM15" i="2"/>
  <c r="AL15" i="2"/>
  <c r="AK15" i="2"/>
  <c r="AJ15" i="2"/>
  <c r="AI15" i="2"/>
  <c r="AH15" i="2"/>
  <c r="AG15" i="2"/>
  <c r="AF15" i="2"/>
  <c r="AE15" i="2"/>
  <c r="AD15" i="2"/>
  <c r="AC15" i="2"/>
  <c r="AB15" i="2"/>
  <c r="AA15" i="2"/>
  <c r="Z15" i="2"/>
  <c r="Y15" i="2"/>
  <c r="X15" i="2"/>
  <c r="W15" i="2"/>
  <c r="V15" i="2"/>
  <c r="U15" i="2"/>
  <c r="D15" i="2"/>
  <c r="AY14" i="2"/>
  <c r="AQ14" i="2"/>
  <c r="AP14" i="2"/>
  <c r="AO14" i="2"/>
  <c r="AN14" i="2"/>
  <c r="D14" i="2"/>
  <c r="AY13" i="2"/>
  <c r="AW13" i="2"/>
  <c r="AV13" i="2"/>
  <c r="AU13" i="2"/>
  <c r="AT13" i="2"/>
  <c r="AS13" i="2"/>
  <c r="AR13" i="2"/>
  <c r="AQ13" i="2"/>
  <c r="AP13" i="2"/>
  <c r="AO13" i="2"/>
  <c r="AN13" i="2"/>
  <c r="AM13" i="2"/>
  <c r="AL13" i="2"/>
  <c r="AK13" i="2"/>
  <c r="AJ13" i="2"/>
  <c r="AI13" i="2"/>
  <c r="AH13" i="2"/>
  <c r="AG13" i="2"/>
  <c r="AF13" i="2"/>
  <c r="AE13" i="2"/>
  <c r="AD13" i="2"/>
  <c r="AC13" i="2"/>
  <c r="AB13" i="2"/>
  <c r="AA13" i="2"/>
  <c r="Z13" i="2"/>
  <c r="Y13" i="2"/>
  <c r="D13" i="2"/>
  <c r="AY12" i="2"/>
  <c r="AO12" i="2"/>
  <c r="AN12" i="2"/>
  <c r="AM12" i="2"/>
  <c r="AL12" i="2"/>
  <c r="AK12" i="2"/>
  <c r="AJ12" i="2"/>
  <c r="AI12" i="2"/>
  <c r="AH12" i="2"/>
  <c r="AG12" i="2"/>
  <c r="AF12" i="2"/>
  <c r="AE12" i="2"/>
  <c r="AD12" i="2"/>
  <c r="AC12" i="2"/>
  <c r="AB12" i="2"/>
  <c r="AA12" i="2"/>
  <c r="Z12" i="2"/>
  <c r="Y12" i="2"/>
  <c r="X12" i="2"/>
  <c r="W12" i="2"/>
  <c r="V12" i="2"/>
  <c r="D12" i="2"/>
  <c r="AY11" i="2"/>
  <c r="AU11" i="2"/>
  <c r="AT11" i="2"/>
  <c r="AS11" i="2"/>
  <c r="AR11" i="2"/>
  <c r="AQ11" i="2"/>
  <c r="AP11" i="2"/>
  <c r="AO11" i="2"/>
  <c r="AN11" i="2"/>
  <c r="AM11" i="2"/>
  <c r="AL11" i="2"/>
  <c r="AK11" i="2"/>
  <c r="AJ11" i="2"/>
  <c r="AI11" i="2"/>
  <c r="AH11" i="2"/>
  <c r="AG11" i="2"/>
  <c r="AF11" i="2"/>
  <c r="AE11" i="2"/>
  <c r="AD11" i="2"/>
  <c r="AC11" i="2"/>
  <c r="AB11" i="2"/>
  <c r="AA11" i="2"/>
  <c r="D11" i="2"/>
  <c r="AY10" i="2"/>
  <c r="AG10" i="2"/>
  <c r="AF10" i="2"/>
  <c r="AE10" i="2"/>
  <c r="AD10" i="2"/>
  <c r="AC10" i="2"/>
  <c r="AB10" i="2"/>
  <c r="AA10" i="2"/>
  <c r="Z10" i="2"/>
  <c r="Y10" i="2"/>
  <c r="X10" i="2"/>
  <c r="W10" i="2"/>
  <c r="V10" i="2"/>
  <c r="U10" i="2"/>
  <c r="T10" i="2"/>
  <c r="S10" i="2"/>
  <c r="R10" i="2"/>
  <c r="Q10" i="2"/>
  <c r="P10" i="2"/>
  <c r="O10" i="2"/>
  <c r="N10" i="2"/>
  <c r="D10" i="2"/>
  <c r="AY9" i="2"/>
  <c r="W9" i="2"/>
  <c r="V9" i="2"/>
  <c r="U9" i="2"/>
  <c r="T9" i="2"/>
  <c r="S9" i="2"/>
  <c r="R9" i="2"/>
  <c r="Q9" i="2"/>
  <c r="P9" i="2"/>
  <c r="O9" i="2"/>
  <c r="N9" i="2"/>
  <c r="M9" i="2"/>
  <c r="L9" i="2"/>
  <c r="K9" i="2"/>
  <c r="J9" i="2"/>
  <c r="I9" i="2"/>
  <c r="H9" i="2"/>
  <c r="G9" i="2"/>
  <c r="D9" i="2"/>
  <c r="AY8" i="2"/>
  <c r="W8" i="2"/>
  <c r="V8" i="2"/>
  <c r="U8" i="2"/>
  <c r="T8" i="2"/>
  <c r="S8" i="2"/>
  <c r="R8" i="2"/>
  <c r="Q8" i="2"/>
  <c r="P8" i="2"/>
  <c r="O8" i="2"/>
  <c r="N8" i="2"/>
  <c r="M8" i="2"/>
  <c r="L8" i="2"/>
  <c r="K8" i="2"/>
  <c r="J8" i="2"/>
  <c r="I8" i="2"/>
  <c r="H8" i="2"/>
  <c r="G8" i="2"/>
  <c r="D8" i="2"/>
  <c r="AY7" i="2"/>
  <c r="W7" i="2"/>
  <c r="V7" i="2"/>
  <c r="U7" i="2"/>
  <c r="T7" i="2"/>
  <c r="S7" i="2"/>
  <c r="R7" i="2"/>
  <c r="Q7" i="2"/>
  <c r="P7" i="2"/>
  <c r="O7" i="2"/>
  <c r="N7" i="2"/>
  <c r="M7" i="2"/>
  <c r="L7" i="2"/>
  <c r="K7" i="2"/>
  <c r="J7" i="2"/>
  <c r="I7" i="2"/>
  <c r="H7" i="2"/>
  <c r="G7" i="2"/>
  <c r="D7" i="2"/>
  <c r="AY6" i="2"/>
  <c r="I6" i="2"/>
  <c r="H6" i="2"/>
  <c r="G6" i="2"/>
  <c r="F6" i="2"/>
  <c r="E6" i="2"/>
  <c r="D6" i="2"/>
  <c r="D82" i="1"/>
  <c r="C82" i="1"/>
  <c r="C78" i="1"/>
  <c r="D75" i="1"/>
  <c r="C75" i="1"/>
  <c r="D72" i="1"/>
  <c r="D71" i="1"/>
  <c r="D70" i="1"/>
  <c r="D69" i="1"/>
  <c r="D68" i="1"/>
  <c r="D67" i="1"/>
  <c r="D66" i="1"/>
  <c r="D65" i="1"/>
  <c r="D64" i="1"/>
  <c r="D63" i="1"/>
  <c r="D62" i="1"/>
  <c r="D61" i="1"/>
  <c r="D60" i="1"/>
  <c r="D59" i="1"/>
  <c r="D58" i="1"/>
  <c r="D57" i="1"/>
  <c r="D56" i="1"/>
  <c r="D55" i="1"/>
  <c r="D54" i="1"/>
  <c r="D50" i="1"/>
  <c r="C50" i="1"/>
  <c r="C48" i="1"/>
  <c r="C46" i="1"/>
  <c r="C44" i="1"/>
  <c r="C42" i="1"/>
  <c r="C40" i="1"/>
  <c r="C38" i="1"/>
  <c r="C36" i="1"/>
  <c r="D33" i="1"/>
  <c r="C33" i="1"/>
  <c r="C31" i="1"/>
  <c r="C29" i="1"/>
  <c r="D27" i="1"/>
  <c r="C25" i="1"/>
  <c r="C23" i="1"/>
  <c r="C21" i="1"/>
  <c r="C19" i="1"/>
  <c r="C17" i="1"/>
  <c r="C15" i="1"/>
  <c r="C13" i="1"/>
  <c r="C11" i="1"/>
  <c r="C9" i="1"/>
  <c r="C7" i="1"/>
  <c r="F37" i="3" l="1"/>
  <c r="D20" i="6"/>
  <c r="D19" i="6"/>
  <c r="D18" i="6"/>
  <c r="D17" i="6"/>
  <c r="D15" i="6"/>
  <c r="D16" i="6"/>
  <c r="F59" i="3"/>
  <c r="F83" i="3"/>
  <c r="F158" i="3"/>
  <c r="F75" i="3"/>
  <c r="F116" i="3"/>
  <c r="F101" i="3"/>
  <c r="F160" i="3" l="1"/>
  <c r="D6" i="6"/>
</calcChain>
</file>

<file path=xl/sharedStrings.xml><?xml version="1.0" encoding="utf-8"?>
<sst xmlns="http://schemas.openxmlformats.org/spreadsheetml/2006/main" count="690" uniqueCount="479">
  <si>
    <t>Schedule of Work</t>
  </si>
  <si>
    <t>S.No.</t>
  </si>
  <si>
    <t>Description</t>
  </si>
  <si>
    <t>Amount</t>
  </si>
  <si>
    <t>Months</t>
  </si>
  <si>
    <t>A</t>
  </si>
  <si>
    <t>Building Work</t>
  </si>
  <si>
    <t>RCC</t>
  </si>
  <si>
    <t>Shuttering</t>
  </si>
  <si>
    <t>Steel</t>
  </si>
  <si>
    <t xml:space="preserve">Brickwork </t>
  </si>
  <si>
    <t>MS Work</t>
  </si>
  <si>
    <t>Flooring Work</t>
  </si>
  <si>
    <t>Roofing Work</t>
  </si>
  <si>
    <t>Finishing Work</t>
  </si>
  <si>
    <t>Miscellaneous</t>
  </si>
  <si>
    <t>Total of Civil Work(i)</t>
  </si>
  <si>
    <t>B</t>
  </si>
  <si>
    <t>Other Work</t>
  </si>
  <si>
    <t>Electrical Work-Internal</t>
  </si>
  <si>
    <t>Plumbing work- Internal</t>
  </si>
  <si>
    <t>Fire fighting</t>
  </si>
  <si>
    <t>Lift</t>
  </si>
  <si>
    <t>External Development</t>
  </si>
  <si>
    <t>Total of Other works(ii)</t>
  </si>
  <si>
    <t>Gross Total --(Rs.)</t>
  </si>
  <si>
    <t>Gross Total --(Cr.)</t>
  </si>
  <si>
    <t xml:space="preserve">OMAXE AANANDA, ALLAHABAD </t>
  </si>
  <si>
    <t>SUMMARY OF COST OF CIVIL WORK</t>
  </si>
  <si>
    <t xml:space="preserve"> </t>
  </si>
  <si>
    <t xml:space="preserve">         Description of Items    </t>
  </si>
  <si>
    <t>Amount (Rs.)</t>
  </si>
  <si>
    <t>COST PER SQFT</t>
  </si>
  <si>
    <t xml:space="preserve">Salable Area </t>
  </si>
  <si>
    <t>BUILDING WORK</t>
  </si>
  <si>
    <t>I.</t>
  </si>
  <si>
    <t>EARTH WORK &amp; P.C.C.</t>
  </si>
  <si>
    <t>II.</t>
  </si>
  <si>
    <t>R.C.C.</t>
  </si>
  <si>
    <t>III.</t>
  </si>
  <si>
    <t xml:space="preserve">SHUTTERING </t>
  </si>
  <si>
    <t>IV.</t>
  </si>
  <si>
    <t>STEEL REINFORCEMENT</t>
  </si>
  <si>
    <t>V.</t>
  </si>
  <si>
    <t xml:space="preserve">BRICK WORK </t>
  </si>
  <si>
    <t>VI</t>
  </si>
  <si>
    <t>WOOD WORK</t>
  </si>
  <si>
    <t>VII.</t>
  </si>
  <si>
    <t>STEEL WORK</t>
  </si>
  <si>
    <t>VIII.</t>
  </si>
  <si>
    <t xml:space="preserve">FLOORING </t>
  </si>
  <si>
    <t>IX.</t>
  </si>
  <si>
    <t>ROOFING</t>
  </si>
  <si>
    <t>X.</t>
  </si>
  <si>
    <t>FINISHING</t>
  </si>
  <si>
    <t>XI</t>
  </si>
  <si>
    <t>XII.</t>
  </si>
  <si>
    <t xml:space="preserve">MISCELLANEOUS </t>
  </si>
  <si>
    <t>XIII.</t>
  </si>
  <si>
    <t>ENTRY AND ELEVATION</t>
  </si>
  <si>
    <t>TOTAL OF CIVIL WORK  Rs.  =</t>
  </si>
  <si>
    <t>OTHER WORK</t>
  </si>
  <si>
    <t>INTERNAL ELECTRICAL</t>
  </si>
  <si>
    <t>PLUMBING WORK</t>
  </si>
  <si>
    <t>LIFT</t>
  </si>
  <si>
    <t>EXTERNAL DEVELOPMENT</t>
  </si>
  <si>
    <t>FIRE FIGHTING</t>
  </si>
  <si>
    <t>VI.</t>
  </si>
  <si>
    <t>CLUB</t>
  </si>
  <si>
    <t>C</t>
  </si>
  <si>
    <t>a</t>
  </si>
  <si>
    <t>ROAD WORK</t>
  </si>
  <si>
    <t>b</t>
  </si>
  <si>
    <t>SEWER AND STORM LINE WORK</t>
  </si>
  <si>
    <t>c</t>
  </si>
  <si>
    <t>UGT</t>
  </si>
  <si>
    <t>d</t>
  </si>
  <si>
    <t>STP</t>
  </si>
  <si>
    <t>e</t>
  </si>
  <si>
    <t>BOUNDARY WALL</t>
  </si>
  <si>
    <t>f</t>
  </si>
  <si>
    <t>DG/LT/PANEL ROOM</t>
  </si>
  <si>
    <t>g</t>
  </si>
  <si>
    <t>MAIN GATE</t>
  </si>
  <si>
    <t>h</t>
  </si>
  <si>
    <t>WATER BODY/PATHWAYS/GUARD WALL/HARVESTING/HORTICULTURE/INTERNAL BOUNDARY/MISCELLANEOUS WORK</t>
  </si>
  <si>
    <t>i</t>
  </si>
  <si>
    <t>WATER SUPPLY WORK</t>
  </si>
  <si>
    <t>j</t>
  </si>
  <si>
    <t>EXTERNAL ELECTRIFICATION</t>
  </si>
  <si>
    <t>TOATL AMOUNT (EXTERNAL DEVELOPMENT)</t>
  </si>
  <si>
    <t>Tower-E Estimated Budget</t>
  </si>
  <si>
    <t>SPECIAL FEATURES (AC, Gyser, RO, Modular Kitchen, Dish Washer, Cup board, Home Theater)</t>
  </si>
  <si>
    <t>UPVC &amp; Woodwork etc.</t>
  </si>
  <si>
    <t>MECHANICAL VENT</t>
  </si>
  <si>
    <t xml:space="preserve">TOTAL AMOUNT </t>
  </si>
  <si>
    <t xml:space="preserve"> TOTAL(A+B) = (WITH OUT ESCALATION)</t>
  </si>
  <si>
    <t>EXTRA PARKINGS FOR ANANDA(Basement+Ground)</t>
  </si>
  <si>
    <t>GROSS TOTAL(A+B+C)</t>
  </si>
  <si>
    <t>Per sqft</t>
  </si>
  <si>
    <t>Total of Civil,Other Works &amp; Parkings(A+B+C)</t>
  </si>
  <si>
    <t>Extra Parking work(Basement+Ground)</t>
  </si>
  <si>
    <t>Earthwork &amp; PCC (including other works over existing structure)</t>
  </si>
  <si>
    <t>Nos.</t>
  </si>
  <si>
    <t>230mm Wall</t>
  </si>
  <si>
    <t>Flat No.2</t>
  </si>
  <si>
    <t>Bed Room-1</t>
  </si>
  <si>
    <t>Bed Room-2</t>
  </si>
  <si>
    <t>Bed Room-3</t>
  </si>
  <si>
    <t>Toilet Wall</t>
  </si>
  <si>
    <t>Drawing Room</t>
  </si>
  <si>
    <t>Kitchen</t>
  </si>
  <si>
    <t>Entry Wall</t>
  </si>
  <si>
    <t>Kitchen Common Wall for Flat 2 &amp; 3</t>
  </si>
  <si>
    <t>Drawing Room Common Wall for Flat 1 &amp; 2</t>
  </si>
  <si>
    <t>Drawing Room Common Wall for Flat 3</t>
  </si>
  <si>
    <t>Flat No.4</t>
  </si>
  <si>
    <t>Living Room</t>
  </si>
  <si>
    <t>Flat No.5</t>
  </si>
  <si>
    <t>Kitchen cum Bed Room-2</t>
  </si>
  <si>
    <t>Open to Sky Wall</t>
  </si>
  <si>
    <t>Common Wall of Flat 5 &amp; 6</t>
  </si>
  <si>
    <t>Common Wall of Flat 5 &amp; 8</t>
  </si>
  <si>
    <t>Flat No.11 &amp; 12</t>
  </si>
  <si>
    <t>Main Staircase</t>
  </si>
  <si>
    <t>Fire Staircase</t>
  </si>
  <si>
    <t>S. No.</t>
  </si>
  <si>
    <t>QTY</t>
  </si>
  <si>
    <t>DESCRIPTION OF ITEMS</t>
  </si>
  <si>
    <t>UNIT</t>
  </si>
  <si>
    <t>BOQ DETAIL</t>
  </si>
  <si>
    <t>QUANTITY</t>
  </si>
  <si>
    <t>RATE</t>
  </si>
  <si>
    <t>AMOUNT</t>
  </si>
  <si>
    <t>S.H.-I</t>
  </si>
  <si>
    <t>MAIN WORK</t>
  </si>
  <si>
    <t>EARTH WORK IN EXCAVATION</t>
  </si>
  <si>
    <t>A)  ALL KINDS OF SOIL, LIFT UPTO 3 M</t>
  </si>
  <si>
    <t>CUM</t>
  </si>
  <si>
    <t xml:space="preserve">FILLING OF EARTH </t>
  </si>
  <si>
    <t>SQM</t>
  </si>
  <si>
    <t>REINFORCED  CEMENT CONCRETE</t>
  </si>
  <si>
    <t>PROVIDING &amp; LAYING RMC DESIGN MIX CONCRETE</t>
  </si>
  <si>
    <r>
      <t xml:space="preserve">FOUNDATION, RAFTS, FOOTINGS, BASES OF COLUMNS, </t>
    </r>
    <r>
      <rPr>
        <b/>
        <sz val="13"/>
        <rFont val="Arial"/>
        <family val="2"/>
      </rPr>
      <t xml:space="preserve"> IN M-25 GRADE</t>
    </r>
    <r>
      <rPr>
        <sz val="13"/>
        <rFont val="Arial"/>
        <family val="2"/>
      </rPr>
      <t xml:space="preserve"> </t>
    </r>
  </si>
  <si>
    <t>IN SUSPENDED FLOORS, ROOFS,BEAMS, LANDING, CHAJJAS, CANTILEVERS, BALCONIES,</t>
  </si>
  <si>
    <t>M25 GRADE</t>
  </si>
  <si>
    <t>IN PLINTH BEAMS, LANDING BEAM CANTILEVERS BEAM ETC ON PLINTH LVL.</t>
  </si>
  <si>
    <t>IN GRADE SLAB FOR FLOORING AT GROUND FLOOR LVL.</t>
  </si>
  <si>
    <t>IN STAIRCASE ETC. IN M-25 GRADE CONCRETE ALL WORK .</t>
  </si>
  <si>
    <t xml:space="preserve">IN  SHEAR  WALLS,  LIFT WALLS, RETAINING WALL </t>
  </si>
  <si>
    <t>M30 GRADE</t>
  </si>
  <si>
    <t xml:space="preserve">IN COLUMNS, PILLARS &amp; PIERS, POSTS, STRUTS </t>
  </si>
  <si>
    <r>
      <t>IN WALLS (ANY THICKNESS) AND BASE SLAB AND COVER SLAB OF OVERHEAD TANKS ETC., IN</t>
    </r>
    <r>
      <rPr>
        <b/>
        <sz val="13"/>
        <rFont val="Arial"/>
        <family val="2"/>
      </rPr>
      <t xml:space="preserve"> M-25 GRADE</t>
    </r>
  </si>
  <si>
    <t>EXTRA OVER 5TH FLOOR LEVEL TO 8TH FLOOR</t>
  </si>
  <si>
    <t>EXTRA OVER 9TH FLOOR LEVEL TO 12TH FLOOR</t>
  </si>
  <si>
    <t xml:space="preserve">EXTRA OVER 13TH FLOOR LEVEL TO 16TH FLOOR </t>
  </si>
  <si>
    <t>RCC IN KITCHEN COUNTER INCLUDING SHUTTERING REINFORCEMENT COMPLETE IN FLAT</t>
  </si>
  <si>
    <t>NOS</t>
  </si>
  <si>
    <t>RCC IN LINTEL OF AVG SIZE 100X125X1200MM  INCLUDING SHUTTERING REINFORCEMENT COMPLETE</t>
  </si>
  <si>
    <t>RCC IN LEDGE WALL/CONCRET BLOCK OF COMPLETE</t>
  </si>
  <si>
    <t>P/F SHUTTERING WORK</t>
  </si>
  <si>
    <t xml:space="preserve">FOUNDATIONS, RAFT, FOOTINGS, </t>
  </si>
  <si>
    <t>Sqm</t>
  </si>
  <si>
    <t xml:space="preserve"> OUTER SHEAR  WALLS, LIFT WALLS,</t>
  </si>
  <si>
    <t>PLINTH BEAM, LANDING BEAM, AT PLINTH LVL.</t>
  </si>
  <si>
    <t>STAIRCASE, TIE-BEAMS, ETC  UP TO ANY HEIGHT.</t>
  </si>
  <si>
    <t>SUSPENDED/FLAT FLOOR, ROOFS AND BEAM, LANDINGS, CANTILEVER SLABS, CHAJJAS,</t>
  </si>
  <si>
    <t>COLUMNS, PILLARS, PIERS, POSTS, STRUTS</t>
  </si>
  <si>
    <t xml:space="preserve">ABOVE TERRACE WORK WALLS </t>
  </si>
  <si>
    <t>P/F REINFORCEMENT WORK</t>
  </si>
  <si>
    <t>LAYING OF REINFORCEMENT STEEL OF HIGH YEILD STRENGTH . ( BASIC RATE  RS. 40/- PER KGS. )</t>
  </si>
  <si>
    <t>MT</t>
  </si>
  <si>
    <r>
      <t xml:space="preserve">ADJUSTMENT UPTO MONTH OF JAN 19.            </t>
    </r>
    <r>
      <rPr>
        <b/>
        <sz val="13"/>
        <rFont val="Arial"/>
        <family val="2"/>
      </rPr>
      <t xml:space="preserve"> ( INSTRUCTED BY C.GUPTA SIR)</t>
    </r>
  </si>
  <si>
    <r>
      <t xml:space="preserve">June-19 Closing as per ERP was 14 MT BUT PHY Balance at site  found 75 mt, So same qty reverse from ERP as well as in Client also.           </t>
    </r>
    <r>
      <rPr>
        <b/>
        <sz val="13"/>
        <rFont val="Arial"/>
        <family val="2"/>
      </rPr>
      <t>( INSTRUCTED BY SK PANDEY  SIR)</t>
    </r>
  </si>
  <si>
    <t>BRICK MASONRY</t>
  </si>
  <si>
    <t>P/L 230 MM THICK BRICK WORK WITH FIRST QUALITY  FLY ASH BRICKS  IN SUPER STRUCTURE ABOVE PLINTH</t>
  </si>
  <si>
    <t>Cum</t>
  </si>
  <si>
    <t>P/L  115 MM TH. MASONRY WITH FIRST QUALITY  FLY ASH BRICKS  IN SUPER STRUCTURE ABOVE PLINTH LVL</t>
  </si>
  <si>
    <t>P/L 200 MM THICK  WORK WITH FIRST QUALITY  AAC BLOCK IN SUPER STRUCTURE ABOVE PLINTH LVL</t>
  </si>
  <si>
    <t>P/L  100 MM TH. MASONRY WITH FIRST QUALITY  AAC BLOCK BRICKS  IN SUPER STRUCTURE ABOVE PLINTH LVL</t>
  </si>
  <si>
    <t>BRICK WORK IN STAIRCASE FOR STAIRCASE STEP MAKING IN THE RATIO 1:6</t>
  </si>
  <si>
    <t>FOR 230MM THICK BRICK WORK</t>
  </si>
  <si>
    <t>5.6a</t>
  </si>
  <si>
    <t>EXTRA OVER 5TH FLOOR LVL TO 8TH FLOOR LVL</t>
  </si>
  <si>
    <t>5.6b</t>
  </si>
  <si>
    <t>EXTRA OVER 9TH FLOOR LVL TO 12TH FLOOR LVL</t>
  </si>
  <si>
    <t>5.6c</t>
  </si>
  <si>
    <t>EXTRA OVER 13TH FLOOR LVL AND ABOVE LVL</t>
  </si>
  <si>
    <t>FOR 115MM THICK BRICK WORK</t>
  </si>
  <si>
    <t>5.7a</t>
  </si>
  <si>
    <t>5.7b</t>
  </si>
  <si>
    <t>5.7c</t>
  </si>
  <si>
    <t>P/L VERTICAL/HORIZONTAL  BAND I/C SHUTTEING WORK.</t>
  </si>
  <si>
    <t>P/L  REINFORCEMENT WORK IN RCC BAND AS PER SPECIFICATION.</t>
  </si>
  <si>
    <t>CC BLOCK CASTING</t>
  </si>
  <si>
    <t>WOOD WORK &amp; ALUMINIUM WORK</t>
  </si>
  <si>
    <t>PROVIDING WOOD WORK IN FRAMES OF DOORS, WINDOWS AND OTHER FRAMES,</t>
  </si>
  <si>
    <t xml:space="preserve">A)   USING RED MIRANDI WOOD.    </t>
  </si>
  <si>
    <t>Rmt</t>
  </si>
  <si>
    <t>PROVIDING AND FIXING 35 MM THICK SKIN MOULDED DOORS  SHUTTER,</t>
  </si>
  <si>
    <t>PROVIDING AND FIXING 35 MM THICK WELL SEASONED HARDWOOD FRAME WOODEN PANELLED SHUTTER POLISH,</t>
  </si>
  <si>
    <t>PROVIDING AND FIXING TAPERED HARD WOOD MOULDING 35 MM WIDE AND 12 MM ON ONE SIDE AND 6 MM ON OTHER SIDE THICKNESS</t>
  </si>
  <si>
    <t>Mtrs.</t>
  </si>
  <si>
    <t>PROVIDING AND FIXING OF STRUCTURE GLAZZING IN ELEVATION OF TOWER AS PER APPROVED DETAIL.</t>
  </si>
  <si>
    <t>PROVIDING AND FIXING OF FIRE HYDRANT CABINATE DOOR IN SHAFT AREA AS PER APPROVED DESIGN.</t>
  </si>
  <si>
    <t>Nos</t>
  </si>
  <si>
    <t>SUPPLYING &amp;  FIXING UPVC DOOR AND WINDOWS WITH ALL ACCESORIESA AS PER DRAWINGS (BASIC RATE - RS 400 PER SQFT. )</t>
  </si>
  <si>
    <t>SUPPLYING &amp;  FIXING ALUMINIUM  WINDOWS WITH ALL ACCESORIES AS PER DRAWINGS  IN MAIN STAIRCASE (TOWER -A)</t>
  </si>
  <si>
    <t>Sft</t>
  </si>
  <si>
    <t>SUPPLYING &amp;  FIXING ALUMINIUM  WINDOWS WITH ALL ACCESORIESS AS PER DRAWINGS  IN FIRE STAIRCASE (TOWER -A)</t>
  </si>
  <si>
    <t>PROVIDING AND FIXING M.S. STAIRCASE RAILING  WITH M S HANDRAIL, BALCONY RAILING</t>
  </si>
  <si>
    <t>Kg.</t>
  </si>
  <si>
    <t>FLOORING</t>
  </si>
  <si>
    <r>
      <t xml:space="preserve">PROVIDING AND LAYING </t>
    </r>
    <r>
      <rPr>
        <b/>
        <sz val="13"/>
        <rFont val="Arial"/>
        <family val="2"/>
      </rPr>
      <t xml:space="preserve">VITRIFIED TILES OF MINIMUM THICKNESS 10 MM </t>
    </r>
    <r>
      <rPr>
        <sz val="13"/>
        <rFont val="Arial"/>
        <family val="2"/>
      </rPr>
      <t>IN FLOORING &amp; SKIRTING.(BASIC RATE OF VITRIFIED TILES @ RS. 400/- PER SQM INCLUDING FREIGHT BUT EXCLUDING TAXES)</t>
    </r>
  </si>
  <si>
    <r>
      <t>PROVIDING AND LAYING</t>
    </r>
    <r>
      <rPr>
        <b/>
        <sz val="13"/>
        <rFont val="Arial"/>
        <family val="2"/>
      </rPr>
      <t xml:space="preserve"> FIRST CLASS CERAMIC TILES</t>
    </r>
    <r>
      <rPr>
        <sz val="13"/>
        <rFont val="Arial"/>
        <family val="2"/>
      </rPr>
      <t xml:space="preserve"> OF REQUIRED SIZE THICKNESS 8 MM IN FLOORING ON 20 MM AVERAGE THICK. (BASIC RATE OF CEREMIC TILES @ RS. 320 /- PER SQM INCLUDING FREIGHT BUT EXCLUDING TAXES)</t>
    </r>
  </si>
  <si>
    <r>
      <t xml:space="preserve">PROVIDING AND LAYING FIRST CLASS </t>
    </r>
    <r>
      <rPr>
        <b/>
        <sz val="13"/>
        <rFont val="Arial"/>
        <family val="2"/>
      </rPr>
      <t xml:space="preserve">GLAZED/ CERAMIC TILES </t>
    </r>
    <r>
      <rPr>
        <sz val="13"/>
        <rFont val="Arial"/>
        <family val="2"/>
      </rPr>
      <t>OF REQUIRED SIZE OF MINIMUM THICKNESS 5 MM IN SKIRTING AND DADO ON 12 MM THICK CEMENT PLASTER. (BASIC RATE OF CEREMIC TILES @ RS.320/- PER SQM INCLUDING FREIGHT BUT EXCLUDING TAXES)</t>
    </r>
  </si>
  <si>
    <r>
      <t xml:space="preserve">PROVIDING  AND  FIXING   PRE POLISHED  </t>
    </r>
    <r>
      <rPr>
        <b/>
        <sz val="13"/>
        <rFont val="Arial"/>
        <family val="2"/>
      </rPr>
      <t xml:space="preserve">GRANITE  18 - 20  M M THICK </t>
    </r>
    <r>
      <rPr>
        <sz val="13"/>
        <rFont val="Arial"/>
        <family val="2"/>
      </rPr>
      <t>IN</t>
    </r>
    <r>
      <rPr>
        <b/>
        <sz val="13"/>
        <rFont val="Arial"/>
        <family val="2"/>
      </rPr>
      <t xml:space="preserve"> STAIR CASE </t>
    </r>
    <r>
      <rPr>
        <sz val="13"/>
        <rFont val="Arial"/>
        <family val="2"/>
      </rPr>
      <t>ON  RISER AND TREADS AND SKIRTING . (BASIC RATE OF STONE @ RS. 1000/ -  PER SQM INCLUDING FREIGHT BUT EXCLUDING TAXES.)</t>
    </r>
  </si>
  <si>
    <r>
      <t xml:space="preserve">PROVIDING  AND  FIXING  </t>
    </r>
    <r>
      <rPr>
        <b/>
        <sz val="13"/>
        <rFont val="Arial"/>
        <family val="2"/>
      </rPr>
      <t xml:space="preserve"> GRANITE  18 - 20  M M </t>
    </r>
    <r>
      <rPr>
        <sz val="13"/>
        <rFont val="Arial"/>
        <family val="2"/>
      </rPr>
      <t>THICK IN LIFT FACIA AS PER APPROVED DESIGN, . (BASIC RATE OF STONE @ RS. 1500/ -  PER SQM INCLUDING FREIGHT BUT EXCLUDING TAXES.)</t>
    </r>
  </si>
  <si>
    <r>
      <t xml:space="preserve">PROVIDING AND FIXING </t>
    </r>
    <r>
      <rPr>
        <b/>
        <sz val="13"/>
        <rFont val="Arial"/>
        <family val="2"/>
      </rPr>
      <t>18 MM THICK GRANITE STONE</t>
    </r>
    <r>
      <rPr>
        <sz val="13"/>
        <rFont val="Arial"/>
        <family val="2"/>
      </rPr>
      <t xml:space="preserve"> SLABS  AS APPROVED ON </t>
    </r>
    <r>
      <rPr>
        <b/>
        <sz val="13"/>
        <rFont val="Arial"/>
        <family val="2"/>
      </rPr>
      <t xml:space="preserve">KITCHEN PLATFORM COUNTER  </t>
    </r>
    <r>
      <rPr>
        <sz val="13"/>
        <rFont val="Arial"/>
        <family val="2"/>
      </rPr>
      <t>(BASIC RATE OF STONE @ RS. 1600/- PER SQM INCLUDING FREIGHT BUT EXCLUDING TAXES.)</t>
    </r>
  </si>
  <si>
    <t xml:space="preserve">IPS FLOORING 1:2:4 OF THICKNESS 100MM FOR CUP BOARD </t>
  </si>
  <si>
    <t xml:space="preserve">PROVIDING AND LAYING FIRST CLASS GLAZED TILE FOR WATER TANK INCLUDING REQUIRED WATERPROOFING PLASTER </t>
  </si>
  <si>
    <t>WATER PROOFING OF WATER TANK WITH INJECTION GROUTING INCLUDING TWO OR MORE COAT WATER PROOFING</t>
  </si>
  <si>
    <t>SAND FILLING UNDER FLAT VITRIFIED FLOOR TILES</t>
  </si>
  <si>
    <t>PCC (1:4:8) (FOR BELOW  TOILET &amp; BALCONY FL TILES)</t>
  </si>
  <si>
    <t>GRANITE IN CORIDOR-18MM THICK</t>
  </si>
  <si>
    <t>SQMT</t>
  </si>
  <si>
    <t xml:space="preserve">PROVIDING AND LAYING BRICK COBA WATER PROOFING TREATMENT ON TERRACE 120 MM THICK (AVERAGE) </t>
  </si>
  <si>
    <t xml:space="preserve">MAKING KHURRAS 45 X 45 CM WITH AVERAGE MINIMUM THICKNESS OF 5 CM CEMENT CONCRETE 1:2:4 </t>
  </si>
  <si>
    <t>FINISHING WORK</t>
  </si>
  <si>
    <t>P/L 12 MM THICK CEMENT PLASTER IN CEMENT MORTAR 1:6 (1 CEMENT : 0 FINE SAND AND 6 COARSE SAND) .</t>
  </si>
  <si>
    <t>P/L 20 MM CEMENT PLASTER IN TWO COATS, UNDER LAYER 12MM TH.IN CEMENT MORTAR 1:6</t>
  </si>
  <si>
    <t>POP CORNICE</t>
  </si>
  <si>
    <t>DISTEMPERING WITH OIL BOUND WASHABLE DISTEMPER OF APPROVED BRAND AND MANUFACTURER</t>
  </si>
  <si>
    <t>Texture Paint with Primer</t>
  </si>
  <si>
    <t>Sqmt</t>
  </si>
  <si>
    <t>Superfine with Primer</t>
  </si>
  <si>
    <t>POLISH ON INTERNAL DOOR SHUTTERS</t>
  </si>
  <si>
    <t>ENAMEL PAINT</t>
  </si>
  <si>
    <t>P/L UPTO 50 MM THICK CEMENT ROUGH  PLASTER IN CEMENT MORTAR 1:6 (1 CEMENT : 0 FINE SAND AND 6 COARSE SAND) .</t>
  </si>
  <si>
    <t xml:space="preserve">MAKING PLINTH PROTECTION 50 MM THICK OF CEMENT CONCRETE 1:3:6 </t>
  </si>
  <si>
    <t>PROVIDING AND LAYING 6 MM THICK E-BOARD FALSE CEILING OF APPROVED QUALITY</t>
  </si>
  <si>
    <t>PROVIDING AND LAYING WATER PROOFING TREATMENT TO SUNKEN PORTION OF TOILETS</t>
  </si>
  <si>
    <t>Providing &amp; Fixing of Modular Kitchen</t>
  </si>
  <si>
    <t>NO</t>
  </si>
  <si>
    <t>ENTRY &amp; ELEVATION IN TOWER</t>
  </si>
  <si>
    <t>FOR ENTRY AND ARCH ETC</t>
  </si>
  <si>
    <t>DESIGNER PLASTER ON TAPPERED ROOF I/C BASE PLASTER APX 60MM THICK IN AVG.</t>
  </si>
  <si>
    <t>P/F OF GUMMAD ON TERRACE COMPLETE IN ALL RESPECT.</t>
  </si>
  <si>
    <t>DESIGNER PAINT ON TAPPERED SLAB</t>
  </si>
  <si>
    <t>STONE WORK AT ENTRANCE</t>
  </si>
  <si>
    <t xml:space="preserve">HANDING OVER  </t>
  </si>
  <si>
    <t>Handover of Flat (Labour &amp; Houskeeping Material)</t>
  </si>
  <si>
    <t>HORTICULTURE WORK</t>
  </si>
  <si>
    <t>PCC</t>
  </si>
  <si>
    <t>RAFT</t>
  </si>
  <si>
    <t>COLUMN</t>
  </si>
  <si>
    <t>SHEAR WALL</t>
  </si>
  <si>
    <t>PLINTH BEAM</t>
  </si>
  <si>
    <t>STAIR CASE</t>
  </si>
  <si>
    <t>REINFORCEMENT</t>
  </si>
  <si>
    <t>KG</t>
  </si>
  <si>
    <t>Unit</t>
  </si>
  <si>
    <t>Excavation upto 3 Mtr.</t>
  </si>
  <si>
    <t>RCC M-25</t>
  </si>
  <si>
    <t>RCC M-30</t>
  </si>
  <si>
    <t>RCC in Ladge Wall</t>
  </si>
  <si>
    <t>Brick Work 115mm</t>
  </si>
  <si>
    <t>Brick Work 230mm</t>
  </si>
  <si>
    <t>External Plaster</t>
  </si>
  <si>
    <t>Internal Wall Plaster</t>
  </si>
  <si>
    <t>Internal Ceiling Plaster</t>
  </si>
  <si>
    <t>Slab</t>
  </si>
  <si>
    <t>DPC</t>
  </si>
  <si>
    <t>Qty</t>
  </si>
  <si>
    <t>Rate</t>
  </si>
  <si>
    <t>General Notes - The following notes shall apply to all Sections and Bills contained in this Bill of Quantities:</t>
  </si>
  <si>
    <t xml:space="preserve">The quantities, classes and kinds of work set out in this Bill of Quantities are provisional. They do not purport to or represent the final quantities, classes or kinds of work eventually required to be done. </t>
  </si>
  <si>
    <t>This Bill of Quantities is not intended for and shall not be used for ordering purposes.</t>
  </si>
  <si>
    <t>This Bill of Quantities is to be read in conjunction with the Drawings, Specifications &amp; Preambles to Work Sections which shall be construed as being complementary to one another. Any discrepancy shall be dealt in accordance with the Conditions of Contract.</t>
  </si>
  <si>
    <t>Works shall be executed at all heights / depths, levels, floors and locations all complete as per Drawings, Specifications and to the complete satisfaction of the Engineer-In-Charge.</t>
  </si>
  <si>
    <t xml:space="preserve">Unless otherwise specified, mode and method of measurement shall be in accordance with IS:1200. </t>
  </si>
  <si>
    <t>Contractor should strictly follow the Site Safety Manual and provide &amp; install all the safety measures required as per Manual.</t>
  </si>
  <si>
    <t>The description of an item shall be deemed to include all preambles, headings, sub-headings and references to other documents.  The detailed  description of  work and materials, given in the Specification  are not  necessarily  repeated in the  Bill of Quantities.</t>
  </si>
  <si>
    <t>The Preamble to the Bills of Quantities must be read with the Drawings, Conditions of Contract and the Specification and the tenderer shall be deemed to have examined the Drawings, Specifications, Conditions of Contract and to have acquainted himself with the Works to be done and  the way in which they are to  be carried out. This preamble to the Bills of Quantities shall form part of the Contract.</t>
  </si>
  <si>
    <t>Providing and maintaining Field Laboratory in a satisfactory manner till the completion of work to ensure site control on quality of materials and the works and shall strictly comply with provision of Indian/ International Standards at no extra cost. All other regular tests including requisite materials shall be carried out as directed either at approved laboratory or at site at no extra cost.</t>
  </si>
  <si>
    <t>The Tenderers are requested to inspect the site and obtain for themselves at their own expense all necessary information and particulars to enable them to submit the tender.</t>
  </si>
  <si>
    <t>The dimensions shown in the drawings shall have to be verified by the contractor at site before execution of the items and necessary allowance's have to be made as per the actual dimensions available at site.</t>
  </si>
  <si>
    <t>For the items of works having Basic rate of material, price adjustment will be made only on the actual quantity measured. Wastage shall be to Contractors account. Basic rate indicates landed cost at site including transportation charges, loading-unloading as applicable.</t>
  </si>
  <si>
    <t>The contractor should refer to the detailed drawings for details. All the rates so quoted should be inclusive of all hardware. In case of discrepancy between drawing and Bill of Quantity the drawing supersedes, unless specifically mentioned in the BOQ.</t>
  </si>
  <si>
    <t>The work shall be carried out as per drawings, specifications, the description of the items in the schedule and / or engineer’s instructions.</t>
  </si>
  <si>
    <t>All pre-fabrication works wherever possible shall be carried outside the client's premises, only assembling and finishing work will be allowed within the Site.</t>
  </si>
  <si>
    <t>Items of work provided in this schedule but not covered in the specifications shall be executed strictly as per instructions of the engineer.</t>
  </si>
  <si>
    <t>Unless otherwise mentioned  in the contract, the tenderer shall quote for the finished items and shall provide for the complete cost towards labour, materials, plant and machinery, operational costs, levies, taxes, transport, repairs, rectification, maintenance till handing over, revenue expenses, contingencies, overheads, profits and all incidental items not specifically mentioned but reasonably implied and necessary to complete the works according to the contract.</t>
  </si>
  <si>
    <t>The quantities of the various items mentioned in the schedule of items are approximate and may vary up to any extent or be deleted altogether. The contractor, in his own interest, should get an indication of the probable extent of the work to be executed under any particular item in this schedule, before undertaking any preliminary and enabling work or purchasing bought out components related to the work.</t>
  </si>
  <si>
    <t>The Engineer-in-charge's decision shall be final and binding on the contractor regarding clarifications of items in this schedule with respect to the other sections of the Contract.</t>
  </si>
  <si>
    <t>It may be noted that the total work or any part / parts of the same may be awarded as mentioned in this schedule of items.</t>
  </si>
  <si>
    <t>The rates quoted shall be inclusive of all mock-ups, associated samples prior to any mass production or procurement as per complete satisfaction of the Client and Architect. Inclusive of dismantling, demolishing and carting the material and making good of the surface.</t>
  </si>
  <si>
    <t>Any debris generated out of the said work may please be cleared on priority basis from the Site. The contractor to allow for  work to be executed on the  upper Floors, temporary storage of material on the Ground Floor, for  hoisting material to the upper floors, for bringing debris and waste down, for co-ordinating and scheduling movement of material with facilities available on site. The disposal of debris will be the sole responsibility of the Contractor.</t>
  </si>
  <si>
    <t>Any fault that occurs during the time of production, shifting or installation of finished materials should be replaced with good one as per the instruction from Engineer-in-charge.</t>
  </si>
  <si>
    <t>Maintaining the barricade and repair if required by the contractor.</t>
  </si>
  <si>
    <t>Making lay out with help of professional/In house  survey agency, establishing bench marks, permanent grid lines on permanent objects and checking verticality of entire structure floor wise at regular intervals, and producing drawings, and all survey works related to project, using Total Station, laser beam device. Laser beam range of minimum 200 metres  to be used for checking of verticality of entire structure.</t>
  </si>
  <si>
    <t>Protection- Cover up and protect from damage, including inclement weather including all works and materials but not limited to  , all finished works, unfixed materials, to the satisfaction of the Project Manager.</t>
  </si>
  <si>
    <t>Keeping the site clear, clean, and meeting the hygiene standards- Cost of providing and maintaining the workers toilets shall be covered in the scope of contractor. As per safety norms mentioned elsewhere.</t>
  </si>
  <si>
    <t>EARTH WORK</t>
  </si>
  <si>
    <t>1.1.</t>
  </si>
  <si>
    <r>
      <t xml:space="preserve">Excavation shall be payable only for vertical cut up to the outer edge of foundation lean concrete as indicated in drawings for all depths. Cost of extra excavation required for working space, supporting side shuttering of foundations and retaining walls, planking, dewatering, strutting etc. and that required for making slopes for stability of excavation shall be deemed to be included in the rate quoted. </t>
    </r>
    <r>
      <rPr>
        <b/>
        <sz val="10"/>
        <color rgb="FF000000"/>
        <rFont val="Book Antiqua"/>
        <family val="1"/>
      </rPr>
      <t>This item is not for Mass Excavation.</t>
    </r>
  </si>
  <si>
    <t>1.2.</t>
  </si>
  <si>
    <r>
      <t xml:space="preserve">Prepare the surface for PCC by manual excavation upto 30 cm depth including dressing the surface, ramming the bottom, disposal and spreading of the surplus earth at the specified location within premises  including  proper levelling, watering and consolidation complete  as directed by E I C. (The item shall be measured as per plan area of PCC, Working space shall not be taken into measurement, deemed to be included into rates) 
</t>
    </r>
    <r>
      <rPr>
        <b/>
        <sz val="10"/>
        <color rgb="FF000000"/>
        <rFont val="Book Antiqua"/>
        <family val="1"/>
      </rPr>
      <t>(This item is only applicable if excavation item is not being executed by contractor and excavation already done by client for the location)</t>
    </r>
  </si>
  <si>
    <t>1.3.</t>
  </si>
  <si>
    <r>
      <t xml:space="preserve">Filling available excavated earth in trenches, plinth, sides of foundations etc. in layers not exceeding 20cm in depth: consolidating each deposited layer by ramming and watering, lead within the premises and upto any depth. </t>
    </r>
    <r>
      <rPr>
        <b/>
        <sz val="10"/>
        <color rgb="FF000000"/>
        <rFont val="Book Antiqua"/>
        <family val="1"/>
      </rPr>
      <t>(Compacted Volume shall be payable as per drawing) - Actual volume shall be paid incase excavation is done by Client.</t>
    </r>
  </si>
  <si>
    <t>Total of Earthwork</t>
  </si>
  <si>
    <t>CONCRETE WORK</t>
  </si>
  <si>
    <r>
      <t xml:space="preserve">Rates for all cement concrete items plain and reinforced  described below shall include work from Basement Level to top of last roof including roof of machine room, mumty, over head water tanks and  parapets above at all floors and for all heights. The contractor should provide full time sufficient pipes with accessories and pumps based on the site requirement for pumping and laying of concrete as directed by the EIC. The rate inclusive of standard rigid pipe line and its supports, lifting, laying charges, etc., at all heights and levels. No additional payment shall be payable to the contractor on account of using or change in any size of coarse aggregate in PCC/ RCC work at any stage during currency of works. </t>
    </r>
    <r>
      <rPr>
        <b/>
        <sz val="10"/>
        <color rgb="FF000000"/>
        <rFont val="Book Antiqua"/>
        <family val="1"/>
      </rPr>
      <t xml:space="preserve">(This section covers cast in situ structural and architectural as well.) </t>
    </r>
  </si>
  <si>
    <t>2.2.</t>
  </si>
  <si>
    <t>2.3.</t>
  </si>
  <si>
    <t>2.4.</t>
  </si>
  <si>
    <t>RCC WORK</t>
  </si>
  <si>
    <t>2.4.1.</t>
  </si>
  <si>
    <t>2.4.2.</t>
  </si>
  <si>
    <t>Suspended floors, roofs, balconies, shelves/ counters, stair waist slabs, folded plate stairs and landings, swimming pool slab, lintel and floor beams, landing beams, girders (deep beams), RCC bands, swimming pool beam, cantilever projections, coping, cills, slab of tank etc at all levels.</t>
  </si>
  <si>
    <t>2.4.2.1.</t>
  </si>
  <si>
    <t>2.4.2.2.</t>
  </si>
  <si>
    <t>2.4.2.3.</t>
  </si>
  <si>
    <t xml:space="preserve">All type of Moulding, Bands, Elevation/Architectural Features as per drawing and as directed by EIC. at all level </t>
  </si>
  <si>
    <t>2.5.</t>
  </si>
  <si>
    <t>Columns, Wall, pillars, piers, abutments, posts and struts, offset and projection of columns, water tank walls, lift walls, Retaining Wall, swimming pool, Parapets, planters, vertical projection of  pergolas, wall and ramp walls  etc. at all levels.</t>
  </si>
  <si>
    <t>2.5.1.</t>
  </si>
  <si>
    <t>2.5.2.</t>
  </si>
  <si>
    <t>2.5.3.</t>
  </si>
  <si>
    <r>
      <t xml:space="preserve">Finishing </t>
    </r>
    <r>
      <rPr>
        <b/>
        <sz val="10"/>
        <color rgb="FF000000"/>
        <rFont val="Book Antiqua"/>
        <family val="1"/>
      </rPr>
      <t>vaccum dewatering continuous concrete flooring 100-150 mm thick</t>
    </r>
    <r>
      <rPr>
        <sz val="10"/>
        <color rgb="FF000000"/>
        <rFont val="Book Antiqua"/>
        <family val="1"/>
      </rPr>
      <t xml:space="preserve"> with specified grade concrete including necessary formwork in required level, vibrating concrete both by poker vibrators /  leveling vaccum processing of the concrete and planning the surface by skin powered floater trowels with broom/plain finish including groove cutting &amp; filling etc. complete. </t>
    </r>
    <r>
      <rPr>
        <b/>
        <sz val="10"/>
        <color rgb="FF000000"/>
        <rFont val="Book Antiqua"/>
        <family val="1"/>
      </rPr>
      <t xml:space="preserve">(Concrete shall be paid in the respective items above). </t>
    </r>
  </si>
  <si>
    <t>Total of RCC Work</t>
  </si>
  <si>
    <t>CENTRING AND SHUTTERING</t>
  </si>
  <si>
    <t>3.1.1.</t>
  </si>
  <si>
    <t>3.1.2.</t>
  </si>
  <si>
    <t>3.1.2.1.</t>
  </si>
  <si>
    <t>3.1.2.2.</t>
  </si>
  <si>
    <t>3.2.</t>
  </si>
  <si>
    <t>3.2.1.</t>
  </si>
  <si>
    <t>3.2.2.</t>
  </si>
  <si>
    <t>3.2.3.</t>
  </si>
  <si>
    <t>3.3.</t>
  </si>
  <si>
    <t>Total of Shuttering</t>
  </si>
  <si>
    <t>4.1.</t>
  </si>
  <si>
    <t>Thermomechanically Treated Reinforcement (TMT) or  High yield strength Deformed (Tor steel) bars of all size &amp; grades.</t>
  </si>
  <si>
    <t>4.1.1.</t>
  </si>
  <si>
    <t>4.1.2.</t>
  </si>
  <si>
    <t>4.1.3.</t>
  </si>
  <si>
    <t>Total of Reinforcement</t>
  </si>
  <si>
    <t>MASONARY WORK</t>
  </si>
  <si>
    <t>5.1.</t>
  </si>
  <si>
    <t>Providing and laying 230mm thick brick masonry using 1st quality burnt clay FPS bricks in Sub-Structure laid in cement mortar 1:6 (1 cement : 6 coarse sand) mix, joints finished, flush/ raked to 6mm  depth  including scaffolding, curing complete as per specification and drawing or as directed by Project Manager.</t>
  </si>
  <si>
    <t>5.2.</t>
  </si>
  <si>
    <r>
      <t xml:space="preserve">Providing and laying of 115 mm thick brick work with 1st quality burnt clay FPS bricks in sub-superstructure laid in cement mortar 1:4 (1 cement : 4 coarse sand) mix, joints finished, including placing hoop iron as per specification at every third course, scaffolding, curing complete in all respect as per direction of EIC. </t>
    </r>
    <r>
      <rPr>
        <b/>
        <sz val="10"/>
        <color rgb="FF000000"/>
        <rFont val="Book Antiqua"/>
        <family val="1"/>
      </rPr>
      <t xml:space="preserve">(Hoop iron shall be provided by client free of cost) (Items of RCC bands like shuttering, concrete and reinforcement to be paid in respective items). </t>
    </r>
  </si>
  <si>
    <t>5.3.</t>
  </si>
  <si>
    <t>5.3.1</t>
  </si>
  <si>
    <t xml:space="preserve">Providing and laying 230mm thick brick masonry using 1st quality burnt clay FPS bricks in Super-Structure laid in cement mortar 1:6 (1 cement : 6 coarse sand) mix, joints finished, flush/ raked to 6mm  depth  including scaffolding, curing complete as per specification and drawing or as directed by Project Manager. </t>
  </si>
  <si>
    <t>(a)</t>
  </si>
  <si>
    <t>(b)</t>
  </si>
  <si>
    <t>5.4.</t>
  </si>
  <si>
    <t>5.4.1</t>
  </si>
  <si>
    <r>
      <t xml:space="preserve">Providing and laying of 115 mm thick brick work with 1st quality burnt clay FPS bricks in Super-Superstructure laid in cement mortar 1:4 (1 cement : 4 coarse sand) mix, joints finished, including placing  hoop iron as per specification at every third course, scaffolding, curing complete in all respect as per direction of EIC. </t>
    </r>
    <r>
      <rPr>
        <b/>
        <sz val="10"/>
        <color rgb="FF000000"/>
        <rFont val="Book Antiqua"/>
        <family val="1"/>
      </rPr>
      <t>(Hoop iron shall be provided by client free of cost)</t>
    </r>
    <r>
      <rPr>
        <sz val="10"/>
        <color rgb="FF000000"/>
        <rFont val="Book Antiqua"/>
        <family val="1"/>
      </rPr>
      <t xml:space="preserve"> </t>
    </r>
    <r>
      <rPr>
        <b/>
        <sz val="10"/>
        <color rgb="FF000000"/>
        <rFont val="Book Antiqua"/>
        <family val="1"/>
      </rPr>
      <t>(Items of RCC bands like shuttering, concrete and reinforcement to be paid in respective items).</t>
    </r>
  </si>
  <si>
    <t>5.8.</t>
  </si>
  <si>
    <r>
      <t>Brick work in staircase steps:</t>
    </r>
    <r>
      <rPr>
        <sz val="10"/>
        <color rgb="FF000000"/>
        <rFont val="Book Antiqua"/>
        <family val="1"/>
      </rPr>
      <t xml:space="preserve"> </t>
    </r>
  </si>
  <si>
    <t xml:space="preserve">Providing and laying and constructing brickwork in staircase steps using 1st quality burnt clay FPS bricks in cement mortar 1:3 (1 cement : 3 coarse sand) at all heights and levels including cutting, chamfering  scaffolding, curing, complete as per specification. </t>
  </si>
  <si>
    <t>Total of Masonary Work</t>
  </si>
  <si>
    <t>FINISHING WORKS (PLASTER)</t>
  </si>
  <si>
    <t>6.1.</t>
  </si>
  <si>
    <t>6.2.</t>
  </si>
  <si>
    <r>
      <rPr>
        <b/>
        <sz val="10"/>
        <color rgb="FF000000"/>
        <rFont val="Book Antiqua"/>
        <family val="1"/>
      </rPr>
      <t>Wall Plaster:</t>
    </r>
    <r>
      <rPr>
        <sz val="10"/>
        <color rgb="FF000000"/>
        <rFont val="Book Antiqua"/>
        <family val="1"/>
      </rPr>
      <t xml:space="preserve">
Providing and applying 12 to 15mm thick plaster to masonry and RCC walls, columns etc. in cement mortar 1:5 (1 cement : 5 screened coarse sand) finished smooth including hacking the surfaces, steel  scaffolding, curing, making grooves at desired location etc. complete for all levels as per approved drawing. </t>
    </r>
  </si>
  <si>
    <r>
      <rPr>
        <b/>
        <sz val="10"/>
        <color rgb="FF000000"/>
        <rFont val="Book Antiqua"/>
        <family val="1"/>
      </rPr>
      <t xml:space="preserve">Ceiling Plaster:
</t>
    </r>
    <r>
      <rPr>
        <sz val="10"/>
        <color rgb="FF000000"/>
        <rFont val="Book Antiqua"/>
        <family val="1"/>
      </rPr>
      <t xml:space="preserve">Providing and applying 6-10mm thick plaster to  RCC slab, beam in cement mortar 1:4 (1 cement : 4 screened coarse sand) finished smooth including hacking the surfaces, steel scaffolding, curing, making grooves at  desired location etc. complete for all levels as per approved drawing. </t>
    </r>
  </si>
  <si>
    <t>Total of Finishing Work (Plaster)</t>
  </si>
  <si>
    <t>STRUCTURE STEEL</t>
  </si>
  <si>
    <r>
      <t xml:space="preserve">NOTES: </t>
    </r>
    <r>
      <rPr>
        <sz val="10"/>
        <color rgb="FF000000"/>
        <rFont val="Book Antiqua"/>
        <family val="1"/>
      </rPr>
      <t>The rates quoted by contractor for items under this head shall be inclusive of the following:-</t>
    </r>
  </si>
  <si>
    <t>(i)</t>
  </si>
  <si>
    <t>Fabrication, cutting, bending to required size and shape, drilling, punching, counter-sinking, welding, grinding, filling etc. finishing, erecting and fixing in position at all heights and depths with all leads and lift.</t>
  </si>
  <si>
    <t>(ii)</t>
  </si>
  <si>
    <t xml:space="preserve">M.S. ladders and MS Railings in staircases, balconies and  at any other place etc shall be fixed by welding the railing to steel reinforcement of slabs/beams/columns/staircase etc to make it absolutely rigid. The rate includes cutting of RCC required if any and making good the same after welding of the railing. Subsequently, the same shall be embedded in cement concrete of specified grade. </t>
  </si>
  <si>
    <t>(iii)</t>
  </si>
  <si>
    <t>M.S. grills/weld mesh etc. shall be fixed to masonry/concrete jambs of floor by means of required size and number of M.S. lugs grouted/ embeded in cement concrete block 1:2:4 or fixed by means of suitable counter sunk screw with rawal plugs or fixed by dash fastener of required dia and depth.</t>
  </si>
  <si>
    <t>(iv)</t>
  </si>
  <si>
    <t>The accessories such as M.S. hold-fasts / dash fasteners, lugs screws, rawal plug, G.I. pipe pieces, grouting in C.C. block 1:2:4 etc. shall not be paid separately. This shall be included in rate of items.</t>
  </si>
  <si>
    <t>(v)</t>
  </si>
  <si>
    <t xml:space="preserve">All steel work shall be painted with one coat of red oxide primer of approved make. </t>
  </si>
  <si>
    <t>(vi)</t>
  </si>
  <si>
    <t>No extra shall be paid for transport of fabricated items from one place to another place.</t>
  </si>
  <si>
    <t>(vii)</t>
  </si>
  <si>
    <t>Cost of all erection fasteners shall be borne by the contractor.</t>
  </si>
  <si>
    <t>(viii)</t>
  </si>
  <si>
    <t>All Welding work should be done as per IS:814.</t>
  </si>
  <si>
    <t>(ix)</t>
  </si>
  <si>
    <t>Domestic LPG cylinder shall not be used for any cutting of steel members.</t>
  </si>
  <si>
    <t>(x)</t>
  </si>
  <si>
    <t>All holes shall be drilled and no gas cutting shall be Allowed.</t>
  </si>
  <si>
    <t>(xi)</t>
  </si>
  <si>
    <t>Localized 'earthing' to be provided while welding to avoid any damage to electronic equipments in the running plant.</t>
  </si>
  <si>
    <t>7.1.</t>
  </si>
  <si>
    <t>Total of Strutural Steel Work</t>
  </si>
  <si>
    <t>NOTES: The rates quoted by contractor for items under this head shall be inclusive of the following:-</t>
  </si>
  <si>
    <t>All labour, materials, use of tools and equipment to complete the Wood works with all leads and lift.</t>
  </si>
  <si>
    <t>ii</t>
  </si>
  <si>
    <t>The rate shall be inclusive for applying water proof wood primer and two coats of termite proof paint on concelled surfaces on the wooden frame.</t>
  </si>
  <si>
    <t>iii</t>
  </si>
  <si>
    <t>Nails, Glue, Screws, Dash Fastener, lipping, Door hardware i.e. Mortice Lock, Handle, Tower bolt, Door Stopper, Door Buffer, Magic eye etc. are included in the rate.</t>
  </si>
  <si>
    <t>iv</t>
  </si>
  <si>
    <t>All joints shall be approved by the Client and according to the best practice. All joinery work shall be glued with best quality synthetic waterproof adhesive Fevicol or equivalent make as approved.</t>
  </si>
  <si>
    <t>v</t>
  </si>
  <si>
    <t>All screws shall be driven with screwdriver and shall not be hammered.</t>
  </si>
  <si>
    <t>vi</t>
  </si>
  <si>
    <t xml:space="preserve">Quoted rates are applicable for all depths, heights, lead &amp; lift unless specified explicitly. </t>
  </si>
  <si>
    <t>Total of Wood Work</t>
  </si>
  <si>
    <t>WATERPROOFING</t>
  </si>
  <si>
    <t xml:space="preserve">The waterproofing treatment shall be got executed only through a specialized agency to be approved by the owner, under the supervision of the main contractor. Specialized agency, through which the contractor intends to get the water proofing work done, sholud have completed at least three similar works with satisfactory completion certificates and performance. At least one of these three works should have been completed by the specialized agency, at least five years prior to the date of the tender. </t>
  </si>
  <si>
    <t>Signing guarantee bond as per approved performa for waterproofing treatment for 10 years from the date of final completion on non judicial stamp paper. The guarantee bond shall be executed &amp; extended by the contractor to the client and not by the water proofing agency.The guarantee bond enclosed with tender paper shall be signed by waterproofing agency and the main civil contractor.</t>
  </si>
  <si>
    <t>The rate shall be inclusive of the work in narrow widths, junctions Including leads and lift upto terrace level unless explicitly specified otherwise.</t>
  </si>
  <si>
    <t>Terrace - Providing 50x50mm, size chase in wall, parapets etc. at 300mm height from floor level for tucking ends of vertical layers of the treatment, filling up the chase with cement mortar 1:4 (1 Cement : 4 Course sand ) and preparing a drip mould as per detailed drawing just above the chase.</t>
  </si>
  <si>
    <t>The contractor shall get water tanks tested against any leakage/seepage by filling all the water tanks with water for a minimum period of 15 days, including cost of water, all necessary arrangements required for filling and emptying the tank after testing. The testing, rectification of leakage and seepage if any  shall be completed to the entire satisfaction of the owner, who may desire the retesting as detailed above, till satisfactory results are obtained, to the entire satisfaction of the client.</t>
  </si>
  <si>
    <t>For measurements, the actual  treated area shall be measured.</t>
  </si>
  <si>
    <t>Contractor to deposit all the water proofing material(s) in owner's stores and a copy of the bill(s) of such materials to be submitted to the owner. Empty bags/drums/containers of waterproofing material shall be removed only after the written permission of the owner.</t>
  </si>
  <si>
    <t xml:space="preserve">The Contractor shall submit the daily report of the status of waterproofing material received/consumed and the balance at site, to the client. </t>
  </si>
  <si>
    <t xml:space="preserve">TERRACE WATERPROOFING: </t>
  </si>
  <si>
    <t>Providing and laying 120 mm average thickness of brick bat Coba and 65 mm at Khurra on Terrace through an approved agency, approved by the Architect as per steps given.
(a) Surface Preparation, Cleaning the mother slab, reapir of joints, Providing and applying URP with cement slurry as primer to fill all the pores etc on mother slab over primer Providing and applying two coats of Fast Flex @ 2kg/Sqm including sandwiching the layer with fiber mesh of 45 GSM between two layers. (It shall also be execute up to 300 mm height of wall)
(b) laying cement concrete using broken bricks/ brick bats of size 25 mm to 100 mm size with 50 % of cement mortar 1:5 ( 1 cement : 5 coarse sand)  admixed with proprietary water proofing compound conforming to IS:2645 over 20 mm thick layer of cement mortar of mix 1:5 ( 1 cement : 5 coarse sand) admixed with admixed with proprietary water proofing compound conforming to IS:2645 to required slope and treating similarly the adjoining wall upto 300 mm height including rounding of junctions of wall and slabs.
(c) After two days of proper curing applying a second coat of cement slurry admixed with proprietary water proofing compound conforming to IS:2645 (d) Finishing the surface with 20 mm thick jointless cement mortar of mix 1:4 (1 cement : 4 coarse sand) admixed with proprietary water proofing compound conforming to IS:2645 and finally finishing the surface with trowel with neat cement slurry and making 300X300 mm square. (e) The whole terrace so finished sshall be looded with water for a minimum period of two weeks for curing and for final test. All above operations to be done in order and as directed and specified by the engineer in charge. With average thickness of 100 mm thickness and minimum thickness at khurra as 65 mm.</t>
  </si>
  <si>
    <r>
      <t xml:space="preserve">Providing gola in 1: 2: 4 cement concrete with 12 mm nominal size stone ballast, finished with cement plaster 1:2 (1 cement: 2 medium sand) laid, cured complete as per design. (Approx. Size 100mm x 100mm)
Making khurras 450 x 450 mm with average min. thk. Of 50 mm over PVCsheet of 1m x 1m x 400 micron with cement concrete 1:2:4 (1 cement: 2 coarse sand: 4 graded stone aggregate of 12 mm nominal size) finished with 12 mm cement plaster 1:3 (1 cement: 3 coarse sand) and a coat of neat cement, rounding the edges, making and finishing complete.
</t>
    </r>
    <r>
      <rPr>
        <b/>
        <sz val="10"/>
        <color rgb="FF000000"/>
        <rFont val="Book Antiqua"/>
        <family val="1"/>
      </rPr>
      <t>(Only plan area shall be paid).</t>
    </r>
  </si>
  <si>
    <t>Total of Waterproofing Work</t>
  </si>
  <si>
    <t>Grand Total (Excluding GST)</t>
  </si>
  <si>
    <t>All Basic Rates are F.O.R at site excluding GST</t>
  </si>
  <si>
    <t xml:space="preserve">Further only difference shall be paid/recovered subject to prior approval and with the consent of Client Purchase Department.                                                </t>
  </si>
  <si>
    <t xml:space="preserve">Basic rate shall be considered only for items as mentioned above. Nothing shall be considered for any hike in price for any other material except mentioned above.                                        </t>
  </si>
  <si>
    <t>Any variation (upward/ downward, both cases) in basic rate versus purchase rates shall be paid / recovered, only if prior approval taken by contractor through client's procurement department.</t>
  </si>
  <si>
    <t>Contractor shall submit monthly/ fortnightly or as per requirement of material at site (well in advance) to site team for approval of material purchase rates through client's procurement department before procurement of materials, this is applicable for which base rate is mentioned in work order.</t>
  </si>
  <si>
    <t>NOTE:-</t>
  </si>
  <si>
    <t>Steel reinforcement shall be provided by the owner free of cost. Maximum Permissible wastage for steel reinforcement is 2%. If wastage of reinforcement exceeded the specified limit, Cost of the excess wastage quantity shall be recovered from the Contractor on the basis of 1.5 times of actual cost to client.</t>
  </si>
  <si>
    <t xml:space="preserve">Only space shall be provided by Client for labour hutment, further construction of labour hutment, sanitation, house keeping, water, electricity arrangement shall be made by contractor at his own cost.                                                </t>
  </si>
  <si>
    <t xml:space="preserve">Electricity for construction and labour colony shall be in the scope of contractor including perimeter lighting. Electricity shall be provided at one point on chargeable basis further distribution is in the scope of contractor. Nothing extra shall be paid on this account whatsoever. </t>
  </si>
  <si>
    <t xml:space="preserve">Functional QA/QC lab shall be established by the contractor to maintain the required quality at the project for meeting the quality standards and contractor shall depute a proper Q.A. Engineer from the beginning and submit a quality assurance plan for the same.                                                  </t>
  </si>
  <si>
    <t>Survey work is in the scope of contractor. Client personnel will verify it.</t>
  </si>
  <si>
    <t xml:space="preserve">Contractor shall submit the PF and ESI deposit challan, if the same is not deposited, shall be deducted from contractor's bill.                                                </t>
  </si>
  <si>
    <t>(Quoted Rates are for all heights, all depths, all levels, including basement to roof (mumty) &amp; all leads and lifts, including curved or circular including elevation masonary work) (Basic Rate of Brick @ Rs. 7/No. FOR at site without GST)</t>
  </si>
  <si>
    <t>Basic Rate of Bricks - Rs. 7/- per No.</t>
  </si>
  <si>
    <r>
      <t xml:space="preserve">Providing &amp; Laying </t>
    </r>
    <r>
      <rPr>
        <b/>
        <sz val="10"/>
        <color rgb="FF000000"/>
        <rFont val="Book Antiqua"/>
        <family val="1"/>
      </rPr>
      <t>RMC M-25</t>
    </r>
    <r>
      <rPr>
        <sz val="10"/>
        <color rgb="FF000000"/>
        <rFont val="Book Antiqua"/>
        <family val="1"/>
      </rPr>
      <t xml:space="preserve"> Grade as per approved design mix concrete (strictly controlled conditions) with flyash (as per approved design mix) with automatic batching plant machine mixed and machine  vibrated RCC with melamine based plasticisers etc., upto any level, including finishing the exposed surface, fixing/ removal of pockets, fixing of sleeves and inserts (sleeves provided by client), curing etc complete, as per drawing (including all size and shape like circular, semi-circular, oval etc.) and as directed for all lead and lift, excluding cost of centering, shuttering and steel reinforcement but including cost of making shear keys and provision of construction / contraction / control joints in various locations. Checking from Client should not be considered as final and any defects arising during or after casting should be borne &amp; bear by contractor at his own cost. This is inclusive of leaving shuttering &amp; centring for pour strip, slab in slope, RCC members in curved, etc., nothing is payable extra on this account.
</t>
    </r>
    <r>
      <rPr>
        <b/>
        <sz val="10"/>
        <color rgb="FF000000"/>
        <rFont val="Book Antiqua"/>
        <family val="1"/>
      </rPr>
      <t>RMC (M-25) Basic Rate - Rs. 5200/cum without pump excluding GST</t>
    </r>
  </si>
  <si>
    <r>
      <t xml:space="preserve">Receiving, laying and fixing in position steel reinforcement in all reinforced concrete work, including straightening, cutting, removal of loose rust by wire brush and coating with cement slurry, bending,  hoisting, laying in position to the shape and profile required at all levels and heights as per drawing and design and/ or as directed, binding with double folded steel wire as approved by EIC etc. complete.  
(Contractor shall prepare BBS and submit to EIC for approval prior to cutting, bending &amp; laying of steel bars and payments shall be released as per approved BBS complete in all respect as per direction and approval of EIC Rate shall include cost of 18 gauge GI binding wire, cover blocks as per Indian Standards, unloading the steel &amp; moving to the steel yard, moving site to site within project etc) </t>
    </r>
    <r>
      <rPr>
        <b/>
        <sz val="10"/>
        <color rgb="FF000000"/>
        <rFont val="Book Antiqua"/>
        <family val="1"/>
      </rPr>
      <t>(Only Steel reinforcement shall be provided by the owner free of cost at one point)</t>
    </r>
  </si>
  <si>
    <t xml:space="preserve">Up to Stilt Floor Level </t>
  </si>
  <si>
    <t>Stilt Floor level to to Terrace Including OHT, Mumty, Machine Room, Parapet)</t>
  </si>
  <si>
    <t xml:space="preserve">Internal Plaster Super-Structure: </t>
  </si>
  <si>
    <t xml:space="preserve">1 No. Material Hoist is in the scope of contractor. </t>
  </si>
  <si>
    <t xml:space="preserve">Safety net minimum at 2 level shall be provided by contractor. </t>
  </si>
  <si>
    <t>BOQ of Civil &amp; Structure Works (Stilt + 14) Tower-E - Prayagraj</t>
  </si>
  <si>
    <t xml:space="preserve">Brick work in Sub Structure (Up to Stilt Floor level): </t>
  </si>
  <si>
    <t>Brick work in Super Structure (Above Stilt FLoor level)</t>
  </si>
  <si>
    <r>
      <t xml:space="preserve">Providing and fixing plywood or steel plate shuttering and centring for structural concrete work  in locations called for including strutting, propping, bracing, bolting, wedging, casing, striking, removal etc.  complete for any size, section, thickness. Props shall consist of well designed steel pipes adequately braced (wooden ballies as props shall not be permitted). The item to include centering and shuttering at all heights and levels. Allow for forming grooves, drip course, chamfers, cut-outs, openings etc. where called for and for dressing with approved shuttering oil to prevent adhesion. Unexposed concrete surfaces subsequently left untreated (in the condition obtained on removal of form work) shall not constitute exposed concrete work and shall be measured under this item only Irregular shapes with sides (like circular, semi-circular, oval etc.) which may not be perpendicular to each other for shapes not conforming to rectangle  or square, and circular shuttering shall not be paid separately. Joints of soffits of the slab shall be made clean after concreting and de-shuttering. </t>
    </r>
    <r>
      <rPr>
        <b/>
        <sz val="10"/>
        <color rgb="FF000000"/>
        <rFont val="Book Antiqua"/>
        <family val="1"/>
      </rPr>
      <t>(quoted rate to include all staging upto 3.50 mtr height). 
Note:- Contractor shall take necessary precautions such as watertight shuttering. This is inclusive of RCC members, leaving shuttering &amp; centring for pour strip, slab in slope, RCC members in curved (in plan), etc., nothing is payable extra on this account.</t>
    </r>
  </si>
  <si>
    <r>
      <t xml:space="preserve">Extra for additional height in centring, shuttering where ever required with adequate bracing, propping etc. including cost of de-shuttering and decentring at all levels, over and above height of 3.50 mtr </t>
    </r>
    <r>
      <rPr>
        <b/>
        <sz val="10"/>
        <color rgb="FF000000"/>
        <rFont val="Book Antiqua"/>
        <family val="1"/>
      </rPr>
      <t>(Plan area to be measured and shall be paid proportionately on actual height) – for every 1.0 mtr. height</t>
    </r>
  </si>
  <si>
    <r>
      <rPr>
        <b/>
        <sz val="10"/>
        <color rgb="FF000000"/>
        <rFont val="Book Antiqua"/>
        <family val="1"/>
      </rPr>
      <t>Structural steel work with solid/hollow sections:</t>
    </r>
    <r>
      <rPr>
        <sz val="10"/>
        <color rgb="FF000000"/>
        <rFont val="Book Antiqua"/>
        <family val="1"/>
      </rPr>
      <t xml:space="preserve">
Providing and fixing M.S. work in built-up section such as staircase railing, balcony railing, grating, MS drain cover, MS mumty door including hold fast/fastener etc. with square/round MS Pipes, MS  flats, MS Hollow section etc., as per design electrically welded and fixing in RCC/brick masonry or/and treads of steps with cement concrete 1:2:4 (1 cement : 2 corse sand : 4 grades stone aggregate 20 mm nominal sie), complete in all respect as per drawing &amp; direction of EIC, including a coat of red oxide steel primer. </t>
    </r>
    <r>
      <rPr>
        <b/>
        <sz val="10"/>
        <color rgb="FF000000"/>
        <rFont val="Book Antiqua"/>
        <family val="1"/>
      </rPr>
      <t>(Basic Rate of Str. Steel - Rs. 60/- Per Kg. F.O.R excluding GST)</t>
    </r>
    <r>
      <rPr>
        <sz val="10"/>
        <color rgb="FF000000"/>
        <rFont val="Book Antiqua"/>
        <family val="1"/>
      </rPr>
      <t xml:space="preserve"> </t>
    </r>
  </si>
  <si>
    <t>Basic Rate of PCC (M10 Grade) @ Rs. 4200/- per cum without Pump</t>
  </si>
  <si>
    <t>Basic Rate of RMC (M25 Grade) @ Rs. 5000/- per cum without Pump</t>
  </si>
  <si>
    <t>Basic Rate of Structure Steel - Rs. 60/- per Kg</t>
  </si>
  <si>
    <t>For higher grade of RMC including SCC only basic rate difference shall be paid/recovered</t>
  </si>
  <si>
    <t>Construction as well as Drinking water shall be in the scope of contractor inluding its further distribution and storage.</t>
  </si>
  <si>
    <t>1 No. Mobile crane is in the scope of contractor.</t>
  </si>
  <si>
    <t xml:space="preserve">DG of required capacity for Mobile Crane and Material Hoist is in the scope of contractor. </t>
  </si>
  <si>
    <t>Design mix approval of RMC shall be obtained by contractor from client.</t>
  </si>
  <si>
    <t>HDPE Debris chute is in contractor scope</t>
  </si>
  <si>
    <t>Surface water, rainy water pumping out is in contractor scope.</t>
  </si>
  <si>
    <t xml:space="preserve">Earth work in excavation in  foundation trenches, column pits, plinth beam, under grade/ raft slab etc. by mechanical and/or manual means up to a depth of 1.5 mtr in soil from existing excavated soil level, stacking/spreading the  excavated material within site premises (within a stretch of 1500 M) as per direction of Project Manager including dressing of bottom, sides strutting, timbering, shoring, trimming of sides, all leads and lifts, bailing or pumping out the water from the excavated areas collected from any source including subsoil water and keeping the excavated surface dry for subsequent works incidentals, etc. complete with ramming of bottom, surface preparation as per specifications to receive the  PCC.    
                                                </t>
  </si>
  <si>
    <r>
      <rPr>
        <b/>
        <sz val="10"/>
        <color rgb="FF000000"/>
        <rFont val="Book Antiqua"/>
        <family val="1"/>
      </rPr>
      <t>Plain Cement Concrete:</t>
    </r>
    <r>
      <rPr>
        <sz val="10"/>
        <color rgb="FF000000"/>
        <rFont val="Book Antiqua"/>
        <family val="1"/>
      </rPr>
      <t xml:space="preserve">
Providing and laying plain cement concrete of specified grade as bed concrete under foundation, bases for rafts, underground water tank, building machine equipments, column footing, under floor landings, below road and pathways, cill, coping, screeding at roof to required slope and other locations as called for laid, consolidated and cured etc. complete including finishing the top surface to receive the next course / layer as per specification and drawing. </t>
    </r>
    <r>
      <rPr>
        <b/>
        <sz val="10"/>
        <color rgb="FF000000"/>
        <rFont val="Book Antiqua"/>
        <family val="1"/>
      </rPr>
      <t>(Shuttering shall be paid in Item No.3.1.1)
M10 Grade (Basic Rate of PCC - Rs. 4200/cum) without pump</t>
    </r>
  </si>
  <si>
    <r>
      <t xml:space="preserve">Providing and laying cement concrete 1:2:4 (1 cement : 2 coarse sand : 4 graded stone aggregate 20mm nominal size) for ledge wall below balcony railings, band, mullion, lintel etc. </t>
    </r>
    <r>
      <rPr>
        <b/>
        <sz val="10"/>
        <color rgb="FF000000"/>
        <rFont val="Book Antiqua"/>
        <family val="1"/>
      </rPr>
      <t>(Shuttering shall be paid separately in respective item)</t>
    </r>
    <r>
      <rPr>
        <sz val="10"/>
        <color rgb="FF000000"/>
        <rFont val="Book Antiqua"/>
        <family val="1"/>
      </rPr>
      <t xml:space="preserve"> as per drawing and as directed by the Project Manager.</t>
    </r>
  </si>
  <si>
    <r>
      <t xml:space="preserve">Providing and laying </t>
    </r>
    <r>
      <rPr>
        <b/>
        <sz val="10"/>
        <color rgb="FF000000"/>
        <rFont val="Book Antiqua"/>
        <family val="1"/>
      </rPr>
      <t xml:space="preserve">damp proof course 40mm thick </t>
    </r>
    <r>
      <rPr>
        <sz val="10"/>
        <color rgb="FF000000"/>
        <rFont val="Book Antiqua"/>
        <family val="1"/>
      </rPr>
      <t>including shttering</t>
    </r>
    <r>
      <rPr>
        <b/>
        <sz val="10"/>
        <color rgb="FF000000"/>
        <rFont val="Book Antiqua"/>
        <family val="1"/>
      </rPr>
      <t xml:space="preserve"> </t>
    </r>
    <r>
      <rPr>
        <sz val="10"/>
        <color rgb="FF000000"/>
        <rFont val="Book Antiqua"/>
        <family val="1"/>
      </rPr>
      <t>with cement concrete 1:2:4 (1 cement : 2 coarse sand : 4 graded stone aggregate 20mm nominal size) including mixing of water proofing compound @ 2% of cement content and  applying two layers of bitumen @ 1.70 Kg/Sqm of grade 85/25 and as directed by the Project Manager.</t>
    </r>
  </si>
  <si>
    <t xml:space="preserve">Stilt Floor level to 7th Floor level </t>
  </si>
  <si>
    <t>7th Floor level to to Terrace Including OHT, Mumty, Machine Room, Parapet</t>
  </si>
  <si>
    <t>Foundation, column footings, raft slab, raft beams, plinth beam, lift pits, sump pits, pedestals / bases of column, column upto plinth, swimming pool, Retaining wall foundations, grade slab etc.</t>
  </si>
  <si>
    <t>2.5.4.</t>
  </si>
  <si>
    <t>Foundation, column footings, raft slab, raft beams, plinth beam, lift pits, sump pits, pedestals / bases of column, column up to plinth, swimming pool, Retaining wall foundations, grade slab etc.</t>
  </si>
  <si>
    <t>3.1.2..3</t>
  </si>
  <si>
    <t>Make List</t>
  </si>
  <si>
    <t>RMC - Prism/Shubham</t>
  </si>
  <si>
    <t>Structural Steel - Tata/JSW/Jindal/Apollo</t>
  </si>
  <si>
    <t>Cement - Ultratech/ACC/JK/Wonder</t>
  </si>
  <si>
    <t xml:space="preserve">(Quoted Rate shall be for all heights, depths, levels, leads and lifts and to include providing and fixing chicken wire mesh in junction RCC and brick / AAC Block walls and at all chased for electrical conduits &amp; plumbing pipes etc. for internal and external plaster works including minor chipping of RCC, brickwork surface). </t>
  </si>
  <si>
    <r>
      <rPr>
        <b/>
        <sz val="10"/>
        <color rgb="FF000000"/>
        <rFont val="Book Antiqua"/>
        <family val="1"/>
      </rPr>
      <t>Double Layer External Plaster:</t>
    </r>
    <r>
      <rPr>
        <sz val="10"/>
        <color rgb="FF000000"/>
        <rFont val="Book Antiqua"/>
        <family val="1"/>
      </rPr>
      <t xml:space="preserve">
Providing and applying 20 mm thick external cement plaster in two coats under layer 12 mm thick cement plaster 1:5 (1 cement : 5 screened coarse sand) finished with a  top layer 8mm thick cement plaster   1:4 (1 cement : 4 screened coarse sand) including making of grooves, bands, drip coarse, design etc. as shown in drawing, steel scaffolding, curing, providing &amp; mixing water proofing compound (CICO) in both layers as per manufacturer specification etc. complete as per approved drawing. </t>
    </r>
  </si>
  <si>
    <r>
      <rPr>
        <b/>
        <sz val="10"/>
        <color rgb="FF000000"/>
        <rFont val="Book Antiqua"/>
        <family val="1"/>
      </rPr>
      <t>Single Layer (Shaft Plaster):</t>
    </r>
    <r>
      <rPr>
        <sz val="10"/>
        <color rgb="FF000000"/>
        <rFont val="Book Antiqua"/>
        <family val="1"/>
      </rPr>
      <t xml:space="preserve"> 
Providing and applying 12-15 mm thick external cement plaster in single coat finished with cement plaster 1:4 (1 cement : 4 screened coarse sand) including making of grooves, bands, drip coarse as  shown in drawing, steel scaffolding, curing, providing &amp; mixing water proofing compound (CICO) as per manufacturer specification etc. complete as per approved drawing. </t>
    </r>
  </si>
  <si>
    <r>
      <t xml:space="preserve">Providing and Fixing seasoned Red Meranti door frame including painting the portion in contact with masonary / R.C.C. with 2 or more coats of  Antitermite treatment paint and fixng the frames with suitable 3 Nos. M.S. holdfasts each side made out of 40 x 5 mm flat iron 230 mm long with bolts and nuts/ dash fasteners for RCC surfaces, duly embedded in C.C. Blocks of required size in (1:2:4 ) 1 cement : 2 coarse sand : 4 stone aggregate 20 mm nominal size) including tarring the hold fast etc.all complete as per direction of EIC. </t>
    </r>
    <r>
      <rPr>
        <b/>
        <sz val="10"/>
        <color rgb="FF000000"/>
        <rFont val="Book Antiqua"/>
        <family val="1"/>
      </rPr>
      <t xml:space="preserve">(Finished size to be confirmed by client before procurement) (Sample of wood shall be get approved by client before procurement) </t>
    </r>
  </si>
</sst>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1" formatCode="_ * #,##0_ ;_ * \-#,##0_ ;_ * &quot;-&quot;_ ;_ @_ "/>
    <numFmt numFmtId="43" formatCode="_ * #,##0.00_ ;_ * \-#,##0.00_ ;_ * &quot;-&quot;??_ ;_ @_ "/>
    <numFmt numFmtId="164" formatCode="_(* #,##0.00_);_(* \(#,##0.00\);_(* &quot;-&quot;??_);_(@_)"/>
    <numFmt numFmtId="165" formatCode="0.0"/>
    <numFmt numFmtId="166" formatCode="_ * #,##0_ ;_ * \-#,##0_ ;_ * &quot;-&quot;??_ ;_ @_ "/>
    <numFmt numFmtId="167" formatCode="_(* #,##0_);_(* \(#,##0\);_(* &quot;-&quot;??_);_(@_)"/>
    <numFmt numFmtId="168" formatCode="_(* #,##0.0000_);_(* \(#,##0.0000\);_(* &quot;-&quot;??_);_(@_)"/>
    <numFmt numFmtId="169" formatCode="_ * #,##0.0_ ;_ * \-#,##0.0_ ;_ * &quot;-&quot;??_ ;_ @_ "/>
  </numFmts>
  <fonts count="51">
    <font>
      <sz val="11"/>
      <name val="Calibri"/>
    </font>
    <font>
      <sz val="11"/>
      <color rgb="FF000000"/>
      <name val="Times New Roman"/>
      <family val="1"/>
    </font>
    <font>
      <b/>
      <sz val="16"/>
      <name val="Times New Roman"/>
      <family val="1"/>
    </font>
    <font>
      <b/>
      <u/>
      <sz val="12"/>
      <name val="Times New Roman"/>
      <family val="1"/>
    </font>
    <font>
      <b/>
      <sz val="11"/>
      <name val="Times New Roman"/>
      <family val="1"/>
    </font>
    <font>
      <sz val="11"/>
      <name val="Times New Roman"/>
      <family val="1"/>
    </font>
    <font>
      <b/>
      <sz val="14"/>
      <name val="Times New Roman"/>
      <family val="1"/>
    </font>
    <font>
      <b/>
      <sz val="11"/>
      <color rgb="FF000000"/>
      <name val="Times New Roman"/>
      <family val="1"/>
    </font>
    <font>
      <sz val="12"/>
      <color rgb="FF000000"/>
      <name val="Times New Roman"/>
      <family val="1"/>
    </font>
    <font>
      <sz val="12"/>
      <name val="Times New Roman"/>
      <family val="1"/>
    </font>
    <font>
      <b/>
      <sz val="12"/>
      <color rgb="FF000000"/>
      <name val="Times New Roman"/>
      <family val="1"/>
    </font>
    <font>
      <b/>
      <sz val="12"/>
      <name val="Times New Roman"/>
      <family val="1"/>
    </font>
    <font>
      <b/>
      <sz val="14"/>
      <color rgb="FF000000"/>
      <name val="Cambria"/>
      <family val="1"/>
    </font>
    <font>
      <sz val="11"/>
      <color rgb="FF000000"/>
      <name val="Cambria"/>
      <family val="1"/>
    </font>
    <font>
      <b/>
      <sz val="11"/>
      <color rgb="FF000000"/>
      <name val="Cambria"/>
      <family val="1"/>
    </font>
    <font>
      <b/>
      <sz val="12"/>
      <color rgb="FF000000"/>
      <name val="Cambria"/>
      <family val="1"/>
    </font>
    <font>
      <sz val="11"/>
      <color rgb="FF000000"/>
      <name val="Calibri"/>
      <family val="2"/>
    </font>
    <font>
      <sz val="11"/>
      <color rgb="FF000000"/>
      <name val="Book Antiqua"/>
      <family val="1"/>
    </font>
    <font>
      <b/>
      <sz val="14"/>
      <color rgb="FF000000"/>
      <name val="Book Antiqua"/>
      <family val="1"/>
    </font>
    <font>
      <b/>
      <sz val="10"/>
      <color rgb="FF000000"/>
      <name val="Book Antiqua"/>
      <family val="1"/>
    </font>
    <font>
      <sz val="10"/>
      <color rgb="FF000000"/>
      <name val="Book Antiqua"/>
      <family val="1"/>
    </font>
    <font>
      <sz val="10"/>
      <color rgb="FF000000"/>
      <name val="Book Antiqua"/>
      <family val="1"/>
    </font>
    <font>
      <b/>
      <sz val="10"/>
      <color rgb="FF000000"/>
      <name val="Book Antiqua"/>
      <family val="1"/>
    </font>
    <font>
      <b/>
      <sz val="11"/>
      <color rgb="FF000000"/>
      <name val="Book Antiqua"/>
      <family val="1"/>
    </font>
    <font>
      <b/>
      <sz val="10"/>
      <color rgb="FFC00000"/>
      <name val="Arial"/>
      <family val="2"/>
    </font>
    <font>
      <b/>
      <sz val="10"/>
      <name val="Arial"/>
      <family val="2"/>
    </font>
    <font>
      <b/>
      <sz val="13"/>
      <name val="Arial"/>
      <family val="2"/>
    </font>
    <font>
      <sz val="10"/>
      <name val="Arial"/>
      <family val="2"/>
    </font>
    <font>
      <b/>
      <sz val="14"/>
      <color rgb="FF000099"/>
      <name val="Arial"/>
      <family val="2"/>
    </font>
    <font>
      <b/>
      <sz val="10"/>
      <color indexed="8"/>
      <name val="Arial"/>
      <family val="2"/>
    </font>
    <font>
      <sz val="10"/>
      <color indexed="8"/>
      <name val="Arial"/>
      <family val="2"/>
    </font>
    <font>
      <b/>
      <sz val="12"/>
      <color indexed="8"/>
      <name val="Arial"/>
      <family val="2"/>
    </font>
    <font>
      <sz val="13"/>
      <color indexed="8"/>
      <name val="Arial"/>
      <family val="2"/>
    </font>
    <font>
      <sz val="13"/>
      <name val="Arial"/>
      <family val="2"/>
    </font>
    <font>
      <b/>
      <sz val="13"/>
      <color indexed="8"/>
      <name val="Arial"/>
      <family val="2"/>
    </font>
    <font>
      <b/>
      <sz val="14"/>
      <color rgb="FFC00000"/>
      <name val="Arial"/>
      <family val="2"/>
    </font>
    <font>
      <b/>
      <sz val="13"/>
      <color rgb="FFFF0000"/>
      <name val="Arial"/>
      <family val="2"/>
    </font>
    <font>
      <sz val="14"/>
      <color indexed="8"/>
      <name val="Arial"/>
      <family val="2"/>
    </font>
    <font>
      <b/>
      <sz val="12"/>
      <name val="Arial"/>
      <family val="2"/>
    </font>
    <font>
      <b/>
      <sz val="16"/>
      <color rgb="FF000099"/>
      <name val="Arial"/>
      <family val="2"/>
    </font>
    <font>
      <b/>
      <sz val="14"/>
      <color indexed="8"/>
      <name val="Arial"/>
      <family val="2"/>
    </font>
    <font>
      <b/>
      <sz val="14"/>
      <name val="Arial"/>
      <family val="2"/>
    </font>
    <font>
      <sz val="12"/>
      <name val="Arial"/>
      <family val="2"/>
    </font>
    <font>
      <b/>
      <sz val="13"/>
      <color rgb="FF000099"/>
      <name val="Arial"/>
      <family val="2"/>
    </font>
    <font>
      <b/>
      <sz val="14"/>
      <color rgb="FF000000"/>
      <name val="Arial"/>
      <family val="2"/>
    </font>
    <font>
      <sz val="14"/>
      <color rgb="FF000000"/>
      <name val="Arial"/>
      <family val="2"/>
    </font>
    <font>
      <sz val="13"/>
      <color rgb="FF000000"/>
      <name val="Arial"/>
      <family val="2"/>
    </font>
    <font>
      <sz val="11"/>
      <color rgb="FF000000"/>
      <name val="Calibri"/>
      <family val="2"/>
    </font>
    <font>
      <sz val="11"/>
      <name val="Calibri"/>
      <family val="2"/>
    </font>
    <font>
      <b/>
      <sz val="10"/>
      <color rgb="FF000000"/>
      <name val="Book Antiqua"/>
      <family val="1"/>
    </font>
    <font>
      <sz val="10"/>
      <color rgb="FF000000"/>
      <name val="Book Antiqua"/>
      <family val="1"/>
    </font>
  </fonts>
  <fills count="15">
    <fill>
      <patternFill patternType="none"/>
    </fill>
    <fill>
      <patternFill patternType="gray125"/>
    </fill>
    <fill>
      <patternFill patternType="solid">
        <fgColor rgb="FFFDE9D9"/>
        <bgColor indexed="64"/>
      </patternFill>
    </fill>
    <fill>
      <patternFill patternType="solid">
        <fgColor rgb="FFFFFF00"/>
        <bgColor indexed="64"/>
      </patternFill>
    </fill>
    <fill>
      <patternFill patternType="solid">
        <fgColor rgb="FFB7DDE8"/>
        <bgColor indexed="64"/>
      </patternFill>
    </fill>
    <fill>
      <patternFill patternType="solid">
        <fgColor rgb="FFC6D9F0"/>
        <bgColor indexed="64"/>
      </patternFill>
    </fill>
    <fill>
      <patternFill patternType="solid">
        <fgColor rgb="FFF2DCDB"/>
        <bgColor indexed="64"/>
      </patternFill>
    </fill>
    <fill>
      <patternFill patternType="solid">
        <fgColor rgb="FFEAF1DD"/>
        <bgColor indexed="64"/>
      </patternFill>
    </fill>
    <fill>
      <patternFill patternType="solid">
        <fgColor rgb="FF92D050"/>
        <bgColor indexed="64"/>
      </patternFill>
    </fill>
    <fill>
      <patternFill patternType="solid">
        <fgColor rgb="FFFFFFFF"/>
        <bgColor indexed="64"/>
      </patternFill>
    </fill>
    <fill>
      <patternFill patternType="solid">
        <fgColor rgb="FF99FFCC"/>
        <bgColor indexed="64"/>
      </patternFill>
    </fill>
    <fill>
      <patternFill patternType="solid">
        <fgColor rgb="FFD99694"/>
        <bgColor indexed="64"/>
      </patternFill>
    </fill>
    <fill>
      <patternFill patternType="solid">
        <fgColor rgb="FFDDD9C3"/>
        <bgColor indexed="64"/>
      </patternFill>
    </fill>
    <fill>
      <patternFill patternType="solid">
        <fgColor rgb="FFC2D69B"/>
        <bgColor indexed="64"/>
      </patternFill>
    </fill>
    <fill>
      <patternFill patternType="solid">
        <fgColor rgb="FFFFC000"/>
        <bgColor indexed="64"/>
      </patternFill>
    </fill>
  </fills>
  <borders count="47">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hair">
        <color indexed="64"/>
      </bottom>
      <diagonal/>
    </border>
    <border>
      <left style="thin">
        <color indexed="64"/>
      </left>
      <right/>
      <top/>
      <bottom style="hair">
        <color indexed="64"/>
      </bottom>
      <diagonal/>
    </border>
    <border>
      <left style="medium">
        <color indexed="64"/>
      </left>
      <right style="medium">
        <color indexed="64"/>
      </right>
      <top/>
      <bottom style="hair">
        <color indexed="64"/>
      </bottom>
      <diagonal/>
    </border>
    <border>
      <left/>
      <right style="thin">
        <color indexed="64"/>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diagonal/>
    </border>
    <border>
      <left style="thin">
        <color indexed="64"/>
      </left>
      <right/>
      <top style="hair">
        <color indexed="64"/>
      </top>
      <bottom/>
      <diagonal/>
    </border>
    <border>
      <left style="medium">
        <color indexed="64"/>
      </left>
      <right style="medium">
        <color indexed="64"/>
      </right>
      <top style="hair">
        <color indexed="64"/>
      </top>
      <bottom/>
      <diagonal/>
    </border>
    <border>
      <left style="thin">
        <color indexed="64"/>
      </left>
      <right style="medium">
        <color indexed="64"/>
      </right>
      <top style="hair">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bottom/>
      <diagonal/>
    </border>
    <border>
      <left style="medium">
        <color indexed="64"/>
      </left>
      <right style="medium">
        <color indexed="64"/>
      </right>
      <top/>
      <bottom/>
      <diagonal/>
    </border>
    <border>
      <left style="thin">
        <color indexed="64"/>
      </left>
      <right style="medium">
        <color indexed="64"/>
      </right>
      <top/>
      <bottom/>
      <diagonal/>
    </border>
    <border>
      <left/>
      <right style="thin">
        <color indexed="64"/>
      </right>
      <top style="hair">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s>
  <cellStyleXfs count="4">
    <xf numFmtId="0" fontId="0" fillId="0" borderId="0">
      <alignment vertical="center"/>
    </xf>
    <xf numFmtId="164" fontId="27" fillId="0" borderId="0">
      <alignment vertical="top"/>
      <protection locked="0"/>
    </xf>
    <xf numFmtId="43" fontId="47" fillId="0" borderId="0">
      <alignment vertical="top"/>
      <protection locked="0"/>
    </xf>
    <xf numFmtId="0" fontId="48" fillId="0" borderId="0">
      <protection locked="0"/>
    </xf>
  </cellStyleXfs>
  <cellXfs count="338">
    <xf numFmtId="0" fontId="0" fillId="0" borderId="0" xfId="0">
      <alignment vertical="center"/>
    </xf>
    <xf numFmtId="0" fontId="1" fillId="0" borderId="0" xfId="0" applyFont="1" applyAlignment="1"/>
    <xf numFmtId="0" fontId="4" fillId="2" borderId="3" xfId="0" applyFont="1" applyFill="1" applyBorder="1" applyAlignment="1"/>
    <xf numFmtId="0" fontId="4" fillId="2" borderId="4" xfId="0" applyFont="1" applyFill="1" applyBorder="1" applyAlignment="1"/>
    <xf numFmtId="0" fontId="4" fillId="2" borderId="4" xfId="0" applyFont="1" applyFill="1" applyBorder="1" applyAlignment="1">
      <alignment horizontal="center"/>
    </xf>
    <xf numFmtId="0" fontId="5" fillId="0" borderId="0" xfId="0" applyFont="1" applyAlignment="1"/>
    <xf numFmtId="0" fontId="5" fillId="0" borderId="0" xfId="0" applyFont="1" applyAlignment="1"/>
    <xf numFmtId="3" fontId="6" fillId="2" borderId="8" xfId="0" applyNumberFormat="1" applyFont="1" applyFill="1" applyBorder="1" applyAlignment="1">
      <alignment horizontal="center" wrapText="1"/>
    </xf>
    <xf numFmtId="0" fontId="6" fillId="2" borderId="8" xfId="0" applyFont="1" applyFill="1" applyBorder="1" applyAlignment="1">
      <alignment horizontal="center" wrapText="1"/>
    </xf>
    <xf numFmtId="0" fontId="7" fillId="3" borderId="9" xfId="0" applyFont="1" applyFill="1" applyBorder="1" applyAlignment="1">
      <alignment horizontal="left"/>
    </xf>
    <xf numFmtId="0" fontId="4" fillId="3" borderId="10" xfId="0" applyFont="1" applyFill="1" applyBorder="1" applyAlignment="1">
      <alignment horizontal="left" vertical="center"/>
    </xf>
    <xf numFmtId="4" fontId="5" fillId="0" borderId="11" xfId="0" applyNumberFormat="1" applyFont="1" applyFill="1" applyBorder="1" applyAlignment="1">
      <alignment horizontal="center" vertical="center"/>
    </xf>
    <xf numFmtId="164" fontId="1" fillId="0" borderId="12" xfId="1" applyFont="1" applyFill="1" applyBorder="1" applyAlignment="1" applyProtection="1">
      <alignment horizontal="center" vertical="center"/>
    </xf>
    <xf numFmtId="0" fontId="1" fillId="0" borderId="13" xfId="0" applyFont="1" applyFill="1" applyBorder="1" applyAlignment="1">
      <alignment horizontal="center" vertical="center"/>
    </xf>
    <xf numFmtId="0" fontId="8" fillId="0" borderId="0" xfId="0" applyFont="1" applyAlignment="1"/>
    <xf numFmtId="0" fontId="9" fillId="0" borderId="14" xfId="0" applyFont="1" applyFill="1" applyBorder="1" applyAlignment="1">
      <alignment horizontal="left" vertical="center"/>
    </xf>
    <xf numFmtId="0" fontId="9" fillId="0" borderId="15" xfId="0" applyFont="1" applyFill="1" applyBorder="1" applyAlignment="1">
      <alignment horizontal="left" vertical="center"/>
    </xf>
    <xf numFmtId="4" fontId="9" fillId="0" borderId="16" xfId="0" applyNumberFormat="1" applyFont="1" applyFill="1" applyBorder="1" applyAlignment="1">
      <alignment horizontal="center" vertical="center"/>
    </xf>
    <xf numFmtId="164" fontId="9" fillId="0" borderId="17" xfId="1" applyFont="1" applyFill="1" applyBorder="1" applyAlignment="1" applyProtection="1">
      <alignment horizontal="center"/>
    </xf>
    <xf numFmtId="164" fontId="9" fillId="0" borderId="18" xfId="1" applyFont="1" applyFill="1" applyBorder="1" applyAlignment="1" applyProtection="1">
      <alignment horizontal="center"/>
    </xf>
    <xf numFmtId="0" fontId="5" fillId="0" borderId="14" xfId="0" applyFont="1" applyFill="1" applyBorder="1" applyAlignment="1">
      <alignment horizontal="left" vertical="center"/>
    </xf>
    <xf numFmtId="0" fontId="5" fillId="0" borderId="15" xfId="0" applyFont="1" applyFill="1" applyBorder="1" applyAlignment="1">
      <alignment horizontal="left" vertical="center"/>
    </xf>
    <xf numFmtId="4" fontId="5" fillId="0" borderId="16" xfId="0" applyNumberFormat="1" applyFont="1" applyFill="1" applyBorder="1" applyAlignment="1">
      <alignment horizontal="center" vertical="center"/>
    </xf>
    <xf numFmtId="164" fontId="5" fillId="0" borderId="17" xfId="1" applyFont="1" applyFill="1" applyBorder="1" applyAlignment="1" applyProtection="1">
      <alignment horizontal="center"/>
    </xf>
    <xf numFmtId="164" fontId="5" fillId="0" borderId="18" xfId="1" applyFont="1" applyFill="1" applyBorder="1" applyAlignment="1" applyProtection="1">
      <alignment horizontal="center"/>
    </xf>
    <xf numFmtId="0" fontId="8" fillId="0" borderId="14" xfId="0" applyFont="1" applyFill="1" applyBorder="1" applyAlignment="1">
      <alignment horizontal="left" vertical="center"/>
    </xf>
    <xf numFmtId="0" fontId="1" fillId="0" borderId="14" xfId="0" applyFont="1" applyFill="1" applyBorder="1" applyAlignment="1">
      <alignment horizontal="left" vertical="center"/>
    </xf>
    <xf numFmtId="0" fontId="1" fillId="0" borderId="15" xfId="0" applyFont="1" applyFill="1" applyBorder="1" applyAlignment="1">
      <alignment horizontal="left" vertical="center"/>
    </xf>
    <xf numFmtId="0" fontId="10" fillId="0" borderId="0" xfId="0" applyFont="1" applyAlignment="1"/>
    <xf numFmtId="0" fontId="9" fillId="0" borderId="15" xfId="0" applyFont="1" applyFill="1" applyBorder="1" applyAlignment="1">
      <alignment horizontal="left" vertical="center" wrapText="1"/>
    </xf>
    <xf numFmtId="164" fontId="8" fillId="0" borderId="0" xfId="0" applyNumberFormat="1" applyFont="1" applyAlignment="1"/>
    <xf numFmtId="0" fontId="1" fillId="0" borderId="19" xfId="0" applyFont="1" applyFill="1" applyBorder="1" applyAlignment="1">
      <alignment horizontal="left"/>
    </xf>
    <xf numFmtId="0" fontId="5" fillId="0" borderId="20" xfId="0" applyFont="1" applyFill="1" applyBorder="1" applyAlignment="1">
      <alignment horizontal="left" vertical="center"/>
    </xf>
    <xf numFmtId="4" fontId="5" fillId="0" borderId="21" xfId="0" applyNumberFormat="1" applyFont="1" applyFill="1" applyBorder="1" applyAlignment="1">
      <alignment horizontal="center" vertical="center"/>
    </xf>
    <xf numFmtId="0" fontId="1" fillId="0" borderId="22" xfId="0" applyFont="1" applyFill="1" applyBorder="1" applyAlignment="1">
      <alignment horizontal="center"/>
    </xf>
    <xf numFmtId="0" fontId="8" fillId="0" borderId="23" xfId="0" applyFont="1" applyFill="1" applyBorder="1" applyAlignment="1">
      <alignment horizontal="left"/>
    </xf>
    <xf numFmtId="0" fontId="9" fillId="4" borderId="24" xfId="0" applyFont="1" applyFill="1" applyBorder="1" applyAlignment="1">
      <alignment horizontal="left" vertical="center"/>
    </xf>
    <xf numFmtId="4" fontId="11" fillId="4" borderId="25" xfId="0" applyNumberFormat="1" applyFont="1" applyFill="1" applyBorder="1" applyAlignment="1">
      <alignment horizontal="center" vertical="center"/>
    </xf>
    <xf numFmtId="4" fontId="11" fillId="4" borderId="25" xfId="0" applyNumberFormat="1" applyFont="1" applyFill="1" applyBorder="1" applyAlignment="1">
      <alignment horizontal="right" vertical="center"/>
    </xf>
    <xf numFmtId="4" fontId="9" fillId="4" borderId="26" xfId="0" applyNumberFormat="1" applyFont="1" applyFill="1" applyBorder="1" applyAlignment="1">
      <alignment horizontal="center" vertical="center"/>
    </xf>
    <xf numFmtId="0" fontId="1" fillId="0" borderId="9" xfId="0" applyFont="1" applyFill="1" applyBorder="1" applyAlignment="1">
      <alignment horizontal="left"/>
    </xf>
    <xf numFmtId="0" fontId="5" fillId="0" borderId="10" xfId="0" applyFont="1" applyFill="1" applyBorder="1" applyAlignment="1">
      <alignment horizontal="left" vertical="center"/>
    </xf>
    <xf numFmtId="0" fontId="1" fillId="0" borderId="12" xfId="0" applyFont="1" applyFill="1" applyBorder="1" applyAlignment="1">
      <alignment horizontal="center"/>
    </xf>
    <xf numFmtId="0" fontId="1" fillId="0" borderId="13" xfId="0" applyFont="1" applyFill="1" applyBorder="1" applyAlignment="1">
      <alignment horizontal="center"/>
    </xf>
    <xf numFmtId="0" fontId="7" fillId="3" borderId="14" xfId="0" applyFont="1" applyFill="1" applyBorder="1" applyAlignment="1">
      <alignment horizontal="left"/>
    </xf>
    <xf numFmtId="0" fontId="4" fillId="3" borderId="15" xfId="0" applyFont="1" applyFill="1" applyBorder="1" applyAlignment="1">
      <alignment horizontal="left" vertical="center"/>
    </xf>
    <xf numFmtId="164" fontId="1" fillId="0" borderId="17" xfId="1" applyFont="1" applyFill="1" applyBorder="1" applyAlignment="1" applyProtection="1">
      <alignment horizontal="center" vertical="center"/>
    </xf>
    <xf numFmtId="0" fontId="1" fillId="0" borderId="18" xfId="0" applyFont="1" applyFill="1" applyBorder="1" applyAlignment="1">
      <alignment horizontal="center" vertical="center"/>
    </xf>
    <xf numFmtId="0" fontId="1" fillId="0" borderId="27" xfId="0" applyFont="1" applyFill="1" applyBorder="1" applyAlignment="1">
      <alignment horizontal="left" vertical="center"/>
    </xf>
    <xf numFmtId="0" fontId="1" fillId="0" borderId="28" xfId="0" applyFont="1" applyFill="1" applyBorder="1" applyAlignment="1">
      <alignment horizontal="left" vertical="center"/>
    </xf>
    <xf numFmtId="4" fontId="5" fillId="0" borderId="29" xfId="0" applyNumberFormat="1" applyFont="1" applyFill="1" applyBorder="1" applyAlignment="1">
      <alignment horizontal="center" vertical="center"/>
    </xf>
    <xf numFmtId="164" fontId="5" fillId="0" borderId="0" xfId="1" applyFont="1" applyFill="1" applyBorder="1" applyAlignment="1" applyProtection="1">
      <alignment horizontal="center"/>
    </xf>
    <xf numFmtId="164" fontId="5" fillId="0" borderId="30" xfId="1" applyFont="1" applyFill="1" applyBorder="1" applyAlignment="1" applyProtection="1">
      <alignment horizontal="center"/>
    </xf>
    <xf numFmtId="0" fontId="9" fillId="4" borderId="24" xfId="0" applyFont="1" applyFill="1" applyBorder="1" applyAlignment="1">
      <alignment horizontal="left"/>
    </xf>
    <xf numFmtId="4" fontId="11" fillId="4" borderId="25" xfId="0" applyNumberFormat="1" applyFont="1" applyFill="1" applyBorder="1" applyAlignment="1">
      <alignment horizontal="center"/>
    </xf>
    <xf numFmtId="4" fontId="8" fillId="4" borderId="26" xfId="0" applyNumberFormat="1" applyFont="1" applyFill="1" applyBorder="1" applyAlignment="1">
      <alignment horizontal="center"/>
    </xf>
    <xf numFmtId="0" fontId="4" fillId="3" borderId="14" xfId="0" applyFont="1" applyFill="1" applyBorder="1" applyAlignment="1">
      <alignment horizontal="left" vertical="center"/>
    </xf>
    <xf numFmtId="0" fontId="5" fillId="0" borderId="15" xfId="0" applyFont="1" applyFill="1" applyBorder="1" applyAlignment="1">
      <alignment horizontal="left" vertical="center" wrapText="1"/>
    </xf>
    <xf numFmtId="0" fontId="1" fillId="0" borderId="20" xfId="0" applyFont="1" applyFill="1" applyBorder="1" applyAlignment="1">
      <alignment horizontal="left" vertical="center"/>
    </xf>
    <xf numFmtId="4" fontId="1" fillId="0" borderId="21" xfId="0" applyNumberFormat="1" applyFont="1" applyFill="1" applyBorder="1" applyAlignment="1">
      <alignment horizontal="center" vertical="center"/>
    </xf>
    <xf numFmtId="0" fontId="1" fillId="0" borderId="31" xfId="0" applyFont="1" applyFill="1" applyBorder="1" applyAlignment="1">
      <alignment horizontal="center"/>
    </xf>
    <xf numFmtId="0" fontId="1" fillId="0" borderId="23" xfId="0" applyFont="1" applyFill="1" applyBorder="1" applyAlignment="1">
      <alignment horizontal="left"/>
    </xf>
    <xf numFmtId="0" fontId="4" fillId="4" borderId="24" xfId="0" applyFont="1" applyFill="1" applyBorder="1" applyAlignment="1">
      <alignment horizontal="left"/>
    </xf>
    <xf numFmtId="4" fontId="5" fillId="4" borderId="25" xfId="0" applyNumberFormat="1" applyFont="1" applyFill="1" applyBorder="1" applyAlignment="1">
      <alignment horizontal="center"/>
    </xf>
    <xf numFmtId="4" fontId="5" fillId="4" borderId="25" xfId="0" applyNumberFormat="1" applyFont="1" applyFill="1" applyBorder="1" applyAlignment="1">
      <alignment horizontal="right"/>
    </xf>
    <xf numFmtId="4" fontId="1" fillId="4" borderId="26" xfId="0" applyNumberFormat="1" applyFont="1" applyFill="1" applyBorder="1" applyAlignment="1">
      <alignment horizontal="center"/>
    </xf>
    <xf numFmtId="0" fontId="1" fillId="0" borderId="10" xfId="0" applyFont="1" applyFill="1" applyBorder="1" applyAlignment="1">
      <alignment horizontal="left"/>
    </xf>
    <xf numFmtId="4" fontId="1" fillId="0" borderId="11" xfId="0" applyNumberFormat="1" applyFont="1" applyFill="1" applyBorder="1" applyAlignment="1">
      <alignment horizontal="center"/>
    </xf>
    <xf numFmtId="0" fontId="1" fillId="0" borderId="20" xfId="0" applyFont="1" applyFill="1" applyBorder="1" applyAlignment="1">
      <alignment horizontal="left"/>
    </xf>
    <xf numFmtId="0" fontId="1" fillId="0" borderId="21" xfId="0" applyFont="1" applyFill="1" applyBorder="1" applyAlignment="1">
      <alignment horizontal="center"/>
    </xf>
    <xf numFmtId="0" fontId="11" fillId="4" borderId="24" xfId="0" applyFont="1" applyFill="1" applyBorder="1" applyAlignment="1">
      <alignment horizontal="left" wrapText="1"/>
    </xf>
    <xf numFmtId="4" fontId="11" fillId="4" borderId="26" xfId="0" applyNumberFormat="1" applyFont="1" applyFill="1" applyBorder="1" applyAlignment="1">
      <alignment horizontal="center" vertical="center"/>
    </xf>
    <xf numFmtId="4" fontId="8" fillId="0" borderId="0" xfId="0" applyNumberFormat="1" applyFont="1" applyAlignment="1"/>
    <xf numFmtId="0" fontId="7" fillId="3" borderId="0" xfId="0" applyFont="1" applyFill="1" applyAlignment="1">
      <alignment horizontal="center" vertical="center"/>
    </xf>
    <xf numFmtId="0" fontId="4" fillId="3" borderId="4" xfId="0" applyFont="1" applyFill="1" applyBorder="1" applyAlignment="1">
      <alignment horizontal="left" vertical="center" wrapText="1"/>
    </xf>
    <xf numFmtId="4" fontId="4" fillId="3" borderId="25" xfId="0" applyNumberFormat="1" applyFont="1" applyFill="1" applyBorder="1" applyAlignment="1">
      <alignment horizontal="center" vertical="center"/>
    </xf>
    <xf numFmtId="0" fontId="1" fillId="3" borderId="4" xfId="0" applyFont="1" applyFill="1" applyBorder="1" applyAlignment="1"/>
    <xf numFmtId="0" fontId="1" fillId="0" borderId="0" xfId="0" applyFont="1">
      <alignment vertical="center"/>
    </xf>
    <xf numFmtId="4" fontId="9" fillId="4" borderId="25" xfId="0" applyNumberFormat="1" applyFont="1" applyFill="1" applyBorder="1" applyAlignment="1">
      <alignment horizontal="center" vertical="center"/>
    </xf>
    <xf numFmtId="4" fontId="1" fillId="0" borderId="0" xfId="0" applyNumberFormat="1" applyFont="1" applyAlignment="1"/>
    <xf numFmtId="0" fontId="12" fillId="6" borderId="4" xfId="0" applyFont="1" applyFill="1" applyBorder="1" applyAlignment="1">
      <alignment horizontal="center"/>
    </xf>
    <xf numFmtId="0" fontId="13" fillId="0" borderId="4" xfId="0" applyFont="1" applyBorder="1" applyAlignment="1"/>
    <xf numFmtId="0" fontId="14" fillId="7" borderId="4" xfId="0" applyFont="1" applyFill="1" applyBorder="1" applyAlignment="1">
      <alignment horizontal="left"/>
    </xf>
    <xf numFmtId="0" fontId="14" fillId="7" borderId="4" xfId="0" applyFont="1" applyFill="1" applyBorder="1" applyAlignment="1"/>
    <xf numFmtId="0" fontId="14" fillId="0" borderId="4" xfId="0" applyFont="1" applyBorder="1" applyAlignment="1">
      <alignment horizontal="center"/>
    </xf>
    <xf numFmtId="0" fontId="14" fillId="3" borderId="4" xfId="0" applyFont="1" applyFill="1" applyBorder="1" applyAlignment="1">
      <alignment horizontal="left"/>
    </xf>
    <xf numFmtId="0" fontId="14" fillId="3" borderId="4" xfId="0" applyFont="1" applyFill="1" applyBorder="1" applyAlignment="1"/>
    <xf numFmtId="17" fontId="14" fillId="0" borderId="4" xfId="0" applyNumberFormat="1" applyFont="1" applyBorder="1" applyAlignment="1"/>
    <xf numFmtId="0" fontId="14" fillId="0" borderId="4" xfId="0" applyFont="1" applyBorder="1" applyAlignment="1"/>
    <xf numFmtId="0" fontId="13" fillId="0" borderId="4" xfId="0" applyFont="1" applyFill="1" applyBorder="1" applyAlignment="1">
      <alignment wrapText="1"/>
    </xf>
    <xf numFmtId="165" fontId="13" fillId="0" borderId="4" xfId="0" applyNumberFormat="1" applyFont="1" applyFill="1" applyBorder="1" applyAlignment="1"/>
    <xf numFmtId="43" fontId="13" fillId="0" borderId="4" xfId="2" applyFont="1" applyBorder="1" applyAlignment="1" applyProtection="1"/>
    <xf numFmtId="165" fontId="13" fillId="0" borderId="4" xfId="0" applyNumberFormat="1" applyFont="1" applyBorder="1" applyAlignment="1"/>
    <xf numFmtId="0" fontId="14" fillId="0" borderId="4" xfId="0" applyFont="1" applyFill="1" applyBorder="1" applyAlignment="1"/>
    <xf numFmtId="0" fontId="13" fillId="0" borderId="4" xfId="0" applyFont="1" applyFill="1" applyBorder="1" applyAlignment="1"/>
    <xf numFmtId="0" fontId="13" fillId="0" borderId="4" xfId="0" applyFont="1" applyBorder="1" applyAlignment="1">
      <alignment wrapText="1"/>
    </xf>
    <xf numFmtId="0" fontId="15" fillId="7" borderId="4" xfId="0" applyFont="1" applyFill="1" applyBorder="1" applyAlignment="1"/>
    <xf numFmtId="165" fontId="15" fillId="7" borderId="4" xfId="0" applyNumberFormat="1" applyFont="1" applyFill="1" applyBorder="1" applyAlignment="1"/>
    <xf numFmtId="43" fontId="14" fillId="7" borderId="4" xfId="2" applyFont="1" applyFill="1" applyBorder="1" applyAlignment="1" applyProtection="1"/>
    <xf numFmtId="2" fontId="15" fillId="7" borderId="4" xfId="0" applyNumberFormat="1" applyFont="1" applyFill="1" applyBorder="1" applyAlignment="1"/>
    <xf numFmtId="0" fontId="15" fillId="3" borderId="4" xfId="0" applyFont="1" applyFill="1" applyBorder="1" applyAlignment="1"/>
    <xf numFmtId="0" fontId="13" fillId="3" borderId="4" xfId="0" applyFont="1" applyFill="1" applyBorder="1" applyAlignment="1"/>
    <xf numFmtId="0" fontId="15" fillId="0" borderId="4" xfId="0" applyFont="1" applyBorder="1" applyAlignment="1">
      <alignment wrapText="1"/>
    </xf>
    <xf numFmtId="165" fontId="15" fillId="0" borderId="4" xfId="0" applyNumberFormat="1" applyFont="1" applyBorder="1" applyAlignment="1"/>
    <xf numFmtId="0" fontId="15" fillId="0" borderId="4" xfId="0" applyFont="1" applyBorder="1" applyAlignment="1"/>
    <xf numFmtId="0" fontId="16" fillId="8" borderId="0" xfId="0" applyFont="1" applyFill="1" applyAlignment="1"/>
    <xf numFmtId="0" fontId="13" fillId="8" borderId="4" xfId="0" applyFont="1" applyFill="1" applyBorder="1" applyAlignment="1"/>
    <xf numFmtId="0" fontId="15" fillId="8" borderId="4" xfId="0" applyFont="1" applyFill="1" applyBorder="1" applyAlignment="1"/>
    <xf numFmtId="165" fontId="15" fillId="8" borderId="4" xfId="0" applyNumberFormat="1" applyFont="1" applyFill="1" applyBorder="1" applyAlignment="1"/>
    <xf numFmtId="0" fontId="13" fillId="5" borderId="4" xfId="0" applyFont="1" applyFill="1" applyBorder="1" applyAlignment="1"/>
    <xf numFmtId="0" fontId="15" fillId="5" borderId="4" xfId="0" applyFont="1" applyFill="1" applyBorder="1" applyAlignment="1"/>
    <xf numFmtId="2" fontId="15" fillId="5" borderId="4" xfId="0" applyNumberFormat="1" applyFont="1" applyFill="1" applyBorder="1" applyAlignment="1"/>
    <xf numFmtId="0" fontId="17" fillId="0" borderId="0" xfId="0" applyFont="1" applyAlignment="1">
      <alignment vertical="top"/>
    </xf>
    <xf numFmtId="0" fontId="19" fillId="9" borderId="32" xfId="0" applyFont="1" applyFill="1" applyBorder="1" applyAlignment="1">
      <alignment horizontal="center" vertical="top"/>
    </xf>
    <xf numFmtId="0" fontId="19" fillId="9" borderId="4" xfId="0" applyFont="1" applyFill="1" applyBorder="1" applyAlignment="1">
      <alignment horizontal="center" vertical="top"/>
    </xf>
    <xf numFmtId="0" fontId="20" fillId="9" borderId="4" xfId="0" applyFont="1" applyFill="1" applyBorder="1" applyAlignment="1">
      <alignment horizontal="center" vertical="top"/>
    </xf>
    <xf numFmtId="0" fontId="19" fillId="9" borderId="4" xfId="0" applyFont="1" applyFill="1" applyBorder="1" applyAlignment="1">
      <alignment horizontal="justify" vertical="top"/>
    </xf>
    <xf numFmtId="0" fontId="21" fillId="9" borderId="4" xfId="0" applyFont="1" applyFill="1" applyBorder="1" applyAlignment="1">
      <alignment horizontal="center" vertical="top"/>
    </xf>
    <xf numFmtId="0" fontId="21" fillId="9" borderId="4" xfId="0" applyFont="1" applyFill="1" applyBorder="1" applyAlignment="1">
      <alignment horizontal="right" vertical="top"/>
    </xf>
    <xf numFmtId="0" fontId="20" fillId="9" borderId="4" xfId="0" applyFont="1" applyFill="1" applyBorder="1" applyAlignment="1">
      <alignment horizontal="justify" vertical="top"/>
    </xf>
    <xf numFmtId="0" fontId="20" fillId="9" borderId="32" xfId="0" applyFont="1" applyFill="1" applyBorder="1" applyAlignment="1">
      <alignment horizontal="center" vertical="top"/>
    </xf>
    <xf numFmtId="0" fontId="20" fillId="9" borderId="32" xfId="0" applyFont="1" applyFill="1" applyBorder="1" applyAlignment="1">
      <alignment horizontal="justify" vertical="top" wrapText="1"/>
    </xf>
    <xf numFmtId="0" fontId="19" fillId="9" borderId="32" xfId="0" applyFont="1" applyFill="1" applyBorder="1" applyAlignment="1">
      <alignment horizontal="right" vertical="top"/>
    </xf>
    <xf numFmtId="3" fontId="19" fillId="9" borderId="32" xfId="0" applyNumberFormat="1" applyFont="1" applyFill="1" applyBorder="1" applyAlignment="1">
      <alignment horizontal="right" vertical="top"/>
    </xf>
    <xf numFmtId="0" fontId="20" fillId="9" borderId="33" xfId="0" applyFont="1" applyFill="1" applyBorder="1" applyAlignment="1">
      <alignment horizontal="center" vertical="top"/>
    </xf>
    <xf numFmtId="0" fontId="20" fillId="9" borderId="33" xfId="0" applyFont="1" applyFill="1" applyBorder="1" applyAlignment="1">
      <alignment horizontal="justify" vertical="top"/>
    </xf>
    <xf numFmtId="0" fontId="19" fillId="9" borderId="33" xfId="0" applyFont="1" applyFill="1" applyBorder="1" applyAlignment="1">
      <alignment horizontal="center" vertical="top"/>
    </xf>
    <xf numFmtId="0" fontId="19" fillId="9" borderId="33" xfId="0" applyFont="1" applyFill="1" applyBorder="1" applyAlignment="1">
      <alignment horizontal="right" vertical="top"/>
    </xf>
    <xf numFmtId="4" fontId="19" fillId="9" borderId="33" xfId="0" applyNumberFormat="1" applyFont="1" applyFill="1" applyBorder="1" applyAlignment="1">
      <alignment horizontal="right" vertical="top"/>
    </xf>
    <xf numFmtId="0" fontId="20" fillId="9" borderId="4" xfId="0" applyFont="1" applyFill="1" applyBorder="1" applyAlignment="1">
      <alignment horizontal="justify" vertical="top" wrapText="1"/>
    </xf>
    <xf numFmtId="0" fontId="19" fillId="9" borderId="4" xfId="0" applyFont="1" applyFill="1" applyBorder="1" applyAlignment="1">
      <alignment horizontal="right" vertical="top"/>
    </xf>
    <xf numFmtId="3" fontId="19" fillId="9" borderId="4" xfId="0" applyNumberFormat="1" applyFont="1" applyFill="1" applyBorder="1" applyAlignment="1">
      <alignment horizontal="right" vertical="top"/>
    </xf>
    <xf numFmtId="4" fontId="19" fillId="9" borderId="4" xfId="0" applyNumberFormat="1" applyFont="1" applyFill="1" applyBorder="1" applyAlignment="1">
      <alignment horizontal="right" vertical="top"/>
    </xf>
    <xf numFmtId="0" fontId="22" fillId="9" borderId="4" xfId="0" applyFont="1" applyFill="1" applyBorder="1" applyAlignment="1">
      <alignment horizontal="center" vertical="top"/>
    </xf>
    <xf numFmtId="0" fontId="22" fillId="9" borderId="4" xfId="0" applyFont="1" applyFill="1" applyBorder="1" applyAlignment="1">
      <alignment horizontal="right" vertical="top"/>
    </xf>
    <xf numFmtId="0" fontId="21" fillId="9" borderId="4" xfId="0" applyFont="1" applyFill="1" applyBorder="1" applyAlignment="1">
      <alignment horizontal="justify" vertical="top"/>
    </xf>
    <xf numFmtId="3" fontId="22" fillId="9" borderId="4" xfId="0" applyNumberFormat="1" applyFont="1" applyFill="1" applyBorder="1" applyAlignment="1">
      <alignment horizontal="right" vertical="top"/>
    </xf>
    <xf numFmtId="0" fontId="22" fillId="9" borderId="32" xfId="0" applyFont="1" applyFill="1" applyBorder="1" applyAlignment="1">
      <alignment horizontal="center" vertical="top"/>
    </xf>
    <xf numFmtId="3" fontId="22" fillId="9" borderId="32" xfId="0" applyNumberFormat="1" applyFont="1" applyFill="1" applyBorder="1" applyAlignment="1">
      <alignment horizontal="right" vertical="top"/>
    </xf>
    <xf numFmtId="0" fontId="22" fillId="9" borderId="33" xfId="0" applyFont="1" applyFill="1" applyBorder="1" applyAlignment="1">
      <alignment horizontal="center" vertical="top"/>
    </xf>
    <xf numFmtId="3" fontId="22" fillId="9" borderId="33" xfId="0" applyNumberFormat="1" applyFont="1" applyFill="1" applyBorder="1" applyAlignment="1">
      <alignment horizontal="right" vertical="top"/>
    </xf>
    <xf numFmtId="3" fontId="19" fillId="9" borderId="33" xfId="0" applyNumberFormat="1" applyFont="1" applyFill="1" applyBorder="1" applyAlignment="1">
      <alignment horizontal="right" vertical="top"/>
    </xf>
    <xf numFmtId="0" fontId="17" fillId="0" borderId="4" xfId="0" applyFont="1" applyBorder="1" applyAlignment="1">
      <alignment vertical="top"/>
    </xf>
    <xf numFmtId="0" fontId="20" fillId="9" borderId="33" xfId="0" applyFont="1" applyFill="1" applyBorder="1" applyAlignment="1">
      <alignment horizontal="justify" vertical="top" wrapText="1"/>
    </xf>
    <xf numFmtId="0" fontId="22" fillId="9" borderId="4" xfId="0" applyFont="1" applyFill="1" applyBorder="1" applyAlignment="1">
      <alignment vertical="top"/>
    </xf>
    <xf numFmtId="0" fontId="19" fillId="9" borderId="4" xfId="0" applyFont="1" applyFill="1" applyBorder="1" applyAlignment="1">
      <alignment horizontal="left" vertical="top"/>
    </xf>
    <xf numFmtId="3" fontId="22" fillId="9" borderId="4" xfId="0" applyNumberFormat="1" applyFont="1" applyFill="1" applyBorder="1" applyAlignment="1">
      <alignment vertical="top"/>
    </xf>
    <xf numFmtId="0" fontId="23" fillId="0" borderId="4" xfId="0" applyFont="1" applyBorder="1" applyAlignment="1">
      <alignment vertical="top"/>
    </xf>
    <xf numFmtId="3" fontId="23" fillId="0" borderId="4" xfId="0" applyNumberFormat="1" applyFont="1" applyBorder="1" applyAlignment="1">
      <alignment vertical="top"/>
    </xf>
    <xf numFmtId="0" fontId="17" fillId="0" borderId="4" xfId="0" applyFont="1" applyBorder="1" applyAlignment="1">
      <alignment vertical="top" wrapText="1"/>
    </xf>
    <xf numFmtId="3" fontId="17" fillId="0" borderId="0" xfId="0" applyNumberFormat="1" applyFont="1" applyAlignment="1">
      <alignment vertical="top"/>
    </xf>
    <xf numFmtId="2" fontId="24" fillId="10" borderId="39" xfId="0" applyNumberFormat="1" applyFont="1" applyFill="1" applyBorder="1" applyAlignment="1">
      <alignment horizontal="center" vertical="center"/>
    </xf>
    <xf numFmtId="2" fontId="24" fillId="10" borderId="8" xfId="0" applyNumberFormat="1" applyFont="1" applyFill="1" applyBorder="1" applyAlignment="1">
      <alignment horizontal="center" vertical="center"/>
    </xf>
    <xf numFmtId="2" fontId="24" fillId="10" borderId="40" xfId="0" applyNumberFormat="1" applyFont="1" applyFill="1" applyBorder="1" applyAlignment="1">
      <alignment horizontal="center" vertical="center"/>
    </xf>
    <xf numFmtId="0" fontId="26" fillId="11" borderId="41" xfId="0" applyFont="1" applyFill="1" applyBorder="1" applyAlignment="1">
      <alignment horizontal="center" vertical="center" wrapText="1"/>
    </xf>
    <xf numFmtId="0" fontId="26" fillId="11" borderId="33" xfId="0" applyFont="1" applyFill="1" applyBorder="1" applyAlignment="1">
      <alignment horizontal="center" vertical="center"/>
    </xf>
    <xf numFmtId="0" fontId="25" fillId="0" borderId="42" xfId="0" applyFont="1" applyBorder="1" applyAlignment="1">
      <alignment horizontal="center" vertical="center"/>
    </xf>
    <xf numFmtId="43" fontId="27" fillId="0" borderId="43" xfId="0" applyNumberFormat="1" applyFont="1" applyBorder="1" applyAlignment="1">
      <alignment horizontal="center" vertical="center"/>
    </xf>
    <xf numFmtId="43" fontId="27" fillId="0" borderId="33" xfId="0" applyNumberFormat="1" applyFont="1" applyBorder="1" applyAlignment="1">
      <alignment horizontal="center" vertical="center"/>
    </xf>
    <xf numFmtId="166" fontId="27" fillId="0" borderId="44" xfId="0" applyNumberFormat="1" applyFont="1" applyBorder="1" applyAlignment="1">
      <alignment horizontal="center" vertical="center"/>
    </xf>
    <xf numFmtId="1" fontId="28" fillId="12" borderId="3" xfId="0" quotePrefix="1" applyNumberFormat="1" applyFont="1" applyFill="1" applyBorder="1" applyAlignment="1">
      <alignment horizontal="center" vertical="center"/>
    </xf>
    <xf numFmtId="0" fontId="28" fillId="12" borderId="4" xfId="0" applyNumberFormat="1" applyFont="1" applyFill="1" applyBorder="1" applyAlignment="1">
      <alignment horizontal="center" vertical="center"/>
    </xf>
    <xf numFmtId="0" fontId="29" fillId="12" borderId="45" xfId="0" applyFont="1" applyFill="1" applyBorder="1" applyAlignment="1">
      <alignment horizontal="center" vertical="center" wrapText="1"/>
    </xf>
    <xf numFmtId="43" fontId="30" fillId="12" borderId="6" xfId="0" applyNumberFormat="1" applyFont="1" applyFill="1" applyBorder="1" applyAlignment="1">
      <alignment horizontal="center" vertical="center" wrapText="1"/>
    </xf>
    <xf numFmtId="43" fontId="31" fillId="12" borderId="4" xfId="0" applyNumberFormat="1" applyFont="1" applyFill="1" applyBorder="1" applyAlignment="1">
      <alignment horizontal="center" vertical="center" wrapText="1"/>
    </xf>
    <xf numFmtId="166" fontId="30" fillId="12" borderId="5" xfId="0" applyNumberFormat="1" applyFont="1" applyFill="1" applyBorder="1" applyAlignment="1">
      <alignment horizontal="center" vertical="center" wrapText="1"/>
    </xf>
    <xf numFmtId="0" fontId="32" fillId="0" borderId="3" xfId="0" applyFont="1" applyBorder="1" applyAlignment="1">
      <alignment horizontal="center" vertical="center" wrapText="1"/>
    </xf>
    <xf numFmtId="0" fontId="33" fillId="0" borderId="4" xfId="0" applyFont="1" applyBorder="1" applyAlignment="1">
      <alignment horizontal="justify" vertical="top"/>
    </xf>
    <xf numFmtId="0" fontId="34" fillId="0" borderId="45" xfId="0" applyFont="1" applyBorder="1" applyAlignment="1">
      <alignment horizontal="center" vertical="center" wrapText="1"/>
    </xf>
    <xf numFmtId="43" fontId="34" fillId="0" borderId="6" xfId="0" applyNumberFormat="1" applyFont="1" applyBorder="1" applyAlignment="1">
      <alignment horizontal="center" vertical="center" wrapText="1"/>
    </xf>
    <xf numFmtId="43" fontId="34" fillId="13" borderId="4" xfId="0" applyNumberFormat="1" applyFont="1" applyFill="1" applyBorder="1" applyAlignment="1">
      <alignment horizontal="center" vertical="center" wrapText="1"/>
    </xf>
    <xf numFmtId="166" fontId="34" fillId="0" borderId="5" xfId="0" applyNumberFormat="1" applyFont="1" applyBorder="1" applyAlignment="1">
      <alignment horizontal="center" vertical="center" wrapText="1"/>
    </xf>
    <xf numFmtId="0" fontId="29" fillId="0" borderId="45" xfId="0" applyFont="1" applyBorder="1" applyAlignment="1">
      <alignment horizontal="center" vertical="center" wrapText="1"/>
    </xf>
    <xf numFmtId="43" fontId="30" fillId="0" borderId="6" xfId="0" applyNumberFormat="1" applyFont="1" applyBorder="1" applyAlignment="1">
      <alignment horizontal="center" vertical="center" wrapText="1"/>
    </xf>
    <xf numFmtId="43" fontId="30" fillId="0" borderId="4" xfId="0" applyNumberFormat="1" applyFont="1" applyBorder="1" applyAlignment="1">
      <alignment horizontal="center" vertical="center" wrapText="1"/>
    </xf>
    <xf numFmtId="166" fontId="35" fillId="9" borderId="5" xfId="0" applyNumberFormat="1" applyFont="1" applyFill="1" applyBorder="1" applyAlignment="1">
      <alignment horizontal="center" vertical="center" wrapText="1"/>
    </xf>
    <xf numFmtId="0" fontId="28" fillId="12" borderId="3" xfId="0" applyFont="1" applyFill="1" applyBorder="1" applyAlignment="1">
      <alignment horizontal="center" vertical="center"/>
    </xf>
    <xf numFmtId="0" fontId="28" fillId="12" borderId="4" xfId="0" applyFont="1" applyFill="1" applyBorder="1" applyAlignment="1">
      <alignment vertical="center" wrapText="1"/>
    </xf>
    <xf numFmtId="43" fontId="30" fillId="12" borderId="4" xfId="0" applyNumberFormat="1" applyFont="1" applyFill="1" applyBorder="1" applyAlignment="1">
      <alignment horizontal="center" vertical="center" wrapText="1"/>
    </xf>
    <xf numFmtId="0" fontId="33" fillId="0" borderId="3" xfId="0" applyFont="1" applyBorder="1" applyAlignment="1">
      <alignment horizontal="center" vertical="top"/>
    </xf>
    <xf numFmtId="0" fontId="26" fillId="0" borderId="4" xfId="0" applyNumberFormat="1" applyFont="1" applyFill="1" applyBorder="1" applyAlignment="1">
      <alignment horizontal="justify" vertical="justify" wrapText="1"/>
    </xf>
    <xf numFmtId="43" fontId="32" fillId="0" borderId="6" xfId="0" applyNumberFormat="1" applyFont="1" applyBorder="1" applyAlignment="1">
      <alignment horizontal="center" vertical="center" wrapText="1"/>
    </xf>
    <xf numFmtId="43" fontId="32" fillId="0" borderId="4" xfId="0" applyNumberFormat="1" applyFont="1" applyBorder="1" applyAlignment="1">
      <alignment horizontal="center" vertical="center" wrapText="1"/>
    </xf>
    <xf numFmtId="166" fontId="32" fillId="0" borderId="5" xfId="0" applyNumberFormat="1" applyFont="1" applyBorder="1" applyAlignment="1">
      <alignment horizontal="center" vertical="center" wrapText="1"/>
    </xf>
    <xf numFmtId="0" fontId="33" fillId="0" borderId="4" xfId="0" quotePrefix="1" applyFont="1" applyBorder="1" applyAlignment="1">
      <alignment horizontal="justify" vertical="top"/>
    </xf>
    <xf numFmtId="166" fontId="34" fillId="0" borderId="6" xfId="0" applyNumberFormat="1" applyFont="1" applyBorder="1" applyAlignment="1">
      <alignment horizontal="center" vertical="center" wrapText="1"/>
    </xf>
    <xf numFmtId="43" fontId="34" fillId="0" borderId="4" xfId="0" applyNumberFormat="1" applyFont="1" applyBorder="1" applyAlignment="1">
      <alignment horizontal="center" vertical="center" wrapText="1"/>
    </xf>
    <xf numFmtId="0" fontId="26" fillId="0" borderId="4" xfId="0" applyFont="1" applyBorder="1" applyAlignment="1">
      <alignment horizontal="justify" vertical="top"/>
    </xf>
    <xf numFmtId="0" fontId="33" fillId="0" borderId="4" xfId="0" applyFont="1" applyFill="1" applyBorder="1" applyAlignment="1">
      <alignment horizontal="justify" vertical="top"/>
    </xf>
    <xf numFmtId="0" fontId="33" fillId="0" borderId="3" xfId="0" applyFont="1" applyFill="1" applyBorder="1" applyAlignment="1">
      <alignment horizontal="center" vertical="top"/>
    </xf>
    <xf numFmtId="43" fontId="34" fillId="0" borderId="6" xfId="0" applyNumberFormat="1" applyFont="1" applyFill="1" applyBorder="1" applyAlignment="1">
      <alignment horizontal="center" vertical="center" wrapText="1"/>
    </xf>
    <xf numFmtId="166" fontId="34" fillId="0" borderId="5" xfId="0" applyNumberFormat="1" applyFont="1" applyFill="1" applyBorder="1" applyAlignment="1">
      <alignment horizontal="center" vertical="center" wrapText="1"/>
    </xf>
    <xf numFmtId="0" fontId="26" fillId="0" borderId="4" xfId="0" applyFont="1" applyFill="1" applyBorder="1" applyAlignment="1">
      <alignment horizontal="justify" vertical="top"/>
    </xf>
    <xf numFmtId="0" fontId="33" fillId="0" borderId="4" xfId="0" quotePrefix="1" applyFont="1" applyFill="1" applyBorder="1" applyAlignment="1">
      <alignment horizontal="left" vertical="top" wrapText="1"/>
    </xf>
    <xf numFmtId="0" fontId="34" fillId="0" borderId="45" xfId="0" applyFont="1" applyFill="1" applyBorder="1" applyAlignment="1">
      <alignment horizontal="center" vertical="center" wrapText="1"/>
    </xf>
    <xf numFmtId="0" fontId="33" fillId="0" borderId="4" xfId="0" applyFont="1" applyFill="1" applyBorder="1" applyAlignment="1">
      <alignment horizontal="justify" vertical="center"/>
    </xf>
    <xf numFmtId="43" fontId="34" fillId="3" borderId="4" xfId="0" applyNumberFormat="1" applyFont="1" applyFill="1" applyBorder="1" applyAlignment="1">
      <alignment horizontal="center" vertical="center" wrapText="1"/>
    </xf>
    <xf numFmtId="2" fontId="33" fillId="0" borderId="3" xfId="0" applyNumberFormat="1" applyFont="1" applyFill="1" applyBorder="1" applyAlignment="1">
      <alignment horizontal="center" vertical="top"/>
    </xf>
    <xf numFmtId="2" fontId="26" fillId="0" borderId="3" xfId="0" applyNumberFormat="1" applyFont="1" applyFill="1" applyBorder="1" applyAlignment="1">
      <alignment horizontal="center" vertical="top"/>
    </xf>
    <xf numFmtId="2" fontId="36" fillId="0" borderId="3" xfId="0" applyNumberFormat="1" applyFont="1" applyFill="1" applyBorder="1" applyAlignment="1">
      <alignment horizontal="center" vertical="center"/>
    </xf>
    <xf numFmtId="0" fontId="36" fillId="0" borderId="4" xfId="0" applyFont="1" applyFill="1" applyBorder="1" applyAlignment="1">
      <alignment horizontal="justify" vertical="top"/>
    </xf>
    <xf numFmtId="0" fontId="36" fillId="0" borderId="45" xfId="0" applyFont="1" applyBorder="1" applyAlignment="1">
      <alignment horizontal="center" vertical="center" wrapText="1"/>
    </xf>
    <xf numFmtId="43" fontId="36" fillId="0" borderId="6" xfId="0" applyNumberFormat="1" applyFont="1" applyFill="1" applyBorder="1" applyAlignment="1">
      <alignment horizontal="center" vertical="center" wrapText="1"/>
    </xf>
    <xf numFmtId="43" fontId="36" fillId="13" borderId="4" xfId="0" applyNumberFormat="1" applyFont="1" applyFill="1" applyBorder="1" applyAlignment="1">
      <alignment horizontal="center" vertical="center" wrapText="1"/>
    </xf>
    <xf numFmtId="166" fontId="36" fillId="0" borderId="5" xfId="0" applyNumberFormat="1" applyFont="1" applyFill="1" applyBorder="1" applyAlignment="1">
      <alignment horizontal="center" vertical="center" wrapText="1"/>
    </xf>
    <xf numFmtId="0" fontId="28" fillId="12" borderId="3" xfId="0" applyFont="1" applyFill="1" applyBorder="1" applyAlignment="1">
      <alignment horizontal="center" vertical="center" wrapText="1"/>
    </xf>
    <xf numFmtId="0" fontId="28" fillId="12" borderId="4" xfId="0" applyFont="1" applyFill="1" applyBorder="1" applyAlignment="1">
      <alignment horizontal="justify" vertical="center" wrapText="1"/>
    </xf>
    <xf numFmtId="0" fontId="26" fillId="0" borderId="4" xfId="0" quotePrefix="1" applyFont="1" applyFill="1" applyBorder="1" applyAlignment="1">
      <alignment horizontal="justify" vertical="justify" wrapText="1"/>
    </xf>
    <xf numFmtId="0" fontId="26" fillId="0" borderId="45" xfId="0" applyFont="1" applyBorder="1" applyAlignment="1">
      <alignment horizontal="center" vertical="center"/>
    </xf>
    <xf numFmtId="43" fontId="26" fillId="0" borderId="6" xfId="0" applyNumberFormat="1" applyFont="1" applyBorder="1" applyAlignment="1">
      <alignment horizontal="center" vertical="center"/>
    </xf>
    <xf numFmtId="43" fontId="26" fillId="8" borderId="4" xfId="0" applyNumberFormat="1" applyFont="1" applyFill="1" applyBorder="1" applyAlignment="1">
      <alignment horizontal="center" vertical="center"/>
    </xf>
    <xf numFmtId="0" fontId="33" fillId="0" borderId="4" xfId="0" applyFont="1" applyFill="1" applyBorder="1" applyAlignment="1">
      <alignment horizontal="justify" vertical="justify" wrapText="1"/>
    </xf>
    <xf numFmtId="0" fontId="26" fillId="0" borderId="45" xfId="0" applyFont="1" applyFill="1" applyBorder="1" applyAlignment="1">
      <alignment horizontal="center" vertical="center"/>
    </xf>
    <xf numFmtId="43" fontId="26" fillId="13" borderId="4" xfId="0" applyNumberFormat="1" applyFont="1" applyFill="1" applyBorder="1" applyAlignment="1">
      <alignment horizontal="center" vertical="center"/>
    </xf>
    <xf numFmtId="0" fontId="26" fillId="0" borderId="4" xfId="0" applyFont="1" applyFill="1" applyBorder="1" applyAlignment="1">
      <alignment horizontal="left" vertical="top" wrapText="1"/>
    </xf>
    <xf numFmtId="0" fontId="33" fillId="0" borderId="4" xfId="0" quotePrefix="1" applyFont="1" applyFill="1" applyBorder="1" applyAlignment="1">
      <alignment vertical="center" wrapText="1"/>
    </xf>
    <xf numFmtId="167" fontId="29" fillId="0" borderId="45" xfId="0" applyNumberFormat="1" applyFont="1" applyBorder="1" applyAlignment="1">
      <alignment horizontal="center" vertical="center" wrapText="1"/>
    </xf>
    <xf numFmtId="43" fontId="37" fillId="12" borderId="4" xfId="0" applyNumberFormat="1" applyFont="1" applyFill="1" applyBorder="1" applyAlignment="1">
      <alignment horizontal="center" vertical="center" wrapText="1"/>
    </xf>
    <xf numFmtId="167" fontId="34" fillId="0" borderId="45" xfId="0" applyNumberFormat="1" applyFont="1" applyBorder="1" applyAlignment="1">
      <alignment horizontal="center" vertical="center" wrapText="1"/>
    </xf>
    <xf numFmtId="43" fontId="34" fillId="0" borderId="3" xfId="0" applyNumberFormat="1" applyFont="1" applyBorder="1" applyAlignment="1">
      <alignment horizontal="center" vertical="center" wrapText="1"/>
    </xf>
    <xf numFmtId="166" fontId="34" fillId="0" borderId="45" xfId="0" applyNumberFormat="1" applyFont="1" applyBorder="1" applyAlignment="1">
      <alignment horizontal="center" vertical="center" wrapText="1"/>
    </xf>
    <xf numFmtId="43" fontId="37" fillId="0" borderId="3" xfId="0" applyNumberFormat="1" applyFont="1" applyBorder="1" applyAlignment="1">
      <alignment horizontal="center" vertical="center" wrapText="1"/>
    </xf>
    <xf numFmtId="166" fontId="30" fillId="0" borderId="45" xfId="0" applyNumberFormat="1" applyFont="1" applyBorder="1" applyAlignment="1">
      <alignment horizontal="center" vertical="center" wrapText="1"/>
    </xf>
    <xf numFmtId="0" fontId="32" fillId="0" borderId="4" xfId="0" applyFont="1" applyBorder="1" applyAlignment="1">
      <alignment horizontal="justify" vertical="center" wrapText="1"/>
    </xf>
    <xf numFmtId="43" fontId="37" fillId="0" borderId="4" xfId="0" applyNumberFormat="1" applyFont="1" applyBorder="1" applyAlignment="1">
      <alignment horizontal="center" vertical="center" wrapText="1"/>
    </xf>
    <xf numFmtId="0" fontId="28" fillId="12" borderId="4" xfId="0" applyFont="1" applyFill="1" applyBorder="1" applyAlignment="1">
      <alignment horizontal="justify" vertical="center"/>
    </xf>
    <xf numFmtId="167" fontId="29" fillId="12" borderId="45" xfId="0" applyNumberFormat="1" applyFont="1" applyFill="1" applyBorder="1" applyAlignment="1">
      <alignment horizontal="center" vertical="center" wrapText="1"/>
    </xf>
    <xf numFmtId="2" fontId="26" fillId="0" borderId="45" xfId="0" applyNumberFormat="1" applyFont="1" applyBorder="1" applyAlignment="1">
      <alignment horizontal="center" vertical="center"/>
    </xf>
    <xf numFmtId="43" fontId="26" fillId="0" borderId="6" xfId="0" applyNumberFormat="1" applyFont="1" applyFill="1" applyBorder="1" applyAlignment="1">
      <alignment horizontal="center" vertical="center"/>
    </xf>
    <xf numFmtId="43" fontId="26" fillId="0" borderId="4" xfId="0" applyNumberFormat="1" applyFont="1" applyBorder="1" applyAlignment="1">
      <alignment horizontal="center" vertical="center"/>
    </xf>
    <xf numFmtId="43" fontId="26" fillId="3" borderId="4" xfId="0" applyNumberFormat="1" applyFont="1" applyFill="1" applyBorder="1" applyAlignment="1">
      <alignment horizontal="center" vertical="center"/>
    </xf>
    <xf numFmtId="0" fontId="36" fillId="0" borderId="3" xfId="0" applyFont="1" applyBorder="1" applyAlignment="1">
      <alignment horizontal="center" vertical="center" wrapText="1"/>
    </xf>
    <xf numFmtId="43" fontId="36" fillId="0" borderId="6" xfId="0" applyNumberFormat="1" applyFont="1" applyBorder="1" applyAlignment="1">
      <alignment horizontal="center" vertical="center"/>
    </xf>
    <xf numFmtId="43" fontId="36" fillId="13" borderId="4" xfId="0" applyNumberFormat="1" applyFont="1" applyFill="1" applyBorder="1" applyAlignment="1">
      <alignment horizontal="center" vertical="center"/>
    </xf>
    <xf numFmtId="166" fontId="36" fillId="0" borderId="5" xfId="0" applyNumberFormat="1" applyFont="1" applyBorder="1" applyAlignment="1">
      <alignment horizontal="center" vertical="center" wrapText="1"/>
    </xf>
    <xf numFmtId="164" fontId="33" fillId="0" borderId="4" xfId="0" applyNumberFormat="1" applyFont="1" applyBorder="1" applyAlignment="1">
      <alignment horizontal="justify" vertical="top"/>
    </xf>
    <xf numFmtId="43" fontId="38" fillId="0" borderId="6" xfId="0" applyNumberFormat="1" applyFont="1" applyBorder="1" applyAlignment="1">
      <alignment horizontal="center" vertical="center"/>
    </xf>
    <xf numFmtId="43" fontId="38" fillId="0" borderId="4" xfId="0" applyNumberFormat="1" applyFont="1" applyBorder="1" applyAlignment="1">
      <alignment horizontal="center" vertical="center"/>
    </xf>
    <xf numFmtId="0" fontId="39" fillId="12" borderId="3" xfId="0" applyFont="1" applyFill="1" applyBorder="1" applyAlignment="1">
      <alignment horizontal="center" vertical="center"/>
    </xf>
    <xf numFmtId="43" fontId="38" fillId="12" borderId="6" xfId="0" applyNumberFormat="1" applyFont="1" applyFill="1" applyBorder="1" applyAlignment="1">
      <alignment horizontal="center" vertical="center"/>
    </xf>
    <xf numFmtId="43" fontId="38" fillId="12" borderId="4" xfId="0" applyNumberFormat="1" applyFont="1" applyFill="1" applyBorder="1" applyAlignment="1">
      <alignment horizontal="center" vertical="center"/>
    </xf>
    <xf numFmtId="166" fontId="40" fillId="12" borderId="5" xfId="0" applyNumberFormat="1" applyFont="1" applyFill="1" applyBorder="1" applyAlignment="1">
      <alignment horizontal="center" vertical="center" wrapText="1"/>
    </xf>
    <xf numFmtId="0" fontId="33" fillId="0" borderId="3" xfId="0" quotePrefix="1" applyFont="1" applyBorder="1" applyAlignment="1">
      <alignment horizontal="center" vertical="top" wrapText="1"/>
    </xf>
    <xf numFmtId="0" fontId="33" fillId="0" borderId="4" xfId="0" quotePrefix="1" applyFont="1" applyBorder="1" applyAlignment="1">
      <alignment horizontal="left" vertical="top" wrapText="1"/>
    </xf>
    <xf numFmtId="167" fontId="34" fillId="0" borderId="45" xfId="0" applyNumberFormat="1" applyFont="1" applyFill="1" applyBorder="1" applyAlignment="1">
      <alignment horizontal="center" vertical="center" wrapText="1"/>
    </xf>
    <xf numFmtId="43" fontId="26" fillId="0" borderId="4" xfId="0" applyNumberFormat="1" applyFont="1" applyFill="1" applyBorder="1" applyAlignment="1">
      <alignment horizontal="center" vertical="center"/>
    </xf>
    <xf numFmtId="0" fontId="26" fillId="0" borderId="4" xfId="0" quotePrefix="1" applyFont="1" applyBorder="1" applyAlignment="1">
      <alignment horizontal="left" vertical="top"/>
    </xf>
    <xf numFmtId="43" fontId="33" fillId="13" borderId="4" xfId="0" applyNumberFormat="1" applyFont="1" applyFill="1" applyBorder="1" applyAlignment="1">
      <alignment horizontal="center" vertical="center"/>
    </xf>
    <xf numFmtId="0" fontId="33" fillId="0" borderId="3" xfId="0" quotePrefix="1" applyFont="1" applyBorder="1" applyAlignment="1">
      <alignment horizontal="center" vertical="top"/>
    </xf>
    <xf numFmtId="0" fontId="33" fillId="0" borderId="4" xfId="0" applyFont="1" applyBorder="1" applyAlignment="1">
      <alignment horizontal="justify" vertical="top" wrapText="1"/>
    </xf>
    <xf numFmtId="0" fontId="33" fillId="0" borderId="3" xfId="0" applyFont="1" applyFill="1" applyBorder="1" applyAlignment="1">
      <alignment horizontal="center" vertical="top" wrapText="1"/>
    </xf>
    <xf numFmtId="0" fontId="33" fillId="0" borderId="4" xfId="0" applyFont="1" applyFill="1" applyBorder="1" applyAlignment="1">
      <alignment horizontal="justify" vertical="top" wrapText="1"/>
    </xf>
    <xf numFmtId="2" fontId="26" fillId="0" borderId="45" xfId="0" applyNumberFormat="1" applyFont="1" applyFill="1" applyBorder="1" applyAlignment="1">
      <alignment horizontal="center" vertical="center"/>
    </xf>
    <xf numFmtId="43" fontId="33" fillId="8" borderId="4" xfId="0" applyNumberFormat="1" applyFont="1" applyFill="1" applyBorder="1" applyAlignment="1">
      <alignment horizontal="center" vertical="center"/>
    </xf>
    <xf numFmtId="0" fontId="33" fillId="0" borderId="3" xfId="0" applyFont="1" applyBorder="1" applyAlignment="1">
      <alignment horizontal="center" vertical="top" wrapText="1"/>
    </xf>
    <xf numFmtId="2" fontId="41" fillId="12" borderId="45" xfId="0" applyNumberFormat="1" applyFont="1" applyFill="1" applyBorder="1" applyAlignment="1">
      <alignment horizontal="center" vertical="center"/>
    </xf>
    <xf numFmtId="43" fontId="42" fillId="12" borderId="4" xfId="0" applyNumberFormat="1" applyFont="1" applyFill="1" applyBorder="1" applyAlignment="1">
      <alignment horizontal="center" vertical="center"/>
    </xf>
    <xf numFmtId="41" fontId="35" fillId="10" borderId="3" xfId="0" applyNumberFormat="1" applyFont="1" applyFill="1" applyBorder="1" applyAlignment="1">
      <alignment horizontal="center" vertical="center" wrapText="1"/>
    </xf>
    <xf numFmtId="43" fontId="33" fillId="0" borderId="6" xfId="0" applyNumberFormat="1" applyFont="1" applyFill="1" applyBorder="1" applyAlignment="1">
      <alignment horizontal="center" vertical="center"/>
    </xf>
    <xf numFmtId="43" fontId="33" fillId="0" borderId="6" xfId="0" applyNumberFormat="1" applyFont="1" applyBorder="1" applyAlignment="1">
      <alignment horizontal="center" vertical="center"/>
    </xf>
    <xf numFmtId="0" fontId="33" fillId="3" borderId="4" xfId="0" quotePrefix="1" applyFont="1" applyFill="1" applyBorder="1" applyAlignment="1">
      <alignment horizontal="justify" vertical="top"/>
    </xf>
    <xf numFmtId="0" fontId="33" fillId="3" borderId="4" xfId="0" applyFont="1" applyFill="1" applyBorder="1" applyAlignment="1">
      <alignment horizontal="justify" vertical="top"/>
    </xf>
    <xf numFmtId="43" fontId="33" fillId="3" borderId="4" xfId="0" applyNumberFormat="1" applyFont="1" applyFill="1" applyBorder="1" applyAlignment="1">
      <alignment horizontal="center" vertical="center"/>
    </xf>
    <xf numFmtId="2" fontId="32" fillId="0" borderId="3" xfId="0" applyNumberFormat="1" applyFont="1" applyBorder="1" applyAlignment="1">
      <alignment horizontal="center" vertical="center" wrapText="1"/>
    </xf>
    <xf numFmtId="166" fontId="34" fillId="0" borderId="46" xfId="0" applyNumberFormat="1" applyFont="1" applyBorder="1" applyAlignment="1">
      <alignment horizontal="center" vertical="center" wrapText="1"/>
    </xf>
    <xf numFmtId="0" fontId="39" fillId="12" borderId="4" xfId="0" applyFont="1" applyFill="1" applyBorder="1" applyAlignment="1">
      <alignment horizontal="justify" vertical="center"/>
    </xf>
    <xf numFmtId="167" fontId="34" fillId="12" borderId="45" xfId="0" applyNumberFormat="1" applyFont="1" applyFill="1" applyBorder="1" applyAlignment="1">
      <alignment horizontal="center" vertical="center" wrapText="1"/>
    </xf>
    <xf numFmtId="43" fontId="26" fillId="12" borderId="6" xfId="0" applyNumberFormat="1" applyFont="1" applyFill="1" applyBorder="1" applyAlignment="1">
      <alignment horizontal="center" vertical="center"/>
    </xf>
    <xf numFmtId="43" fontId="26" fillId="12" borderId="4" xfId="0" applyNumberFormat="1" applyFont="1" applyFill="1" applyBorder="1" applyAlignment="1">
      <alignment horizontal="center" vertical="center"/>
    </xf>
    <xf numFmtId="166" fontId="34" fillId="12" borderId="5" xfId="0" applyNumberFormat="1" applyFont="1" applyFill="1" applyBorder="1" applyAlignment="1">
      <alignment horizontal="center" vertical="center" wrapText="1"/>
    </xf>
    <xf numFmtId="0" fontId="33" fillId="0" borderId="4" xfId="0" quotePrefix="1" applyFont="1" applyBorder="1" applyAlignment="1">
      <alignment horizontal="justify" vertical="top" wrapText="1"/>
    </xf>
    <xf numFmtId="168" fontId="29" fillId="0" borderId="45" xfId="0" applyNumberFormat="1" applyFont="1" applyBorder="1" applyAlignment="1">
      <alignment horizontal="center" vertical="center" wrapText="1"/>
    </xf>
    <xf numFmtId="0" fontId="43" fillId="12" borderId="4" xfId="0" applyFont="1" applyFill="1" applyBorder="1" applyAlignment="1">
      <alignment horizontal="justify" vertical="center"/>
    </xf>
    <xf numFmtId="0" fontId="33" fillId="0" borderId="3" xfId="0" quotePrefix="1" applyFont="1" applyBorder="1" applyAlignment="1">
      <alignment horizontal="center" vertical="center" wrapText="1"/>
    </xf>
    <xf numFmtId="0" fontId="33" fillId="0" borderId="4" xfId="0" applyFont="1" applyBorder="1" applyAlignment="1">
      <alignment horizontal="justify" vertical="center" wrapText="1"/>
    </xf>
    <xf numFmtId="166" fontId="26" fillId="3" borderId="4" xfId="0" applyNumberFormat="1" applyFont="1" applyFill="1" applyBorder="1" applyAlignment="1">
      <alignment horizontal="center" vertical="center"/>
    </xf>
    <xf numFmtId="169" fontId="26" fillId="3" borderId="4" xfId="0" applyNumberFormat="1" applyFont="1" applyFill="1" applyBorder="1" applyAlignment="1">
      <alignment horizontal="center" vertical="center"/>
    </xf>
    <xf numFmtId="0" fontId="33" fillId="9" borderId="4" xfId="0" applyFont="1" applyFill="1" applyBorder="1" applyAlignment="1">
      <alignment horizontal="justify" vertical="top"/>
    </xf>
    <xf numFmtId="43" fontId="34" fillId="9" borderId="4" xfId="0" applyNumberFormat="1" applyFont="1" applyFill="1" applyBorder="1" applyAlignment="1">
      <alignment horizontal="center" vertical="center" wrapText="1"/>
    </xf>
    <xf numFmtId="43" fontId="34" fillId="9" borderId="6" xfId="0" applyNumberFormat="1" applyFont="1" applyFill="1" applyBorder="1" applyAlignment="1">
      <alignment horizontal="center" vertical="center" wrapText="1"/>
    </xf>
    <xf numFmtId="0" fontId="44" fillId="0" borderId="45" xfId="0" applyFont="1" applyBorder="1" applyAlignment="1">
      <alignment horizontal="center" vertical="center"/>
    </xf>
    <xf numFmtId="43" fontId="45" fillId="0" borderId="6" xfId="0" applyNumberFormat="1" applyFont="1" applyBorder="1">
      <alignment vertical="center"/>
    </xf>
    <xf numFmtId="166" fontId="45" fillId="0" borderId="5" xfId="0" applyNumberFormat="1" applyFont="1" applyBorder="1">
      <alignment vertical="center"/>
    </xf>
    <xf numFmtId="0" fontId="46" fillId="0" borderId="3" xfId="0" applyFont="1" applyBorder="1" applyAlignment="1">
      <alignment horizontal="center" vertical="center"/>
    </xf>
    <xf numFmtId="2" fontId="16" fillId="0" borderId="0" xfId="0" applyNumberFormat="1" applyFont="1" applyAlignment="1"/>
    <xf numFmtId="0" fontId="16" fillId="0" borderId="0" xfId="0" applyFont="1" applyFill="1" applyAlignment="1"/>
    <xf numFmtId="0" fontId="16" fillId="0" borderId="0" xfId="0" applyFont="1" applyAlignment="1">
      <alignment wrapText="1"/>
    </xf>
    <xf numFmtId="0" fontId="16" fillId="14" borderId="0" xfId="0" applyFont="1" applyFill="1" applyAlignment="1">
      <alignment wrapText="1"/>
    </xf>
    <xf numFmtId="0" fontId="16" fillId="0" borderId="0" xfId="0" applyFont="1" applyAlignment="1">
      <alignment vertical="center" wrapText="1"/>
    </xf>
    <xf numFmtId="0" fontId="16" fillId="3" borderId="0" xfId="0" applyFont="1" applyFill="1" applyAlignment="1"/>
    <xf numFmtId="0" fontId="19" fillId="9" borderId="4" xfId="0" applyFont="1" applyFill="1" applyBorder="1" applyAlignment="1">
      <alignment horizontal="center" vertical="top"/>
    </xf>
    <xf numFmtId="3" fontId="19" fillId="9" borderId="4" xfId="0" applyNumberFormat="1" applyFont="1" applyFill="1" applyBorder="1" applyAlignment="1">
      <alignment horizontal="right" vertical="top"/>
    </xf>
    <xf numFmtId="0" fontId="50" fillId="9" borderId="4" xfId="0" applyFont="1" applyFill="1" applyBorder="1" applyAlignment="1">
      <alignment horizontal="justify" vertical="top" wrapText="1"/>
    </xf>
    <xf numFmtId="0" fontId="50" fillId="9" borderId="4" xfId="0" applyFont="1" applyFill="1" applyBorder="1" applyAlignment="1">
      <alignment horizontal="justify" vertical="top"/>
    </xf>
    <xf numFmtId="0" fontId="50" fillId="9" borderId="4" xfId="0" applyFont="1" applyFill="1" applyBorder="1" applyAlignment="1">
      <alignment horizontal="center" vertical="top"/>
    </xf>
    <xf numFmtId="0" fontId="49" fillId="9" borderId="4" xfId="0" applyFont="1" applyFill="1" applyBorder="1" applyAlignment="1">
      <alignment horizontal="justify" vertical="top"/>
    </xf>
    <xf numFmtId="0" fontId="19" fillId="9" borderId="32" xfId="0" applyFont="1" applyFill="1" applyBorder="1" applyAlignment="1">
      <alignment horizontal="justify" vertical="top"/>
    </xf>
    <xf numFmtId="0" fontId="50" fillId="9" borderId="33" xfId="0" applyFont="1" applyFill="1" applyBorder="1" applyAlignment="1">
      <alignment horizontal="justify" vertical="top" wrapText="1"/>
    </xf>
    <xf numFmtId="1" fontId="19" fillId="9" borderId="32" xfId="0" applyNumberFormat="1" applyFont="1" applyFill="1" applyBorder="1" applyAlignment="1">
      <alignment horizontal="right" vertical="top"/>
    </xf>
    <xf numFmtId="1" fontId="19" fillId="9" borderId="33" xfId="0" applyNumberFormat="1" applyFont="1" applyFill="1" applyBorder="1" applyAlignment="1">
      <alignment horizontal="right" vertical="top"/>
    </xf>
    <xf numFmtId="1" fontId="19" fillId="9" borderId="4" xfId="0" applyNumberFormat="1" applyFont="1" applyFill="1" applyBorder="1" applyAlignment="1">
      <alignment horizontal="right" vertical="top"/>
    </xf>
    <xf numFmtId="1" fontId="22" fillId="9" borderId="4" xfId="0" applyNumberFormat="1" applyFont="1" applyFill="1" applyBorder="1" applyAlignment="1">
      <alignment horizontal="right" vertical="top"/>
    </xf>
    <xf numFmtId="1" fontId="22" fillId="9" borderId="32" xfId="0" applyNumberFormat="1" applyFont="1" applyFill="1" applyBorder="1" applyAlignment="1">
      <alignment horizontal="right" vertical="top"/>
    </xf>
    <xf numFmtId="1" fontId="22" fillId="9" borderId="33" xfId="0" applyNumberFormat="1" applyFont="1" applyFill="1" applyBorder="1" applyAlignment="1">
      <alignment horizontal="right" vertical="top"/>
    </xf>
    <xf numFmtId="1" fontId="19" fillId="9" borderId="4" xfId="0" applyNumberFormat="1" applyFont="1" applyFill="1" applyBorder="1" applyAlignment="1">
      <alignment horizontal="right" vertical="top"/>
    </xf>
    <xf numFmtId="1" fontId="22" fillId="9" borderId="4" xfId="0" applyNumberFormat="1" applyFont="1" applyFill="1" applyBorder="1" applyAlignment="1">
      <alignment vertical="top"/>
    </xf>
    <xf numFmtId="1" fontId="23" fillId="0" borderId="4" xfId="0" applyNumberFormat="1" applyFont="1" applyBorder="1" applyAlignment="1">
      <alignment vertical="top"/>
    </xf>
    <xf numFmtId="1" fontId="17" fillId="0" borderId="4" xfId="0" applyNumberFormat="1" applyFont="1" applyBorder="1" applyAlignment="1">
      <alignment vertical="top"/>
    </xf>
    <xf numFmtId="3" fontId="17" fillId="0" borderId="4" xfId="0" applyNumberFormat="1" applyFont="1" applyBorder="1" applyAlignment="1">
      <alignment vertical="top"/>
    </xf>
    <xf numFmtId="10" fontId="17" fillId="0" borderId="0" xfId="0" applyNumberFormat="1" applyFont="1" applyAlignment="1">
      <alignment vertical="top"/>
    </xf>
    <xf numFmtId="0" fontId="2" fillId="0" borderId="1" xfId="0" applyFont="1" applyFill="1" applyBorder="1" applyAlignment="1">
      <alignment horizontal="center"/>
    </xf>
    <xf numFmtId="0" fontId="2" fillId="0" borderId="2" xfId="0" quotePrefix="1" applyFont="1" applyFill="1" applyBorder="1" applyAlignment="1">
      <alignment horizontal="center"/>
    </xf>
    <xf numFmtId="0" fontId="3" fillId="2" borderId="3" xfId="0" applyFont="1" applyFill="1" applyBorder="1" applyAlignment="1">
      <alignment horizontal="center"/>
    </xf>
    <xf numFmtId="0" fontId="3" fillId="2" borderId="4" xfId="0" applyFont="1" applyFill="1" applyBorder="1" applyAlignment="1">
      <alignment horizontal="center"/>
    </xf>
    <xf numFmtId="0" fontId="4" fillId="2" borderId="5" xfId="0" applyFont="1" applyFill="1" applyBorder="1" applyAlignment="1">
      <alignment horizontal="center"/>
    </xf>
    <xf numFmtId="0" fontId="4" fillId="2" borderId="6" xfId="0" applyFont="1" applyFill="1" applyBorder="1" applyAlignment="1">
      <alignment horizontal="center"/>
    </xf>
    <xf numFmtId="0" fontId="6" fillId="2" borderId="3"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8" xfId="0" applyFont="1" applyFill="1" applyBorder="1" applyAlignment="1">
      <alignment horizontal="center" vertical="center"/>
    </xf>
    <xf numFmtId="0" fontId="6" fillId="2" borderId="4" xfId="0" applyFont="1" applyFill="1" applyBorder="1" applyAlignment="1">
      <alignment horizontal="center"/>
    </xf>
    <xf numFmtId="0" fontId="12" fillId="5" borderId="4" xfId="0" applyFont="1" applyFill="1" applyBorder="1" applyAlignment="1">
      <alignment horizontal="center"/>
    </xf>
    <xf numFmtId="0" fontId="12" fillId="6" borderId="4" xfId="0" applyFont="1" applyFill="1" applyBorder="1" applyAlignment="1">
      <alignment horizontal="center"/>
    </xf>
    <xf numFmtId="0" fontId="14" fillId="0" borderId="4" xfId="0" applyFont="1" applyBorder="1" applyAlignment="1">
      <alignment horizontal="center"/>
    </xf>
    <xf numFmtId="0" fontId="18" fillId="0" borderId="4" xfId="0" applyFont="1" applyBorder="1" applyAlignment="1">
      <alignment horizontal="center" vertical="top" wrapText="1"/>
    </xf>
    <xf numFmtId="0" fontId="19" fillId="9" borderId="4" xfId="0" applyFont="1" applyFill="1" applyBorder="1" applyAlignment="1">
      <alignment horizontal="center" vertical="top"/>
    </xf>
    <xf numFmtId="1" fontId="19" fillId="9" borderId="4" xfId="0" applyNumberFormat="1" applyFont="1" applyFill="1" applyBorder="1" applyAlignment="1">
      <alignment horizontal="right" vertical="top"/>
    </xf>
    <xf numFmtId="3" fontId="19" fillId="9" borderId="4" xfId="0" applyNumberFormat="1" applyFont="1" applyFill="1" applyBorder="1" applyAlignment="1">
      <alignment horizontal="right" vertical="top"/>
    </xf>
    <xf numFmtId="0" fontId="24" fillId="10" borderId="1" xfId="0" applyFont="1" applyFill="1" applyBorder="1" applyAlignment="1">
      <alignment horizontal="center" vertical="center" wrapText="1"/>
    </xf>
    <xf numFmtId="0" fontId="24" fillId="10" borderId="7" xfId="0" applyFont="1" applyFill="1" applyBorder="1" applyAlignment="1">
      <alignment horizontal="center" vertical="center" wrapText="1"/>
    </xf>
    <xf numFmtId="0" fontId="24" fillId="10" borderId="2" xfId="0" applyFont="1" applyFill="1" applyBorder="1" applyAlignment="1">
      <alignment horizontal="center" vertical="center" wrapText="1"/>
    </xf>
    <xf numFmtId="0" fontId="24" fillId="10" borderId="8" xfId="0" applyFont="1" applyFill="1" applyBorder="1" applyAlignment="1">
      <alignment horizontal="center" vertical="center" wrapText="1"/>
    </xf>
    <xf numFmtId="0" fontId="25" fillId="10" borderId="34" xfId="0" applyFont="1" applyFill="1" applyBorder="1" applyAlignment="1">
      <alignment horizontal="center" vertical="center" wrapText="1"/>
    </xf>
    <xf numFmtId="0" fontId="25" fillId="10" borderId="38" xfId="0" applyFont="1" applyFill="1" applyBorder="1" applyAlignment="1">
      <alignment horizontal="center" vertical="center" wrapText="1"/>
    </xf>
    <xf numFmtId="2" fontId="24" fillId="10" borderId="35" xfId="0" applyNumberFormat="1" applyFont="1" applyFill="1" applyBorder="1" applyAlignment="1">
      <alignment horizontal="center" vertical="center"/>
    </xf>
    <xf numFmtId="2" fontId="24" fillId="10" borderId="36" xfId="0" applyNumberFormat="1" applyFont="1" applyFill="1" applyBorder="1" applyAlignment="1">
      <alignment horizontal="center" vertical="center"/>
    </xf>
    <xf numFmtId="2" fontId="24" fillId="10" borderId="37" xfId="0" applyNumberFormat="1" applyFont="1" applyFill="1" applyBorder="1" applyAlignment="1">
      <alignment horizontal="center" vertical="center"/>
    </xf>
    <xf numFmtId="0" fontId="16" fillId="0" borderId="0" xfId="0" applyFont="1" applyAlignment="1">
      <alignment horizontal="left" vertical="center" wrapText="1"/>
    </xf>
  </cellXfs>
  <cellStyles count="4">
    <cellStyle name="Comma" xfId="2" builtinId="3"/>
    <cellStyle name="Comma 4" xfId="1"/>
    <cellStyle name="Normal" xfId="0" builtinId="0"/>
    <cellStyle name="Normal 4"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26" Type="http://schemas.openxmlformats.org/officeDocument/2006/relationships/externalLink" Target="externalLinks/externalLink20.xml"/><Relationship Id="rId39" Type="http://schemas.openxmlformats.org/officeDocument/2006/relationships/externalLink" Target="externalLinks/externalLink33.xml"/><Relationship Id="rId21" Type="http://schemas.openxmlformats.org/officeDocument/2006/relationships/externalLink" Target="externalLinks/externalLink15.xml"/><Relationship Id="rId34" Type="http://schemas.openxmlformats.org/officeDocument/2006/relationships/externalLink" Target="externalLinks/externalLink28.xml"/><Relationship Id="rId42" Type="http://schemas.openxmlformats.org/officeDocument/2006/relationships/externalLink" Target="externalLinks/externalLink36.xml"/><Relationship Id="rId47" Type="http://schemas.openxmlformats.org/officeDocument/2006/relationships/externalLink" Target="externalLinks/externalLink41.xml"/><Relationship Id="rId50" Type="http://schemas.openxmlformats.org/officeDocument/2006/relationships/externalLink" Target="externalLinks/externalLink44.xml"/><Relationship Id="rId55" Type="http://schemas.openxmlformats.org/officeDocument/2006/relationships/externalLink" Target="externalLinks/externalLink49.xml"/><Relationship Id="rId63" Type="http://schemas.openxmlformats.org/officeDocument/2006/relationships/externalLink" Target="externalLinks/externalLink57.xml"/><Relationship Id="rId68" Type="http://schemas.openxmlformats.org/officeDocument/2006/relationships/externalLink" Target="externalLinks/externalLink62.xml"/><Relationship Id="rId7" Type="http://schemas.openxmlformats.org/officeDocument/2006/relationships/externalLink" Target="externalLinks/externalLink1.xml"/><Relationship Id="rId71"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0.xml"/><Relationship Id="rId29" Type="http://schemas.openxmlformats.org/officeDocument/2006/relationships/externalLink" Target="externalLinks/externalLink23.xml"/><Relationship Id="rId11" Type="http://schemas.openxmlformats.org/officeDocument/2006/relationships/externalLink" Target="externalLinks/externalLink5.xml"/><Relationship Id="rId24" Type="http://schemas.openxmlformats.org/officeDocument/2006/relationships/externalLink" Target="externalLinks/externalLink18.xml"/><Relationship Id="rId32" Type="http://schemas.openxmlformats.org/officeDocument/2006/relationships/externalLink" Target="externalLinks/externalLink26.xml"/><Relationship Id="rId37" Type="http://schemas.openxmlformats.org/officeDocument/2006/relationships/externalLink" Target="externalLinks/externalLink31.xml"/><Relationship Id="rId40" Type="http://schemas.openxmlformats.org/officeDocument/2006/relationships/externalLink" Target="externalLinks/externalLink34.xml"/><Relationship Id="rId45" Type="http://schemas.openxmlformats.org/officeDocument/2006/relationships/externalLink" Target="externalLinks/externalLink39.xml"/><Relationship Id="rId53" Type="http://schemas.openxmlformats.org/officeDocument/2006/relationships/externalLink" Target="externalLinks/externalLink47.xml"/><Relationship Id="rId58" Type="http://schemas.openxmlformats.org/officeDocument/2006/relationships/externalLink" Target="externalLinks/externalLink52.xml"/><Relationship Id="rId66" Type="http://schemas.openxmlformats.org/officeDocument/2006/relationships/externalLink" Target="externalLinks/externalLink60.xml"/><Relationship Id="rId5" Type="http://schemas.openxmlformats.org/officeDocument/2006/relationships/worksheet" Target="worksheets/sheet5.xml"/><Relationship Id="rId15" Type="http://schemas.openxmlformats.org/officeDocument/2006/relationships/externalLink" Target="externalLinks/externalLink9.xml"/><Relationship Id="rId23" Type="http://schemas.openxmlformats.org/officeDocument/2006/relationships/externalLink" Target="externalLinks/externalLink17.xml"/><Relationship Id="rId28" Type="http://schemas.openxmlformats.org/officeDocument/2006/relationships/externalLink" Target="externalLinks/externalLink22.xml"/><Relationship Id="rId36" Type="http://schemas.openxmlformats.org/officeDocument/2006/relationships/externalLink" Target="externalLinks/externalLink30.xml"/><Relationship Id="rId49" Type="http://schemas.openxmlformats.org/officeDocument/2006/relationships/externalLink" Target="externalLinks/externalLink43.xml"/><Relationship Id="rId57" Type="http://schemas.openxmlformats.org/officeDocument/2006/relationships/externalLink" Target="externalLinks/externalLink51.xml"/><Relationship Id="rId61" Type="http://schemas.openxmlformats.org/officeDocument/2006/relationships/externalLink" Target="externalLinks/externalLink55.xml"/><Relationship Id="rId90" Type="http://www.wps.cn/officeDocument/2020/cellImage" Target="NULL"/><Relationship Id="rId10" Type="http://schemas.openxmlformats.org/officeDocument/2006/relationships/externalLink" Target="externalLinks/externalLink4.xml"/><Relationship Id="rId19" Type="http://schemas.openxmlformats.org/officeDocument/2006/relationships/externalLink" Target="externalLinks/externalLink13.xml"/><Relationship Id="rId31" Type="http://schemas.openxmlformats.org/officeDocument/2006/relationships/externalLink" Target="externalLinks/externalLink25.xml"/><Relationship Id="rId44" Type="http://schemas.openxmlformats.org/officeDocument/2006/relationships/externalLink" Target="externalLinks/externalLink38.xml"/><Relationship Id="rId52" Type="http://schemas.openxmlformats.org/officeDocument/2006/relationships/externalLink" Target="externalLinks/externalLink46.xml"/><Relationship Id="rId60" Type="http://schemas.openxmlformats.org/officeDocument/2006/relationships/externalLink" Target="externalLinks/externalLink54.xml"/><Relationship Id="rId65" Type="http://schemas.openxmlformats.org/officeDocument/2006/relationships/externalLink" Target="externalLinks/externalLink59.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externalLink" Target="externalLinks/externalLink16.xml"/><Relationship Id="rId27" Type="http://schemas.openxmlformats.org/officeDocument/2006/relationships/externalLink" Target="externalLinks/externalLink21.xml"/><Relationship Id="rId30" Type="http://schemas.openxmlformats.org/officeDocument/2006/relationships/externalLink" Target="externalLinks/externalLink24.xml"/><Relationship Id="rId35" Type="http://schemas.openxmlformats.org/officeDocument/2006/relationships/externalLink" Target="externalLinks/externalLink29.xml"/><Relationship Id="rId43" Type="http://schemas.openxmlformats.org/officeDocument/2006/relationships/externalLink" Target="externalLinks/externalLink37.xml"/><Relationship Id="rId48" Type="http://schemas.openxmlformats.org/officeDocument/2006/relationships/externalLink" Target="externalLinks/externalLink42.xml"/><Relationship Id="rId56" Type="http://schemas.openxmlformats.org/officeDocument/2006/relationships/externalLink" Target="externalLinks/externalLink50.xml"/><Relationship Id="rId64" Type="http://schemas.openxmlformats.org/officeDocument/2006/relationships/externalLink" Target="externalLinks/externalLink58.xml"/><Relationship Id="rId69" Type="http://schemas.openxmlformats.org/officeDocument/2006/relationships/theme" Target="theme/theme1.xml"/><Relationship Id="rId8" Type="http://schemas.openxmlformats.org/officeDocument/2006/relationships/externalLink" Target="externalLinks/externalLink2.xml"/><Relationship Id="rId51" Type="http://schemas.openxmlformats.org/officeDocument/2006/relationships/externalLink" Target="externalLinks/externalLink45.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externalLink" Target="externalLinks/externalLink19.xml"/><Relationship Id="rId33" Type="http://schemas.openxmlformats.org/officeDocument/2006/relationships/externalLink" Target="externalLinks/externalLink27.xml"/><Relationship Id="rId38" Type="http://schemas.openxmlformats.org/officeDocument/2006/relationships/externalLink" Target="externalLinks/externalLink32.xml"/><Relationship Id="rId46" Type="http://schemas.openxmlformats.org/officeDocument/2006/relationships/externalLink" Target="externalLinks/externalLink40.xml"/><Relationship Id="rId59" Type="http://schemas.openxmlformats.org/officeDocument/2006/relationships/externalLink" Target="externalLinks/externalLink53.xml"/><Relationship Id="rId67" Type="http://schemas.openxmlformats.org/officeDocument/2006/relationships/externalLink" Target="externalLinks/externalLink61.xml"/><Relationship Id="rId20" Type="http://schemas.openxmlformats.org/officeDocument/2006/relationships/externalLink" Target="externalLinks/externalLink14.xml"/><Relationship Id="rId41" Type="http://schemas.openxmlformats.org/officeDocument/2006/relationships/externalLink" Target="externalLinks/externalLink35.xml"/><Relationship Id="rId54" Type="http://schemas.openxmlformats.org/officeDocument/2006/relationships/externalLink" Target="externalLinks/externalLink48.xml"/><Relationship Id="rId62" Type="http://schemas.openxmlformats.org/officeDocument/2006/relationships/externalLink" Target="externalLinks/externalLink56.xml"/><Relationship Id="rId7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406548B8\Type-B-%2520Type%2520-1%25205BHK.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J://LON/QS/QS11228/COST/OPCOS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J://Lee/CM/PROJ/TIC/Alex%20Hargreaves/13.08.09/Meeting%20in%20London/New%20Template%20WIP/Example/New%20Template%20WIP/cashflow%20TEST%20Ver%2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Users/vivekmishra/AppData/Local/Microsoft/Windows/Temporary%20Internet%20Files/Content.Outlook/GC4DQ2ZG/Users/anandhavelia/Downloads/meerut/6.1%20Abstract%20of%20Cos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J://Users/PShinde.GPL.000/AppData/Local/Microsoft/Windows/Temporary%20Internet%20Files/Content.Outlook/FQ5BH3JQ/SAHARA-CITY-HOMES/GWALIOR/OTH-AMEN/BLOCK%20ESTIMATE/MAS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J://sachin/BOQ/DOCUME~1/Ravi/LOCALS~1/Temp/notes6030C8/BookingForm%20jc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Users/vivekmishra/AppData/Local/Microsoft/Windows/Temporary%20Internet%20Files/Content.Outlook/GC4DQ2ZG/D/Ashish%20Desktop/Cost_Estimate%20Sihora-Majhgawa-Silondi%20Road/AOC-%20Sihora.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49708EA\T1%2520-2BHK%2520tentative%2520Budget.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Users/vivekmishra/AppData/Local/Microsoft/Windows/Temporary%20Internet%20Files/Content.Outlook/GC4DQ2ZG/Users/anandhavelia/Downloads/Moss3/d/WINDOWS/DESKTOP/All_NCB_Ph2/All_NCB_Tr.III/Documents/M5/BOQ_M5.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1\DESIGN\Infra\Geotech\Crep\Soil-inv\O1097\DJB-0509\Spt-BH.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KNOWLEDGE-PARK-CHANDIGRH-AHC/BLOCK%20EST/BLOCK%20A.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vijaykmishra\Desktop\Desktop%2520Files\Omaxe%2520Residency-II%2520Steel%2520M.B..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Users/anandhavelia/Downloads/THEME9/G/WINDOWS/Desktop/Complete%20Data%20for%20DPR/PRIORITY%20ROADS/BADAMALAHRA/Belda/Complete%20Data%20for%20DPR/Tests/Badamalahra/Bhelda/bhelda%20300m.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FAD6B1C\GOA_ARPT_SUBSTNDG_JUSTIFIED%2520EST_160709(final).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Users/jasbir/AppData/Local/Microsoft/Windows/Temporary%20Internet%20Files/Content.Outlook/BYACTU3D/Aluminium%20DW%20Sample%20Flat%20R-II.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2CA9269B\96"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RA%2520BILLS\Verified%2520R.A.Bill%2520MCC\12th%2520RA%2520Bill%2520Modern%2520(Billing)\12th%2520RA%2520Bill%2520%2520BBS\Waheed\Bar%2520Bending%2520Schedule\Backup%2520of%2520Schedule%2520Type%25203%2520Ed-3.xlk"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OMAXE%2520RESIDENCY%2520-%25202\BOQ%2520-%2520MB%2520-%2520REVISE\TOWERWISE%2520QTY\Reinforcement\T12%2520(reinforcement)%2520-%2520(3BHK%2520SERV).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Users\PC\AppData\Roaming\Microsoft\Excel\NIRALA%2520HARYANA\AAAA---NIRALA%2520HARYANA\Users\NAVEEN%2520SHARMA\AppData\Roaming\Microsoft\Excel\IIIT-D\Abstract%2520Master.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Users/anandhavelia/Downloads/Server/g/WINDOWS/Desktop/Complete%20Data%20for%20DPR/PRIORITY%20ROADS/BADAMALAHRA/Belda/Ghuwara-%20Indora%20Road%20to%20Bhelda%20Village_DPR_21-11-04.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Users\varindersuman\AppData\Local\Microsoft\Windows\Temporary%2520Internet%2520Files\Content.Outlook\P9E5U85K\Omaxe%2520Residency-II%2520Steel%2520M.B..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J://D/My%20Documents/Excel/Godrej/Sector%20-79/Measurement%20Template%20R3.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Basant\projects\PROJECTS\Projects%2520A%2520-%2520G\DMRC%2520Headquarters\DMRC%2520TENDER%2520DOCU%2520SAMPLE\RATE%2520ANALYSIS%2520HYDRAULIC%252017-03-2004.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LONSRV01\Data\DOCUME~1\wanwai\LOCALS~1\Temp\C.Lotus.Notes.Data\Financial%2520Report%25205.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E://Neyo/Standard%20Documents/Time%20Sheet%20-%202016%20NEYO%20Template.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E://GAJENDRA%20(LATEST%20DRGS.%20&amp;%20MB.)/THE%20PALACE/REINFORCEMENT%20WORK/M.B.%20(Reinf.%20Column%20NTA)%20The%20Palace.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J://Users/PShinde.GPL.000/AppData/Local/Microsoft/Windows/Temporary%20Internet%20Files/Content.Outlook/FQ5BH3JQ/AGRA-TAYAL-PGP/MEASUREMENT%20SHEET/BOQ%20WITH%20Meas.%20-%20FINAL%20-%2024.11.2007.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Corporate%2520Park\20th%2520RA\Users\abc\AppData\Local\Temp\Rar$DIa0.850\Cost%2520to%2520Completion\~CTC%252001.10.1999\Gateway%2520Tower-%2520Data%2520for%2520CTC%25201.10.99.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J://f/anvita/anvita/Assignments-KHK/GPL%20Serenity%20-%20Tender-%20080812/R5%20-%20Addendum%203/Addendum-3%20Tender-Complete.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E://Users/vivekmishra/AppData/Local/Microsoft/Windows/Temporary%20Internet%20Files/Content.Outlook/GC4DQ2ZG/Documents%20and%20Settings/parshuram.mandal/Desktop/Qty%20BU_Bid%20Doc%20Final_R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J://Users/PShinde.GPL.000/AppData/Local/Microsoft/Windows/Temporary%20Internet%20Files/Content.Outlook/FQ5BH3JQ/DOCUME~1/JJS~1.PUN/LOCALS~1/Temp/notesC9812B/MIS-March07%20Pune%20unaudited.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Users\PriyankBaranwal\Downloads\DLA%2520Standard%2520Cost%2520Report1"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J://f/anvita/anvita/Assignments-KHK/GPL%20Serenity%20-%20Tender-%20080812/R4/submission-01-02-2013/Addendum-2-BOQ-Civil-Cost%20Plus.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J://Pentahouse/B.O.Q%2004-05-07.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C:\Volumes\Macintosh%2520HD%25202\D%2520DRIVE\DRIVE\keshav\SCHOOL%2520IN%2520GURGAON\DOCUMENTS\PLUMBING%2520&amp;%2520FIRE%2520FIGHTING\Himanshu\SHERATON@CHANDIGARH\Mamta\NCPA\DG\GOA_ARPT_SUBSTNDG_EST_090609(final).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E://GAJENDRA%20SINGH/The%20Palace%20(Heights-II)/PRW%20&amp;%20VENDOR%20BILL/Year%202017/Dec.-17/New%20folder/AYUSH_CONSTRUCTION_2ND_RA_DEC.-17.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Gis\current\Morgan%2520Stanley\Project%2520Budget\030625_GKC%2520Bluebook%2520(AC).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Volumes\Macintosh%2520HD%25202\D%2520DRIVE\DRIVE\keshav\SCHOOL%2520IN%2520GURGAON\DOCUMENTS\PLUMBING%2520&amp;%2520FIRE%2520FIGHTING\Himanshu\SHERATON@CHANDIGARH\Documents%2520and%2520Settings\mamta.SPECTRAL\Desktop\GOA_ARPT_ELECT_INTERNAL_EST.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A://KGT/YR98-99/DPR_9697/PLAN169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J://Users/PShinde.GPL.000/AppData/Local/Microsoft/Windows/Temporary%20Internet%20Files/Content.Outlook/FQ5BH3JQ/GAUHATI-PROJECT/Measurments/NRL-BOQ-%20ESTIMATE-17.01.08-Final.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J://Mum/1000%20Projects/CM/Live%20Projects/MU%2010061%20-%20DLF%20WEH%20Begur/1100%20-%20Drawings/Measure/A-structure%20201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E://Users/vivekmishra/AppData/Local/Microsoft/Windows/Temporary%20Internet%20Files/Content.Outlook/GC4DQ2ZG/Users/anandhavelia/Downloads/Rock/mprdc%20(d)/Analysis%20of%20rates%20for%20Rural%20Roads/ARRR-ver-1104.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10.40.21.13\Users\rudrasingh\AppData\Local\Microsoft\Windows\Temporary%2520Internet%2520Files\Content.Outlook\WIH32M5M\Omaxe%2520Residency-II%2520Steel%2520M.B..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Z://Users/Ramesh%20Verma/AppData/Roaming/Microsoft/Excel/Godrej%20Housing/Godrej%20Housing%20Sector%2088A,Gurgaon/RA.Bill/RA%20BILL/RA-10th%20submitted/SAKAL%20CHARITY/Comaparative%20statement/Comparative-3-05-04.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E://Users/vivekmishra/AppData/Local/Microsoft/Windows/Temporary%20Internet%20Files/Content.Outlook/GC4DQ2ZG/Users/anandhavelia/Downloads/Moss3/d/WINDOWS/DESKTOP/All_NCB_Ph2/All_NCB_Tr.III/Documents/M7/BOQ_M7.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K://Backup/T/C/T&amp;T1162/F/Lee/Users/Mccafmik/Usr/Home/Keep/Cdrom/Model_A/Model_A1/A1-mod-w.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Mayflower1\Shared%2520Folder\Documents%2520and%2520Settings\kurian\Local%2520Settings\Temp\Labor%2520bills%252019.08.06.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E://JITENDRA%20GUPTA%20SIR%20COMPUTER%20DATA/jasbir/new%20requirments/DOOR%20REQ.%20R-II%20(3.25X1.5).xlsx"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E://Users/vivekmishra/AppData/Local/Microsoft/Windows/Temporary%20Internet%20Files/Content.Outlook/GC4DQ2ZG/Users/anandhavelia/Downloads/Moss3/d/WINDOWS/DESKTOP/All_NCB_Ph2/All_NCB_Tr.III/Documents/M5/BOQ_M26.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Sailesh\C\sp_RO\Banglore\barc_kalpakkam\Final_appd_PSE.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LONSRV01\Data\LON\QS\I46001\REPORT\COST\CASHFL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Edrcserver1\design\user\Cement\KVPgroup\E-Kvp\KVP-Engrs\PPRM-Housing\Namakkal%2520Housing\School\T1037%2520Entire%2520School.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C:\Users\ahmadghazi\Downloads\BOQ%2520of%2520RWH%2520System%2520(Civil)%2520Pocket-1%2520Hi-Tech%2520City%2520(3).xlsx"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Acil1\c\WINDOWS\Desktop\2nd%2520%2520%2520ra%2520%2520pra-\sang1Retaingwall.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10E95C7C\Copy%2520of%2520labour%2520expenses2.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CEDSRV01\Data\LEE\QS\LCC\MODEL%252025.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npoepc0705sevel\SEVVEL\JEYANTHI\SOBHA%2520MAYFLOWER%252030.11.06\Labor%2520bills%252022.11.06.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Acil1\c\WINDOWS\Desktop\columnsan\sang1Retaingwall.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Subhash/Shahab%20godrej%2020-2-2019/Godrej/Input/In/09-01-2018%20Information/Data_OASIS/Data_OASIS/Bills_OASIS/SKYLINE_Civil_T1,%203B,%203C_RA%2033rd/T1,T2,T3B,T3C%20BEAM%20AND%20SLAB.xlsx"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jm\Tender\Emer\emer_jonson\05.08.12_Construction%2520Stage\Price%2520Comp%2520Nego\Structures\Rolly\nikkoshi\windows\TEMP\KOYO&#25552;&#20986;&#35211;&#31309;&#26360;%2520.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sevvel\SEVVEL\prelimianiries\Preliminaries%252027-6-0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rea"/>
      <sheetName val="Type-B-1.5 BHK budget"/>
      <sheetName val="Annexture 1 consultant"/>
      <sheetName val="Annexure 2 Civil Work "/>
      <sheetName val="Annexure 3 Finishing Work "/>
      <sheetName val="Annexture 4 services"/>
      <sheetName val="services working"/>
      <sheetName val="Electrical"/>
      <sheetName val="Plumbing quantity."/>
      <sheetName val="CP Fittings 2 BHK "/>
      <sheetName val="FA PA"/>
      <sheetName val="Material List "/>
      <sheetName val="Labour Rate "/>
      <sheetName val="(M+L)"/>
      <sheetName val="Summary"/>
      <sheetName val="Sum-Flats"/>
      <sheetName val="Flooring,DADO"/>
      <sheetName val="Carpentry work"/>
      <sheetName val="B.W"/>
      <sheetName val="Single coat plas"/>
      <sheetName val="External plaster"/>
      <sheetName val="Water proof"/>
      <sheetName val="Fabrication "/>
      <sheetName val="Skirting"/>
      <sheetName val="Gypsum"/>
      <sheetName val="Alumi.win"/>
      <sheetName val="Sills"/>
      <sheetName val="Putty"/>
      <sheetName val="False ceiling"/>
      <sheetName val="Guidelines"/>
      <sheetName val="Autom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1"/>
      <sheetName val="Scope Notes"/>
      <sheetName val="Summary"/>
      <sheetName val="NPV"/>
      <sheetName val="Summary Data"/>
    </sheetNames>
    <sheetDataSet>
      <sheetData sheetId="0"/>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1"/>
      <sheetName val="Sheet1"/>
      <sheetName val="1"/>
      <sheetName val="AH Cash Flow"/>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OC"/>
      <sheetName val="AOC (2)"/>
      <sheetName val="AOC (3)"/>
      <sheetName val="01"/>
      <sheetName val="02"/>
      <sheetName val="03"/>
      <sheetName val="04"/>
      <sheetName val="05"/>
      <sheetName val="06"/>
      <sheetName val="07"/>
      <sheetName val="08"/>
      <sheetName val="09"/>
      <sheetName val="10"/>
      <sheetName val="11"/>
      <sheetName val="12"/>
      <sheetName val="AOC 05.06.10"/>
      <sheetName val="Final Abstract"/>
      <sheetName val="NAME CODE"/>
    </sheetNames>
    <sheetDataSet>
      <sheetData sheetId="0"/>
      <sheetData sheetId="1"/>
      <sheetData sheetId="2"/>
      <sheetData sheetId="3">
        <row r="43">
          <cell r="H43">
            <v>9239150.1604525</v>
          </cell>
        </row>
      </sheetData>
      <sheetData sheetId="4">
        <row r="24">
          <cell r="H24">
            <v>263332989.72200003</v>
          </cell>
        </row>
      </sheetData>
      <sheetData sheetId="5">
        <row r="21">
          <cell r="H21">
            <v>411825795.83928001</v>
          </cell>
        </row>
      </sheetData>
      <sheetData sheetId="6">
        <row r="33">
          <cell r="H33">
            <v>976019075.6960001</v>
          </cell>
        </row>
      </sheetData>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_RATE ANALYSIS"/>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eadings"/>
      <sheetName val="INDIGINEOUS ITEMS "/>
      <sheetName val="BOQ"/>
      <sheetName val="Booking Form"/>
      <sheetName val="Cal"/>
      <sheetName val="Data"/>
      <sheetName val="Voucher"/>
      <sheetName val="Site Dev BOQ"/>
      <sheetName val="loadcal"/>
      <sheetName val="Material "/>
      <sheetName val="Intro"/>
      <sheetName val="Labour &amp; Plant"/>
      <sheetName val="Balustrade"/>
      <sheetName val="Detail"/>
      <sheetName val="EST-CIVIL"/>
      <sheetName val="CFForecast detail"/>
      <sheetName val="Basement Budget"/>
      <sheetName val="analysis"/>
      <sheetName val="fco"/>
      <sheetName val="Erection grider"/>
      <sheetName val="LOCAL RATES"/>
      <sheetName val="concrete"/>
      <sheetName val="Break up Sheet"/>
      <sheetName val="HEAD"/>
      <sheetName val="재1"/>
      <sheetName val="Report"/>
      <sheetName val="Design"/>
      <sheetName val="beam-reinft"/>
      <sheetName val="Outgoing"/>
      <sheetName val="Incoming"/>
      <sheetName val="RA"/>
      <sheetName val="RA-markate"/>
      <sheetName val="GBW"/>
      <sheetName val="Set"/>
      <sheetName val="Macro1"/>
      <sheetName val="MASTER_RATE ANALYSIS"/>
      <sheetName val="horizontal"/>
      <sheetName val="Staircase-All Floors"/>
      <sheetName val="IO LIST"/>
      <sheetName val="INPUT SHEET"/>
      <sheetName val="Extra Item"/>
      <sheetName val="RES-PLANNING"/>
      <sheetName val="S &amp; A"/>
      <sheetName val="Sheet1"/>
      <sheetName val="Fin. Assumpt. - Sensitivities"/>
      <sheetName val="DSLP"/>
      <sheetName val="PHE"/>
      <sheetName val="Abstract Sheet"/>
      <sheetName val="Material List "/>
      <sheetName val="RCC,Ret. Wall"/>
      <sheetName val="Base data Security Procedures"/>
      <sheetName val="girder"/>
      <sheetName val="3"/>
      <sheetName val="Rate Analysis"/>
      <sheetName val="PLANT"/>
      <sheetName val="INSTRUMENT"/>
      <sheetName val="SpecITEM"/>
      <sheetName val="LINE_Sc"/>
      <sheetName val="MOTOR"/>
      <sheetName val="FY00Budget info"/>
      <sheetName val="pivot"/>
      <sheetName val="GF Columns"/>
      <sheetName val="월선수금"/>
      <sheetName val="Timesheet"/>
      <sheetName val="INDEX"/>
      <sheetName val="AREAS"/>
      <sheetName val="BLOCK-A (MEA.SHEET)"/>
      <sheetName val="PPA Summary"/>
      <sheetName val="sq ftg detail"/>
      <sheetName val="lookup"/>
      <sheetName val="電気設備表"/>
      <sheetName val="HPL"/>
      <sheetName val="Msht 5F"/>
      <sheetName val="INDIGINEOUS_ITEMS_"/>
      <sheetName val="Booking_Form"/>
      <sheetName val="Site_Dev_BOQ"/>
      <sheetName val="Material_"/>
      <sheetName val="Labour_&amp;_Plant"/>
      <sheetName val="CFForecast_detail"/>
      <sheetName val="Break_up_Sheet"/>
      <sheetName val="Basement_Budget"/>
      <sheetName val="Erection_grider"/>
      <sheetName val="LOCAL_RATES"/>
      <sheetName val="Staircase-All_Floors"/>
      <sheetName val="IO_LIST"/>
      <sheetName val="INPUT_SHEET"/>
      <sheetName val="Extra_Item"/>
      <sheetName val="Abstract_Sheet"/>
      <sheetName val="MASTER_RATE_ANALYSIS"/>
      <sheetName val="Site_Dev_BOQ1"/>
      <sheetName val="INDIGINEOUS_ITEMS_1"/>
      <sheetName val="MASTER_RATE_ANALYSIS1"/>
      <sheetName val="Booking_Form1"/>
      <sheetName val="Material_1"/>
      <sheetName val="Labour_&amp;_Plant1"/>
      <sheetName val="CFForecast_detail1"/>
      <sheetName val="Basement_Budget1"/>
      <sheetName val="Erection_grider1"/>
      <sheetName val="LOCAL_RATES1"/>
      <sheetName val="Break_up_Sheet1"/>
      <sheetName val="Staircase-All_Floors1"/>
      <sheetName val="IO_LIST1"/>
      <sheetName val="INPUT_SHEET1"/>
      <sheetName val="Extra_Item1"/>
      <sheetName val="Abstract_Sheet1"/>
      <sheetName val="PRECAST lightconc-II"/>
      <sheetName val="XREF"/>
      <sheetName val="RA_markate"/>
      <sheetName val="Ass4"/>
      <sheetName val="DCF"/>
      <sheetName val="Key Ass"/>
      <sheetName val="PRELIM5"/>
      <sheetName val="SOR"/>
      <sheetName val="CASHFLOWS"/>
      <sheetName val="Sch. Areas"/>
      <sheetName val="2.0 Floor Area Summary"/>
      <sheetName val=" B1"/>
      <sheetName val="jobhist"/>
      <sheetName val="Fill this out first..."/>
      <sheetName val="BookingForm jcs"/>
      <sheetName val="Code"/>
      <sheetName val="electr_ work CA "/>
      <sheetName val="meas-wp"/>
      <sheetName val="SPT vs PHI"/>
    </sheetNames>
    <sheetDataSet>
      <sheetData sheetId="0">
        <row r="2">
          <cell r="A2" t="str">
            <v>FormTitle</v>
          </cell>
          <cell r="B2" t="str">
            <v>Booking Form</v>
          </cell>
          <cell r="C2" t="str">
            <v>Registro de Proyecto</v>
          </cell>
          <cell r="D2" t="str">
            <v>Booking Form</v>
          </cell>
          <cell r="E2" t="str">
            <v>Booking Form</v>
          </cell>
          <cell r="F2" t="str">
            <v>Booking Form</v>
          </cell>
          <cell r="G2" t="str">
            <v>Booking Form</v>
          </cell>
          <cell r="H2" t="str">
            <v>Booking Form</v>
          </cell>
          <cell r="I2" t="str">
            <v>Booking Form</v>
          </cell>
          <cell r="J2" t="str">
            <v>Booking Form</v>
          </cell>
          <cell r="K2" t="str">
            <v>Booking Form</v>
          </cell>
        </row>
        <row r="3">
          <cell r="A3" t="str">
            <v>LoadData</v>
          </cell>
          <cell r="B3" t="str">
            <v>Load SMIS Data</v>
          </cell>
          <cell r="C3" t="str">
            <v>Cargar datos de SMIS</v>
          </cell>
          <cell r="D3" t="str">
            <v>Load SMIS Data</v>
          </cell>
          <cell r="E3" t="str">
            <v>Load SMIS Data</v>
          </cell>
          <cell r="F3" t="str">
            <v>Load SMIS Data</v>
          </cell>
          <cell r="G3" t="str">
            <v>Load SMIS Data</v>
          </cell>
          <cell r="H3" t="str">
            <v>Load SMIS Data</v>
          </cell>
          <cell r="I3" t="str">
            <v>Load SMIS Data</v>
          </cell>
          <cell r="J3" t="str">
            <v>Load SMIS Data</v>
          </cell>
          <cell r="K3" t="str">
            <v>Load SMIS Data</v>
          </cell>
        </row>
        <row r="5">
          <cell r="A5" t="str">
            <v>ProjInfo</v>
          </cell>
          <cell r="B5" t="str">
            <v>Project Information</v>
          </cell>
          <cell r="C5" t="str">
            <v>Información del Proyecto</v>
          </cell>
          <cell r="D5" t="str">
            <v>Project Information</v>
          </cell>
          <cell r="E5" t="str">
            <v>Project Information</v>
          </cell>
          <cell r="F5" t="str">
            <v>Project Information</v>
          </cell>
          <cell r="G5" t="str">
            <v>Project Information</v>
          </cell>
          <cell r="H5" t="str">
            <v>Project Information</v>
          </cell>
          <cell r="I5" t="str">
            <v>Project Information</v>
          </cell>
          <cell r="J5" t="str">
            <v>Project Information</v>
          </cell>
          <cell r="K5" t="str">
            <v>Project Information</v>
          </cell>
        </row>
        <row r="6">
          <cell r="A6" t="str">
            <v>ProjName</v>
          </cell>
          <cell r="B6" t="str">
            <v>Project Name</v>
          </cell>
          <cell r="C6" t="str">
            <v>Nombre del Proyecto</v>
          </cell>
          <cell r="D6" t="str">
            <v>Project Name</v>
          </cell>
          <cell r="E6" t="str">
            <v>Project Name</v>
          </cell>
          <cell r="F6" t="str">
            <v>Project Name</v>
          </cell>
          <cell r="G6" t="str">
            <v>Project Name</v>
          </cell>
          <cell r="H6" t="str">
            <v>Project Name</v>
          </cell>
          <cell r="I6" t="str">
            <v>Project Name</v>
          </cell>
          <cell r="J6" t="str">
            <v>Project Name</v>
          </cell>
          <cell r="K6" t="str">
            <v>Project Name</v>
          </cell>
        </row>
        <row r="7">
          <cell r="A7" t="str">
            <v>ProjNum</v>
          </cell>
          <cell r="B7" t="str">
            <v>Project Number</v>
          </cell>
          <cell r="C7" t="str">
            <v>Número del Proyecto</v>
          </cell>
          <cell r="D7" t="str">
            <v>Project Number</v>
          </cell>
          <cell r="E7" t="str">
            <v>Project Number</v>
          </cell>
          <cell r="F7" t="str">
            <v>Project Number</v>
          </cell>
          <cell r="G7" t="str">
            <v>Project Number</v>
          </cell>
          <cell r="H7" t="str">
            <v>Project Number</v>
          </cell>
          <cell r="I7" t="str">
            <v>Project Number</v>
          </cell>
          <cell r="J7" t="str">
            <v>Project Number</v>
          </cell>
          <cell r="K7" t="str">
            <v>Project Number</v>
          </cell>
        </row>
        <row r="8">
          <cell r="A8" t="str">
            <v>CONum</v>
          </cell>
          <cell r="B8" t="str">
            <v>Change Order Number</v>
          </cell>
          <cell r="C8" t="str">
            <v>Número de orden de cambio</v>
          </cell>
          <cell r="D8" t="str">
            <v>Extension</v>
          </cell>
          <cell r="E8" t="str">
            <v>Extension</v>
          </cell>
          <cell r="F8" t="str">
            <v>Extension</v>
          </cell>
          <cell r="G8" t="str">
            <v>Variation Order  Number</v>
          </cell>
          <cell r="H8" t="str">
            <v>Variation Order  Number</v>
          </cell>
          <cell r="I8" t="str">
            <v>Extension</v>
          </cell>
          <cell r="J8" t="str">
            <v>Variation Order  Number</v>
          </cell>
          <cell r="K8" t="str">
            <v>Variation Order Number</v>
          </cell>
        </row>
        <row r="9">
          <cell r="A9" t="str">
            <v>StartDate</v>
          </cell>
          <cell r="B9" t="str">
            <v>Start Date</v>
          </cell>
          <cell r="C9" t="str">
            <v>Fecha de Inicio</v>
          </cell>
          <cell r="D9" t="str">
            <v>Start Date</v>
          </cell>
          <cell r="E9" t="str">
            <v>Start Date</v>
          </cell>
          <cell r="F9" t="str">
            <v>Start Date</v>
          </cell>
          <cell r="G9" t="str">
            <v>Start Date</v>
          </cell>
          <cell r="H9" t="str">
            <v>Start Date</v>
          </cell>
          <cell r="I9" t="str">
            <v>Start Date</v>
          </cell>
          <cell r="J9" t="str">
            <v>Start Date</v>
          </cell>
          <cell r="K9" t="str">
            <v>Start Date</v>
          </cell>
        </row>
        <row r="10">
          <cell r="A10" t="str">
            <v>CompDate</v>
          </cell>
          <cell r="B10" t="str">
            <v>Complete Date</v>
          </cell>
          <cell r="C10" t="str">
            <v>Fecha de Término</v>
          </cell>
          <cell r="D10" t="str">
            <v>Complete Date</v>
          </cell>
          <cell r="E10" t="str">
            <v>Complete Date</v>
          </cell>
          <cell r="F10" t="str">
            <v>Complete Date</v>
          </cell>
          <cell r="G10" t="str">
            <v>Complete Date</v>
          </cell>
          <cell r="H10" t="str">
            <v>Complete Date</v>
          </cell>
          <cell r="I10" t="str">
            <v>Complete Date</v>
          </cell>
          <cell r="J10" t="str">
            <v>Complete Date</v>
          </cell>
          <cell r="K10" t="str">
            <v>Complete Date</v>
          </cell>
        </row>
        <row r="11">
          <cell r="A11" t="str">
            <v>BusType</v>
          </cell>
          <cell r="B11" t="str">
            <v>Business Type</v>
          </cell>
          <cell r="C11" t="str">
            <v>Tipo de Negocio</v>
          </cell>
          <cell r="D11" t="str">
            <v>Business Type</v>
          </cell>
          <cell r="E11" t="str">
            <v>Business Type</v>
          </cell>
          <cell r="F11" t="str">
            <v>Business Type</v>
          </cell>
          <cell r="G11" t="str">
            <v>Business Type</v>
          </cell>
          <cell r="H11" t="str">
            <v>Business Type</v>
          </cell>
          <cell r="I11" t="str">
            <v>Business Type</v>
          </cell>
          <cell r="J11" t="str">
            <v>Business Type</v>
          </cell>
          <cell r="K11" t="str">
            <v>Business Type</v>
          </cell>
        </row>
        <row r="12">
          <cell r="A12" t="str">
            <v>MarketType</v>
          </cell>
          <cell r="B12" t="str">
            <v>Market Type</v>
          </cell>
          <cell r="C12" t="str">
            <v>Tipo de Mercado</v>
          </cell>
          <cell r="D12" t="str">
            <v>Market Type</v>
          </cell>
          <cell r="E12" t="str">
            <v>Market Type</v>
          </cell>
          <cell r="F12" t="str">
            <v>Market Type</v>
          </cell>
          <cell r="G12" t="str">
            <v>Market Type</v>
          </cell>
          <cell r="H12" t="str">
            <v>Market Type</v>
          </cell>
          <cell r="I12" t="str">
            <v>Market Type</v>
          </cell>
          <cell r="J12" t="str">
            <v>Market Type</v>
          </cell>
          <cell r="K12" t="str">
            <v>Market Type</v>
          </cell>
        </row>
        <row r="13">
          <cell r="A13" t="str">
            <v>BidClass</v>
          </cell>
          <cell r="B13" t="str">
            <v>Bid Class</v>
          </cell>
          <cell r="C13" t="str">
            <v>Tipo de Oferta</v>
          </cell>
          <cell r="D13" t="str">
            <v>Bid Class</v>
          </cell>
          <cell r="E13" t="str">
            <v>Bid Class</v>
          </cell>
          <cell r="F13" t="str">
            <v>Bid Class</v>
          </cell>
          <cell r="G13" t="str">
            <v>Bid Class</v>
          </cell>
          <cell r="H13" t="str">
            <v>Bid Class</v>
          </cell>
          <cell r="I13" t="str">
            <v>Bid Class</v>
          </cell>
          <cell r="J13" t="str">
            <v>Bid Class</v>
          </cell>
          <cell r="K13" t="str">
            <v>Bid Class</v>
          </cell>
        </row>
        <row r="14">
          <cell r="A14" t="str">
            <v>SpecClass</v>
          </cell>
          <cell r="B14" t="str">
            <v>Specification Class</v>
          </cell>
          <cell r="C14" t="str">
            <v>Tipo de Especificación</v>
          </cell>
          <cell r="D14" t="str">
            <v>Specification Class</v>
          </cell>
          <cell r="E14" t="str">
            <v>Specification Class</v>
          </cell>
          <cell r="F14" t="str">
            <v>Specification Class</v>
          </cell>
          <cell r="G14" t="str">
            <v>Specification Class</v>
          </cell>
          <cell r="H14" t="str">
            <v>Specification Class</v>
          </cell>
          <cell r="I14" t="str">
            <v>Specification Class</v>
          </cell>
          <cell r="J14" t="str">
            <v>Specification Class</v>
          </cell>
          <cell r="K14" t="str">
            <v>Specification Class</v>
          </cell>
        </row>
        <row r="15">
          <cell r="A15" t="str">
            <v>CorpClient</v>
          </cell>
          <cell r="B15" t="str">
            <v>Corporate Client</v>
          </cell>
          <cell r="C15" t="str">
            <v>Cliente Corporativo</v>
          </cell>
          <cell r="D15" t="str">
            <v>Corporate Client</v>
          </cell>
          <cell r="E15" t="str">
            <v>Corporate Client</v>
          </cell>
          <cell r="F15" t="str">
            <v>Corporate Client</v>
          </cell>
          <cell r="G15" t="str">
            <v>Corporate Client</v>
          </cell>
          <cell r="H15" t="str">
            <v>Corporate Client</v>
          </cell>
          <cell r="I15" t="str">
            <v>Corporate Client</v>
          </cell>
          <cell r="J15" t="str">
            <v>Corporate Client</v>
          </cell>
          <cell r="K15" t="str">
            <v>Corporate Client</v>
          </cell>
        </row>
        <row r="16">
          <cell r="A16" t="str">
            <v>TierCode</v>
          </cell>
          <cell r="B16" t="str">
            <v>Tier Code</v>
          </cell>
          <cell r="C16" t="str">
            <v>Relacion con cliente final</v>
          </cell>
          <cell r="D16" t="str">
            <v>Contract Tier Code</v>
          </cell>
          <cell r="E16" t="str">
            <v>Contract Tier Code</v>
          </cell>
          <cell r="F16" t="str">
            <v>Contract Tier Code</v>
          </cell>
          <cell r="G16" t="str">
            <v>Contract Tier Code</v>
          </cell>
          <cell r="H16" t="str">
            <v>Contract Tier Code</v>
          </cell>
          <cell r="I16" t="str">
            <v>Contract Tier Code</v>
          </cell>
          <cell r="J16" t="str">
            <v>Contract Tier Code</v>
          </cell>
          <cell r="K16" t="str">
            <v>Contract Tier Code</v>
          </cell>
        </row>
        <row r="17">
          <cell r="A17" t="str">
            <v>SalesMgr</v>
          </cell>
          <cell r="B17" t="str">
            <v>Sales Manager</v>
          </cell>
          <cell r="C17" t="str">
            <v>Gerente de Ventas</v>
          </cell>
          <cell r="D17" t="str">
            <v>Sales Manager</v>
          </cell>
          <cell r="E17" t="str">
            <v>Sales Manager</v>
          </cell>
          <cell r="F17" t="str">
            <v>Sales Manager</v>
          </cell>
          <cell r="G17" t="str">
            <v>Sales Manager</v>
          </cell>
          <cell r="H17" t="str">
            <v>Sales Manager</v>
          </cell>
          <cell r="I17" t="str">
            <v>Sales Manager</v>
          </cell>
          <cell r="J17" t="str">
            <v>Sales Manager</v>
          </cell>
          <cell r="K17" t="str">
            <v>Sales Manager</v>
          </cell>
        </row>
        <row r="18">
          <cell r="A18" t="str">
            <v>SmallProj</v>
          </cell>
          <cell r="B18" t="str">
            <v>Small Project</v>
          </cell>
          <cell r="C18" t="str">
            <v>Proyecto Pequeño</v>
          </cell>
          <cell r="D18" t="str">
            <v>Small Project</v>
          </cell>
          <cell r="E18" t="str">
            <v>Small Project</v>
          </cell>
          <cell r="F18" t="str">
            <v>Small Project</v>
          </cell>
          <cell r="G18" t="str">
            <v>Small Project</v>
          </cell>
          <cell r="H18" t="str">
            <v>Small Project</v>
          </cell>
          <cell r="I18" t="str">
            <v>Small Project</v>
          </cell>
          <cell r="J18" t="str">
            <v>Small Project</v>
          </cell>
          <cell r="K18" t="str">
            <v>Small Project</v>
          </cell>
        </row>
        <row r="19">
          <cell r="A19" t="str">
            <v>OwnAcctNum</v>
          </cell>
          <cell r="B19" t="str">
            <v>Owner Account Number</v>
          </cell>
          <cell r="C19" t="str">
            <v>Número de Cuenta de Cliente Directo / Cte. Principal</v>
          </cell>
          <cell r="D19" t="str">
            <v>Owner Account # (if available)</v>
          </cell>
          <cell r="E19" t="str">
            <v>Owner Account # (if available)</v>
          </cell>
          <cell r="F19" t="str">
            <v>Owner Account # (if available)</v>
          </cell>
          <cell r="G19" t="str">
            <v>Owner Account # (not available)</v>
          </cell>
          <cell r="H19" t="str">
            <v>Owner Account # (not available)</v>
          </cell>
          <cell r="I19" t="str">
            <v>Owner Account # (if available)</v>
          </cell>
          <cell r="J19" t="str">
            <v>Owner Account # (not available)</v>
          </cell>
          <cell r="K19" t="str">
            <v>Owner Account # (if available)</v>
          </cell>
        </row>
        <row r="20">
          <cell r="A20" t="str">
            <v>ChangeDate</v>
          </cell>
          <cell r="B20" t="str">
            <v>Last Change Date</v>
          </cell>
          <cell r="C20" t="str">
            <v>Fecha de último cambio</v>
          </cell>
          <cell r="D20" t="str">
            <v>Last Change Date</v>
          </cell>
          <cell r="E20" t="str">
            <v>Last Change Date</v>
          </cell>
          <cell r="F20" t="str">
            <v>Last Change Date</v>
          </cell>
          <cell r="G20" t="str">
            <v>Last Change Date</v>
          </cell>
          <cell r="H20" t="str">
            <v>Last Change Date</v>
          </cell>
          <cell r="I20" t="str">
            <v>Last Change Date</v>
          </cell>
          <cell r="J20" t="str">
            <v>Last Change Date</v>
          </cell>
          <cell r="K20" t="str">
            <v>Last Change Date</v>
          </cell>
        </row>
        <row r="21">
          <cell r="A21" t="str">
            <v>ChangeBy</v>
          </cell>
          <cell r="B21" t="str">
            <v>Last Change By</v>
          </cell>
          <cell r="C21" t="str">
            <v>Último cambio hecho por</v>
          </cell>
          <cell r="D21" t="str">
            <v>Last Change By</v>
          </cell>
          <cell r="E21" t="str">
            <v>Last Change By</v>
          </cell>
          <cell r="F21" t="str">
            <v>Last Change By</v>
          </cell>
          <cell r="G21" t="str">
            <v>Last Change By</v>
          </cell>
          <cell r="H21" t="str">
            <v>Last Change By</v>
          </cell>
          <cell r="I21" t="str">
            <v>Last Change By</v>
          </cell>
          <cell r="J21" t="str">
            <v>Last Change By</v>
          </cell>
          <cell r="K21" t="str">
            <v>Last Change By</v>
          </cell>
        </row>
        <row r="22">
          <cell r="A22" t="str">
            <v>ContAmt</v>
          </cell>
          <cell r="B22" t="str">
            <v>Contract Amount - USD, USD</v>
          </cell>
          <cell r="C22" t="str">
            <v>Monto del Contrato - USD, Pesos</v>
          </cell>
          <cell r="D22" t="str">
            <v>Contract Amount - HK$, USD</v>
          </cell>
          <cell r="E22" t="str">
            <v>Contract Amount - RM$, USD</v>
          </cell>
          <cell r="F22" t="str">
            <v>Contract Amount - SGD, USD</v>
          </cell>
          <cell r="G22" t="str">
            <v>Contract Amount - Rps, USD</v>
          </cell>
          <cell r="H22" t="str">
            <v>Contract Amount - SGD$, USD</v>
          </cell>
          <cell r="I22" t="str">
            <v>Contract Amount - THB$, USD</v>
          </cell>
          <cell r="J22" t="str">
            <v>Contract Amount - AUD, USD</v>
          </cell>
          <cell r="K22" t="str">
            <v>Contract Amount - local currency, USD</v>
          </cell>
        </row>
        <row r="23">
          <cell r="A23" t="str">
            <v>EstCost</v>
          </cell>
          <cell r="B23" t="str">
            <v>Estimated Cost - USD, USD</v>
          </cell>
          <cell r="C23" t="str">
            <v>Costo Estimado - USD, Pesos</v>
          </cell>
          <cell r="D23" t="str">
            <v>Estimated Cost - HK$, USD</v>
          </cell>
          <cell r="E23" t="str">
            <v>Estimated Cost - RM$, USD</v>
          </cell>
          <cell r="F23" t="str">
            <v>Estimated Cost - SGD, USD</v>
          </cell>
          <cell r="G23" t="str">
            <v>Estimated Cost - Rps, USD</v>
          </cell>
          <cell r="H23" t="str">
            <v>Estimated Cost - SGD$, USD</v>
          </cell>
          <cell r="I23" t="str">
            <v>Estimated Cost - THB$, USD</v>
          </cell>
          <cell r="J23" t="str">
            <v>Estimated Cost - AUD, USD</v>
          </cell>
          <cell r="K23" t="str">
            <v>Estimated Cost - local currency, USD</v>
          </cell>
        </row>
        <row r="24">
          <cell r="A24" t="str">
            <v>GMAmount</v>
          </cell>
          <cell r="B24" t="str">
            <v>Gross Margin Amount - USD, USD</v>
          </cell>
          <cell r="C24" t="str">
            <v>Margen Bruto - USD, Pesos</v>
          </cell>
          <cell r="D24" t="str">
            <v>Gross Margin Amount - HK$, USD</v>
          </cell>
          <cell r="E24" t="str">
            <v>Gross Margin Amount - RM$, USD</v>
          </cell>
          <cell r="F24" t="str">
            <v>Gross Margin Amount - SGD, USD</v>
          </cell>
          <cell r="G24" t="str">
            <v>Gross Margin Amount - Rps, USD</v>
          </cell>
          <cell r="H24" t="str">
            <v>Gross Margin Amount - SGD$, USD</v>
          </cell>
          <cell r="I24" t="str">
            <v>Gross Margin Amount - THB$, USD</v>
          </cell>
          <cell r="J24" t="str">
            <v>Gross Margin Amount - AUD, USD</v>
          </cell>
          <cell r="K24" t="str">
            <v>Gross Margin Amount - local currency, USD</v>
          </cell>
        </row>
        <row r="25">
          <cell r="A25" t="str">
            <v>GMPercent</v>
          </cell>
          <cell r="B25" t="str">
            <v>Gross Margin Percent</v>
          </cell>
          <cell r="C25" t="str">
            <v>Porcentaje de Margen Bruto</v>
          </cell>
          <cell r="D25" t="str">
            <v>Gross Margin Percent</v>
          </cell>
          <cell r="E25" t="str">
            <v>Gross Margin Percent</v>
          </cell>
          <cell r="F25" t="str">
            <v>Gross Margin Percent</v>
          </cell>
          <cell r="G25" t="str">
            <v>Gross Margin Percent</v>
          </cell>
          <cell r="H25" t="str">
            <v>Gross Margin Percent</v>
          </cell>
          <cell r="I25" t="str">
            <v>Gross Margin Percent</v>
          </cell>
          <cell r="J25" t="str">
            <v>Gross Margin Percent</v>
          </cell>
          <cell r="K25" t="str">
            <v>Gross Margin Percent</v>
          </cell>
        </row>
        <row r="27">
          <cell r="A27" t="str">
            <v>ProjLocation</v>
          </cell>
          <cell r="B27" t="str">
            <v>Project Location</v>
          </cell>
          <cell r="C27" t="str">
            <v>Ubicación del Proyecto</v>
          </cell>
          <cell r="D27" t="str">
            <v>Project Location</v>
          </cell>
          <cell r="E27" t="str">
            <v>Project Location</v>
          </cell>
          <cell r="F27" t="str">
            <v>Project Location</v>
          </cell>
          <cell r="G27" t="str">
            <v>Project Location</v>
          </cell>
          <cell r="H27" t="str">
            <v>Project Location</v>
          </cell>
          <cell r="I27" t="str">
            <v>Project Location</v>
          </cell>
          <cell r="J27" t="str">
            <v>Project Location</v>
          </cell>
          <cell r="K27" t="str">
            <v>Project Location</v>
          </cell>
        </row>
        <row r="28">
          <cell r="A28" t="str">
            <v>ProjAddress1</v>
          </cell>
          <cell r="B28" t="str">
            <v>Address 1</v>
          </cell>
          <cell r="C28" t="str">
            <v>Dirección 1</v>
          </cell>
          <cell r="D28" t="str">
            <v>Address 1</v>
          </cell>
          <cell r="E28" t="str">
            <v>Address 1</v>
          </cell>
          <cell r="F28" t="str">
            <v>Address 1</v>
          </cell>
          <cell r="G28" t="str">
            <v>Address 1</v>
          </cell>
          <cell r="H28" t="str">
            <v>Address 1</v>
          </cell>
          <cell r="I28" t="str">
            <v>Address 1</v>
          </cell>
          <cell r="J28" t="str">
            <v>Address 1</v>
          </cell>
          <cell r="K28" t="str">
            <v>Address 1</v>
          </cell>
        </row>
        <row r="29">
          <cell r="A29" t="str">
            <v>ProjAddress2</v>
          </cell>
          <cell r="B29" t="str">
            <v>Address 2</v>
          </cell>
          <cell r="C29" t="str">
            <v>Dirección 2</v>
          </cell>
          <cell r="D29" t="str">
            <v>Address 2</v>
          </cell>
          <cell r="E29" t="str">
            <v>Address 2</v>
          </cell>
          <cell r="F29" t="str">
            <v>Address 2</v>
          </cell>
          <cell r="G29" t="str">
            <v>Address 2</v>
          </cell>
          <cell r="H29" t="str">
            <v>Address 2</v>
          </cell>
          <cell r="I29" t="str">
            <v>Address 2</v>
          </cell>
          <cell r="J29" t="str">
            <v>Address 2</v>
          </cell>
          <cell r="K29" t="str">
            <v>Address 2</v>
          </cell>
        </row>
        <row r="30">
          <cell r="A30" t="str">
            <v>ProjCity</v>
          </cell>
          <cell r="B30" t="str">
            <v>City</v>
          </cell>
          <cell r="C30" t="str">
            <v>Ciudad</v>
          </cell>
          <cell r="D30" t="str">
            <v>City</v>
          </cell>
          <cell r="E30" t="str">
            <v>City</v>
          </cell>
          <cell r="F30" t="str">
            <v>City</v>
          </cell>
          <cell r="G30" t="str">
            <v>City</v>
          </cell>
          <cell r="H30" t="str">
            <v>City</v>
          </cell>
          <cell r="I30" t="str">
            <v>City</v>
          </cell>
          <cell r="J30" t="str">
            <v>City</v>
          </cell>
          <cell r="K30" t="str">
            <v>City</v>
          </cell>
        </row>
        <row r="31">
          <cell r="A31" t="str">
            <v>ProjCounty</v>
          </cell>
          <cell r="B31" t="str">
            <v>County</v>
          </cell>
          <cell r="C31" t="str">
            <v>Delegacion o Municipio</v>
          </cell>
          <cell r="D31" t="str">
            <v>County (not applicable)</v>
          </cell>
          <cell r="E31" t="str">
            <v>County (not applicable)</v>
          </cell>
          <cell r="F31" t="str">
            <v>County (not applicable)</v>
          </cell>
          <cell r="G31" t="str">
            <v>County (not applicable)</v>
          </cell>
          <cell r="H31" t="str">
            <v>County (not applicable)</v>
          </cell>
          <cell r="I31" t="str">
            <v>County (not applicable)</v>
          </cell>
          <cell r="J31" t="str">
            <v>County (not applicable)</v>
          </cell>
          <cell r="K31" t="str">
            <v>County (if applicable)</v>
          </cell>
        </row>
        <row r="32">
          <cell r="A32" t="str">
            <v>ProjState</v>
          </cell>
          <cell r="B32" t="str">
            <v>State</v>
          </cell>
          <cell r="C32" t="str">
            <v>Estado</v>
          </cell>
          <cell r="D32" t="str">
            <v>State (N.A.)</v>
          </cell>
          <cell r="E32" t="str">
            <v>State (N.A.)</v>
          </cell>
          <cell r="F32" t="str">
            <v>State (N.A.)</v>
          </cell>
          <cell r="G32" t="str">
            <v>State (N.A.)</v>
          </cell>
          <cell r="H32" t="str">
            <v>State (N.A.)</v>
          </cell>
          <cell r="I32" t="str">
            <v>State (N.A.)</v>
          </cell>
          <cell r="J32" t="str">
            <v>State (N.A.)</v>
          </cell>
          <cell r="K32" t="str">
            <v>State (if applicable)</v>
          </cell>
        </row>
        <row r="33">
          <cell r="A33" t="str">
            <v>ProjPostal</v>
          </cell>
          <cell r="B33" t="str">
            <v>Zip Code</v>
          </cell>
          <cell r="C33" t="str">
            <v>Código Postal</v>
          </cell>
          <cell r="D33" t="str">
            <v>Postal Code</v>
          </cell>
          <cell r="E33" t="str">
            <v>Postal Code</v>
          </cell>
          <cell r="F33" t="str">
            <v>Postal Code</v>
          </cell>
          <cell r="G33" t="str">
            <v>Postal Code</v>
          </cell>
          <cell r="H33" t="str">
            <v>Postal Code</v>
          </cell>
          <cell r="I33" t="str">
            <v>Postal Code</v>
          </cell>
          <cell r="J33" t="str">
            <v>Postal Code</v>
          </cell>
          <cell r="K33" t="str">
            <v>Postal Code</v>
          </cell>
        </row>
        <row r="34">
          <cell r="A34" t="str">
            <v>ProjCountry</v>
          </cell>
          <cell r="B34" t="str">
            <v>Country</v>
          </cell>
          <cell r="C34" t="str">
            <v>País</v>
          </cell>
          <cell r="D34" t="str">
            <v>Country</v>
          </cell>
          <cell r="E34" t="str">
            <v>Country</v>
          </cell>
          <cell r="F34" t="str">
            <v>Country</v>
          </cell>
          <cell r="G34" t="str">
            <v>Country</v>
          </cell>
          <cell r="H34" t="str">
            <v>Country</v>
          </cell>
          <cell r="I34" t="str">
            <v>Country</v>
          </cell>
          <cell r="J34" t="str">
            <v>Country</v>
          </cell>
          <cell r="K34" t="str">
            <v>Country</v>
          </cell>
        </row>
        <row r="36">
          <cell r="A36" t="str">
            <v>Salespersons</v>
          </cell>
          <cell r="B36" t="str">
            <v>Salespersons</v>
          </cell>
          <cell r="C36" t="str">
            <v>Vendedores</v>
          </cell>
          <cell r="D36" t="str">
            <v>Salespersons</v>
          </cell>
          <cell r="E36" t="str">
            <v>Salespersons</v>
          </cell>
          <cell r="F36" t="str">
            <v>Salespersons</v>
          </cell>
          <cell r="G36" t="str">
            <v>Salespersons</v>
          </cell>
          <cell r="H36" t="str">
            <v>Salespersons</v>
          </cell>
          <cell r="I36" t="str">
            <v>Salespersons</v>
          </cell>
          <cell r="J36" t="str">
            <v>Salespersons</v>
          </cell>
          <cell r="K36" t="str">
            <v>Salespersons</v>
          </cell>
        </row>
        <row r="37">
          <cell r="A37" t="str">
            <v>SP1Name</v>
          </cell>
          <cell r="B37" t="str">
            <v>Lead Name</v>
          </cell>
          <cell r="C37" t="str">
            <v>Nombre de Líder de Cta. O Proyecto</v>
          </cell>
          <cell r="D37" t="str">
            <v>Lead Name</v>
          </cell>
          <cell r="E37" t="str">
            <v>Lead Name</v>
          </cell>
          <cell r="F37" t="str">
            <v>Lead Name</v>
          </cell>
          <cell r="G37" t="str">
            <v>Lead Name</v>
          </cell>
          <cell r="H37" t="str">
            <v>Lead Name</v>
          </cell>
          <cell r="I37" t="str">
            <v>Lead Name</v>
          </cell>
          <cell r="J37" t="str">
            <v>Lead Name</v>
          </cell>
          <cell r="K37" t="str">
            <v>Lead Name</v>
          </cell>
        </row>
        <row r="38">
          <cell r="A38" t="str">
            <v>SP1Number</v>
          </cell>
          <cell r="B38" t="str">
            <v>Number</v>
          </cell>
          <cell r="C38" t="str">
            <v>Número</v>
          </cell>
          <cell r="D38" t="str">
            <v>Number</v>
          </cell>
          <cell r="E38" t="str">
            <v>Number</v>
          </cell>
          <cell r="F38" t="str">
            <v>Number</v>
          </cell>
          <cell r="G38" t="str">
            <v>Number</v>
          </cell>
          <cell r="H38" t="str">
            <v>Number</v>
          </cell>
          <cell r="I38" t="str">
            <v>Number</v>
          </cell>
          <cell r="J38" t="str">
            <v>Number</v>
          </cell>
          <cell r="K38" t="str">
            <v>Number</v>
          </cell>
        </row>
        <row r="39">
          <cell r="A39" t="str">
            <v>SP1Branch</v>
          </cell>
          <cell r="B39" t="str">
            <v>Branch</v>
          </cell>
          <cell r="C39" t="str">
            <v>Sucursal</v>
          </cell>
          <cell r="D39" t="str">
            <v>Branch</v>
          </cell>
          <cell r="E39" t="str">
            <v>Branch</v>
          </cell>
          <cell r="F39" t="str">
            <v>Branch</v>
          </cell>
          <cell r="G39" t="str">
            <v>Branch</v>
          </cell>
          <cell r="H39" t="str">
            <v>Branch</v>
          </cell>
          <cell r="I39" t="str">
            <v>Branch</v>
          </cell>
          <cell r="J39" t="str">
            <v>Branch</v>
          </cell>
          <cell r="K39" t="str">
            <v>Branch</v>
          </cell>
        </row>
        <row r="40">
          <cell r="A40" t="str">
            <v>SP1Credit</v>
          </cell>
          <cell r="B40" t="str">
            <v>Credit Percent</v>
          </cell>
          <cell r="C40" t="str">
            <v>Porcentaje de Crédito</v>
          </cell>
          <cell r="D40" t="str">
            <v>Credit Percent</v>
          </cell>
          <cell r="E40" t="str">
            <v>Credit Percent</v>
          </cell>
          <cell r="F40" t="str">
            <v>Credit Percent</v>
          </cell>
          <cell r="G40" t="str">
            <v>Credit Percent</v>
          </cell>
          <cell r="H40" t="str">
            <v>Credit Percent</v>
          </cell>
          <cell r="I40" t="str">
            <v>Credit Percent</v>
          </cell>
          <cell r="J40" t="str">
            <v>Credit Percent</v>
          </cell>
          <cell r="K40" t="str">
            <v>Credit Percent</v>
          </cell>
        </row>
        <row r="41">
          <cell r="A41" t="str">
            <v>SP2Name</v>
          </cell>
          <cell r="B41" t="str">
            <v>Name</v>
          </cell>
          <cell r="C41" t="str">
            <v>Nombre</v>
          </cell>
          <cell r="D41" t="str">
            <v>Name</v>
          </cell>
          <cell r="E41" t="str">
            <v>Name</v>
          </cell>
          <cell r="F41" t="str">
            <v>Name</v>
          </cell>
          <cell r="G41" t="str">
            <v>Name</v>
          </cell>
          <cell r="H41" t="str">
            <v>Name</v>
          </cell>
          <cell r="I41" t="str">
            <v>Name</v>
          </cell>
          <cell r="J41" t="str">
            <v>Name</v>
          </cell>
          <cell r="K41" t="str">
            <v>Name</v>
          </cell>
        </row>
        <row r="42">
          <cell r="A42" t="str">
            <v>SP2Number</v>
          </cell>
          <cell r="B42" t="str">
            <v>Number</v>
          </cell>
          <cell r="C42" t="str">
            <v>Número</v>
          </cell>
          <cell r="D42" t="str">
            <v>Number</v>
          </cell>
          <cell r="E42" t="str">
            <v>Number</v>
          </cell>
          <cell r="F42" t="str">
            <v>Number</v>
          </cell>
          <cell r="G42" t="str">
            <v>Number</v>
          </cell>
          <cell r="H42" t="str">
            <v>Number</v>
          </cell>
          <cell r="I42" t="str">
            <v>Number</v>
          </cell>
          <cell r="J42" t="str">
            <v>Number</v>
          </cell>
          <cell r="K42" t="str">
            <v>Number</v>
          </cell>
        </row>
        <row r="43">
          <cell r="A43" t="str">
            <v>SP2Branch</v>
          </cell>
          <cell r="B43" t="str">
            <v>Branch</v>
          </cell>
          <cell r="C43" t="str">
            <v>Sucursal</v>
          </cell>
          <cell r="D43" t="str">
            <v>Branch</v>
          </cell>
          <cell r="E43" t="str">
            <v>Branch</v>
          </cell>
          <cell r="F43" t="str">
            <v>Branch</v>
          </cell>
          <cell r="G43" t="str">
            <v>Branch</v>
          </cell>
          <cell r="H43" t="str">
            <v>Branch</v>
          </cell>
          <cell r="I43" t="str">
            <v>Branch</v>
          </cell>
          <cell r="J43" t="str">
            <v>Branch</v>
          </cell>
          <cell r="K43" t="str">
            <v>Branch</v>
          </cell>
        </row>
        <row r="44">
          <cell r="A44" t="str">
            <v>SP2Credit</v>
          </cell>
          <cell r="B44" t="str">
            <v>Credit Percent</v>
          </cell>
          <cell r="C44" t="str">
            <v>Porcentaje de Crédito</v>
          </cell>
          <cell r="D44" t="str">
            <v>Credit Percent</v>
          </cell>
          <cell r="E44" t="str">
            <v>Credit Percent</v>
          </cell>
          <cell r="F44" t="str">
            <v>Credit Percent</v>
          </cell>
          <cell r="G44" t="str">
            <v>Credit Percent</v>
          </cell>
          <cell r="H44" t="str">
            <v>Credit Percent</v>
          </cell>
          <cell r="I44" t="str">
            <v>Credit Percent</v>
          </cell>
          <cell r="J44" t="str">
            <v>Credit Percent</v>
          </cell>
          <cell r="K44" t="str">
            <v>Credit Percent</v>
          </cell>
        </row>
        <row r="45">
          <cell r="A45" t="str">
            <v>SP3Name</v>
          </cell>
          <cell r="B45" t="str">
            <v>Name</v>
          </cell>
          <cell r="C45" t="str">
            <v>Nombre</v>
          </cell>
          <cell r="D45" t="str">
            <v>Name</v>
          </cell>
          <cell r="E45" t="str">
            <v>Name</v>
          </cell>
          <cell r="F45" t="str">
            <v>Name</v>
          </cell>
          <cell r="G45" t="str">
            <v>Name</v>
          </cell>
          <cell r="H45" t="str">
            <v>Name</v>
          </cell>
          <cell r="I45" t="str">
            <v>Name</v>
          </cell>
          <cell r="J45" t="str">
            <v>Name</v>
          </cell>
          <cell r="K45" t="str">
            <v>Name</v>
          </cell>
        </row>
        <row r="46">
          <cell r="A46" t="str">
            <v>SP3Number</v>
          </cell>
          <cell r="B46" t="str">
            <v>Number</v>
          </cell>
          <cell r="C46" t="str">
            <v>Número</v>
          </cell>
          <cell r="D46" t="str">
            <v>Number</v>
          </cell>
          <cell r="E46" t="str">
            <v>Number</v>
          </cell>
          <cell r="F46" t="str">
            <v>Number</v>
          </cell>
          <cell r="G46" t="str">
            <v>Number</v>
          </cell>
          <cell r="H46" t="str">
            <v>Number</v>
          </cell>
          <cell r="I46" t="str">
            <v>Number</v>
          </cell>
          <cell r="J46" t="str">
            <v>Number</v>
          </cell>
          <cell r="K46" t="str">
            <v>Number</v>
          </cell>
        </row>
        <row r="47">
          <cell r="A47" t="str">
            <v>SP3Branch</v>
          </cell>
          <cell r="B47" t="str">
            <v>Branch</v>
          </cell>
          <cell r="C47" t="str">
            <v>Sucursal</v>
          </cell>
          <cell r="D47" t="str">
            <v>Branch</v>
          </cell>
          <cell r="E47" t="str">
            <v>Branch</v>
          </cell>
          <cell r="F47" t="str">
            <v>Branch</v>
          </cell>
          <cell r="G47" t="str">
            <v>Branch</v>
          </cell>
          <cell r="H47" t="str">
            <v>Branch</v>
          </cell>
          <cell r="I47" t="str">
            <v>Branch</v>
          </cell>
          <cell r="J47" t="str">
            <v>Branch</v>
          </cell>
          <cell r="K47" t="str">
            <v>Branch</v>
          </cell>
        </row>
        <row r="48">
          <cell r="A48" t="str">
            <v>SP3Credit</v>
          </cell>
          <cell r="B48" t="str">
            <v>Credit Percent</v>
          </cell>
          <cell r="C48" t="str">
            <v>Porcentaje de Crédito</v>
          </cell>
          <cell r="D48" t="str">
            <v>Credit Percent</v>
          </cell>
          <cell r="E48" t="str">
            <v>Credit Percent</v>
          </cell>
          <cell r="F48" t="str">
            <v>Credit Percent</v>
          </cell>
          <cell r="G48" t="str">
            <v>Credit Percent</v>
          </cell>
          <cell r="H48" t="str">
            <v>Credit Percent</v>
          </cell>
          <cell r="I48" t="str">
            <v>Credit Percent</v>
          </cell>
          <cell r="J48" t="str">
            <v>Credit Percent</v>
          </cell>
          <cell r="K48" t="str">
            <v>Credit Percent</v>
          </cell>
        </row>
        <row r="49">
          <cell r="A49" t="str">
            <v>SP4Name</v>
          </cell>
          <cell r="B49" t="str">
            <v>Name</v>
          </cell>
          <cell r="C49" t="str">
            <v>Nombre</v>
          </cell>
          <cell r="D49" t="str">
            <v>Name</v>
          </cell>
          <cell r="E49" t="str">
            <v>Name</v>
          </cell>
          <cell r="F49" t="str">
            <v>Name</v>
          </cell>
          <cell r="G49" t="str">
            <v>Name</v>
          </cell>
          <cell r="H49" t="str">
            <v>Name</v>
          </cell>
          <cell r="I49" t="str">
            <v>Name</v>
          </cell>
          <cell r="J49" t="str">
            <v>Name</v>
          </cell>
          <cell r="K49" t="str">
            <v>Name</v>
          </cell>
        </row>
        <row r="50">
          <cell r="A50" t="str">
            <v>SP4Number</v>
          </cell>
          <cell r="B50" t="str">
            <v>Number</v>
          </cell>
          <cell r="C50" t="str">
            <v>Número</v>
          </cell>
          <cell r="D50" t="str">
            <v>Number</v>
          </cell>
          <cell r="E50" t="str">
            <v>Number</v>
          </cell>
          <cell r="F50" t="str">
            <v>Number</v>
          </cell>
          <cell r="G50" t="str">
            <v>Number</v>
          </cell>
          <cell r="H50" t="str">
            <v>Number</v>
          </cell>
          <cell r="I50" t="str">
            <v>Number</v>
          </cell>
          <cell r="J50" t="str">
            <v>Number</v>
          </cell>
          <cell r="K50" t="str">
            <v>Number</v>
          </cell>
        </row>
        <row r="51">
          <cell r="A51" t="str">
            <v>SP4Branch</v>
          </cell>
          <cell r="B51" t="str">
            <v>Branch</v>
          </cell>
          <cell r="C51" t="str">
            <v>Sucursal</v>
          </cell>
          <cell r="D51" t="str">
            <v>Branch</v>
          </cell>
          <cell r="E51" t="str">
            <v>Branch</v>
          </cell>
          <cell r="F51" t="str">
            <v>Branch</v>
          </cell>
          <cell r="G51" t="str">
            <v>Branch</v>
          </cell>
          <cell r="H51" t="str">
            <v>Branch</v>
          </cell>
          <cell r="I51" t="str">
            <v>Branch</v>
          </cell>
          <cell r="J51" t="str">
            <v>Branch</v>
          </cell>
          <cell r="K51" t="str">
            <v>Branch</v>
          </cell>
        </row>
        <row r="52">
          <cell r="A52" t="str">
            <v>SP4Credit</v>
          </cell>
          <cell r="B52" t="str">
            <v>Credit Percent</v>
          </cell>
          <cell r="C52" t="str">
            <v>Porcentaje de Crédito</v>
          </cell>
          <cell r="D52" t="str">
            <v>Credit Percent</v>
          </cell>
          <cell r="E52" t="str">
            <v>Credit Percent</v>
          </cell>
          <cell r="F52" t="str">
            <v>Credit Percent</v>
          </cell>
          <cell r="G52" t="str">
            <v>Credit Percent</v>
          </cell>
          <cell r="H52" t="str">
            <v>Credit Percent</v>
          </cell>
          <cell r="I52" t="str">
            <v>Credit Percent</v>
          </cell>
          <cell r="J52" t="str">
            <v>Credit Percent</v>
          </cell>
          <cell r="K52" t="str">
            <v>Credit Percent</v>
          </cell>
        </row>
        <row r="53">
          <cell r="A53" t="str">
            <v>SP5Name</v>
          </cell>
          <cell r="B53" t="str">
            <v>Name</v>
          </cell>
          <cell r="C53" t="str">
            <v>Nombre</v>
          </cell>
          <cell r="D53" t="str">
            <v>Name</v>
          </cell>
          <cell r="E53" t="str">
            <v>Name</v>
          </cell>
          <cell r="F53" t="str">
            <v>Name</v>
          </cell>
          <cell r="G53" t="str">
            <v>Name</v>
          </cell>
          <cell r="H53" t="str">
            <v>Name</v>
          </cell>
          <cell r="I53" t="str">
            <v>Name</v>
          </cell>
          <cell r="J53" t="str">
            <v>Name</v>
          </cell>
          <cell r="K53" t="str">
            <v>Name</v>
          </cell>
        </row>
        <row r="54">
          <cell r="A54" t="str">
            <v>SP5Number</v>
          </cell>
          <cell r="B54" t="str">
            <v>Number</v>
          </cell>
          <cell r="C54" t="str">
            <v>Número</v>
          </cell>
          <cell r="D54" t="str">
            <v>Number</v>
          </cell>
          <cell r="E54" t="str">
            <v>Number</v>
          </cell>
          <cell r="F54" t="str">
            <v>Number</v>
          </cell>
          <cell r="G54" t="str">
            <v>Number</v>
          </cell>
          <cell r="H54" t="str">
            <v>Number</v>
          </cell>
          <cell r="I54" t="str">
            <v>Number</v>
          </cell>
          <cell r="J54" t="str">
            <v>Number</v>
          </cell>
          <cell r="K54" t="str">
            <v>Number</v>
          </cell>
        </row>
        <row r="55">
          <cell r="A55" t="str">
            <v>SP5Branch</v>
          </cell>
          <cell r="B55" t="str">
            <v>Branch</v>
          </cell>
          <cell r="C55" t="str">
            <v>Sucursal</v>
          </cell>
          <cell r="D55" t="str">
            <v>Branch</v>
          </cell>
          <cell r="E55" t="str">
            <v>Branch</v>
          </cell>
          <cell r="F55" t="str">
            <v>Branch</v>
          </cell>
          <cell r="G55" t="str">
            <v>Branch</v>
          </cell>
          <cell r="H55" t="str">
            <v>Branch</v>
          </cell>
          <cell r="I55" t="str">
            <v>Branch</v>
          </cell>
          <cell r="J55" t="str">
            <v>Branch</v>
          </cell>
          <cell r="K55" t="str">
            <v>Branch</v>
          </cell>
        </row>
        <row r="56">
          <cell r="A56" t="str">
            <v>SP5Credit</v>
          </cell>
          <cell r="B56" t="str">
            <v>Credit Percent</v>
          </cell>
          <cell r="C56" t="str">
            <v>Porcentaje de Crédito</v>
          </cell>
          <cell r="D56" t="str">
            <v>Credit Percent</v>
          </cell>
          <cell r="E56" t="str">
            <v>Credit Percent</v>
          </cell>
          <cell r="F56" t="str">
            <v>Credit Percent</v>
          </cell>
          <cell r="G56" t="str">
            <v>Credit Percent</v>
          </cell>
          <cell r="H56" t="str">
            <v>Credit Percent</v>
          </cell>
          <cell r="I56" t="str">
            <v>Credit Percent</v>
          </cell>
          <cell r="J56" t="str">
            <v>Credit Percent</v>
          </cell>
          <cell r="K56" t="str">
            <v>Credit Percent</v>
          </cell>
        </row>
        <row r="58">
          <cell r="A58" t="str">
            <v>ContWith</v>
          </cell>
          <cell r="B58" t="str">
            <v>Our Contract Is With</v>
          </cell>
          <cell r="C58" t="str">
            <v>Nuestro contrato es con:</v>
          </cell>
          <cell r="D58" t="str">
            <v>Our Contract Is With</v>
          </cell>
          <cell r="E58" t="str">
            <v>Our Contract Is With</v>
          </cell>
          <cell r="F58" t="str">
            <v>Our Contract Is With</v>
          </cell>
          <cell r="G58" t="str">
            <v>Our Contract Is With</v>
          </cell>
          <cell r="H58" t="str">
            <v>Our Contract Is With</v>
          </cell>
          <cell r="I58" t="str">
            <v>Our Contract Is With</v>
          </cell>
          <cell r="J58" t="str">
            <v>Our Contract Is With</v>
          </cell>
          <cell r="K58" t="str">
            <v>Our Contract Is With</v>
          </cell>
        </row>
        <row r="59">
          <cell r="A59" t="str">
            <v>ContWithName</v>
          </cell>
          <cell r="B59" t="str">
            <v>Name</v>
          </cell>
          <cell r="C59" t="str">
            <v>Nombre</v>
          </cell>
          <cell r="D59" t="str">
            <v>Name</v>
          </cell>
          <cell r="E59" t="str">
            <v>Name</v>
          </cell>
          <cell r="F59" t="str">
            <v>Name</v>
          </cell>
          <cell r="G59" t="str">
            <v>Name</v>
          </cell>
          <cell r="H59" t="str">
            <v>Name</v>
          </cell>
          <cell r="I59" t="str">
            <v>Name</v>
          </cell>
          <cell r="J59" t="str">
            <v>Name</v>
          </cell>
          <cell r="K59" t="str">
            <v>Name</v>
          </cell>
        </row>
        <row r="60">
          <cell r="A60" t="str">
            <v>ContWithAcct</v>
          </cell>
          <cell r="B60" t="str">
            <v>Account Number</v>
          </cell>
          <cell r="C60" t="str">
            <v>Número de Cuenta</v>
          </cell>
          <cell r="D60" t="str">
            <v>Account Number (if available)</v>
          </cell>
          <cell r="E60" t="str">
            <v>Account Number (if available)</v>
          </cell>
          <cell r="F60" t="str">
            <v>Account Number (if available)</v>
          </cell>
          <cell r="G60" t="str">
            <v>Account Number (not available)</v>
          </cell>
          <cell r="H60" t="str">
            <v>Account Number (not available)</v>
          </cell>
          <cell r="I60" t="str">
            <v>Account Number (if available)</v>
          </cell>
          <cell r="J60" t="str">
            <v>Account Number (not available)</v>
          </cell>
          <cell r="K60" t="str">
            <v>Account Number (if available)</v>
          </cell>
        </row>
        <row r="61">
          <cell r="A61" t="str">
            <v>FiscalIDNum</v>
          </cell>
          <cell r="B61" t="str">
            <v>Fiscal ID Number</v>
          </cell>
          <cell r="C61" t="str">
            <v>RFC</v>
          </cell>
          <cell r="D61" t="str">
            <v>Fiscal ID Number (if available)</v>
          </cell>
          <cell r="E61" t="str">
            <v>Fiscal ID Number (if available)</v>
          </cell>
          <cell r="F61" t="str">
            <v>Fiscal ID Number (if available)</v>
          </cell>
          <cell r="G61" t="str">
            <v>Fiscal ID Number (not available)</v>
          </cell>
          <cell r="H61" t="str">
            <v>Fiscal ID Number (not available)</v>
          </cell>
          <cell r="I61" t="str">
            <v>Fiscal ID Number (if available)</v>
          </cell>
          <cell r="J61" t="str">
            <v>Fiscal ID Number (not available)</v>
          </cell>
          <cell r="K61" t="str">
            <v>Fiscal ID Number (if available)</v>
          </cell>
        </row>
        <row r="62">
          <cell r="A62" t="str">
            <v>ContWithPrio</v>
          </cell>
          <cell r="B62" t="str">
            <v>Priority</v>
          </cell>
          <cell r="C62" t="str">
            <v>Prioridad</v>
          </cell>
          <cell r="D62" t="str">
            <v>Priority</v>
          </cell>
          <cell r="E62" t="str">
            <v>Priority</v>
          </cell>
          <cell r="F62" t="str">
            <v>Priority</v>
          </cell>
          <cell r="G62" t="str">
            <v>Priority</v>
          </cell>
          <cell r="H62" t="str">
            <v>Priority</v>
          </cell>
          <cell r="I62" t="str">
            <v>Priority</v>
          </cell>
          <cell r="J62" t="str">
            <v>Priority</v>
          </cell>
          <cell r="K62" t="str">
            <v>Priority</v>
          </cell>
        </row>
        <row r="64">
          <cell r="A64" t="str">
            <v>EngFirm</v>
          </cell>
          <cell r="B64" t="str">
            <v>Engineering Firm</v>
          </cell>
          <cell r="C64" t="str">
            <v>Despacho de Ingeniería/Arquitectura</v>
          </cell>
          <cell r="D64" t="str">
            <v>Consulting Firm</v>
          </cell>
          <cell r="E64" t="str">
            <v>Consulting Firm</v>
          </cell>
          <cell r="F64" t="str">
            <v>Consulting Firm</v>
          </cell>
          <cell r="G64" t="str">
            <v>Consulting Firm</v>
          </cell>
          <cell r="H64" t="str">
            <v>Consulting Firm</v>
          </cell>
          <cell r="I64" t="str">
            <v>Consulting Firm</v>
          </cell>
          <cell r="J64" t="str">
            <v>Consulting Firm</v>
          </cell>
          <cell r="K64" t="str">
            <v>Consulting Firm</v>
          </cell>
        </row>
        <row r="65">
          <cell r="A65" t="str">
            <v>EngName</v>
          </cell>
          <cell r="B65" t="str">
            <v>Name</v>
          </cell>
          <cell r="C65" t="str">
            <v>Nombre</v>
          </cell>
          <cell r="D65" t="str">
            <v>Name</v>
          </cell>
          <cell r="E65" t="str">
            <v>Name</v>
          </cell>
          <cell r="F65" t="str">
            <v>Name</v>
          </cell>
          <cell r="G65" t="str">
            <v>Name</v>
          </cell>
          <cell r="H65" t="str">
            <v>Name</v>
          </cell>
          <cell r="I65" t="str">
            <v>Name</v>
          </cell>
          <cell r="J65" t="str">
            <v>Name</v>
          </cell>
          <cell r="K65" t="str">
            <v>Name</v>
          </cell>
        </row>
        <row r="66">
          <cell r="A66" t="str">
            <v>EngAddress</v>
          </cell>
          <cell r="B66" t="str">
            <v>Address</v>
          </cell>
          <cell r="C66" t="str">
            <v>Dirección</v>
          </cell>
          <cell r="D66" t="str">
            <v>Address</v>
          </cell>
          <cell r="E66" t="str">
            <v>Address</v>
          </cell>
          <cell r="F66" t="str">
            <v>Address</v>
          </cell>
          <cell r="G66" t="str">
            <v>Address</v>
          </cell>
          <cell r="H66" t="str">
            <v>Address</v>
          </cell>
          <cell r="I66" t="str">
            <v>Address</v>
          </cell>
          <cell r="J66" t="str">
            <v>Address</v>
          </cell>
          <cell r="K66" t="str">
            <v>Address</v>
          </cell>
        </row>
        <row r="67">
          <cell r="A67" t="str">
            <v>EngCity</v>
          </cell>
          <cell r="B67" t="str">
            <v>City</v>
          </cell>
          <cell r="C67" t="str">
            <v>Ciudad</v>
          </cell>
          <cell r="D67" t="str">
            <v>City</v>
          </cell>
          <cell r="E67" t="str">
            <v>City</v>
          </cell>
          <cell r="F67" t="str">
            <v>City</v>
          </cell>
          <cell r="G67" t="str">
            <v>City</v>
          </cell>
          <cell r="H67" t="str">
            <v>City</v>
          </cell>
          <cell r="I67" t="str">
            <v>City</v>
          </cell>
          <cell r="J67" t="str">
            <v>City</v>
          </cell>
          <cell r="K67" t="str">
            <v>City</v>
          </cell>
        </row>
        <row r="68">
          <cell r="A68" t="str">
            <v>EngState</v>
          </cell>
          <cell r="B68" t="str">
            <v>State</v>
          </cell>
          <cell r="C68" t="str">
            <v>Estado</v>
          </cell>
          <cell r="D68" t="str">
            <v>State (N.A.)</v>
          </cell>
          <cell r="E68" t="str">
            <v>State (N.A.)</v>
          </cell>
          <cell r="F68" t="str">
            <v>State (N.A.)</v>
          </cell>
          <cell r="G68" t="str">
            <v>State (N.A.)</v>
          </cell>
          <cell r="H68" t="str">
            <v>State (N.A.)</v>
          </cell>
          <cell r="I68" t="str">
            <v>State (N.A.)</v>
          </cell>
          <cell r="J68" t="str">
            <v>State (N.A.)</v>
          </cell>
          <cell r="K68" t="str">
            <v>State (if applicable)</v>
          </cell>
        </row>
        <row r="69">
          <cell r="A69" t="str">
            <v>EngPostal</v>
          </cell>
          <cell r="B69" t="str">
            <v>Zip Code</v>
          </cell>
          <cell r="C69" t="str">
            <v>Código Postal</v>
          </cell>
          <cell r="D69" t="str">
            <v>Postal Code</v>
          </cell>
          <cell r="E69" t="str">
            <v>Postal Code</v>
          </cell>
          <cell r="F69" t="str">
            <v>Postal Code</v>
          </cell>
          <cell r="G69" t="str">
            <v>Postal Code</v>
          </cell>
          <cell r="H69" t="str">
            <v>Postal Code</v>
          </cell>
          <cell r="I69" t="str">
            <v>Postal Code</v>
          </cell>
          <cell r="J69" t="str">
            <v>Postal Code</v>
          </cell>
          <cell r="K69" t="str">
            <v>Postal Code</v>
          </cell>
        </row>
        <row r="70">
          <cell r="A70" t="str">
            <v>EngPrio</v>
          </cell>
          <cell r="B70" t="str">
            <v>Priority</v>
          </cell>
          <cell r="C70" t="str">
            <v>Prioridad</v>
          </cell>
          <cell r="D70" t="str">
            <v>Priority</v>
          </cell>
          <cell r="E70" t="str">
            <v>Priority</v>
          </cell>
          <cell r="F70" t="str">
            <v>Priority</v>
          </cell>
          <cell r="G70" t="str">
            <v>Priority</v>
          </cell>
          <cell r="H70" t="str">
            <v>Priority</v>
          </cell>
          <cell r="I70" t="str">
            <v>Priority</v>
          </cell>
          <cell r="J70" t="str">
            <v>Priority</v>
          </cell>
          <cell r="K70" t="str">
            <v>Priority</v>
          </cell>
        </row>
        <row r="72">
          <cell r="A72" t="str">
            <v>PrimeCont</v>
          </cell>
          <cell r="B72" t="str">
            <v>Prime Contractor</v>
          </cell>
          <cell r="C72" t="str">
            <v>Contratista Principal</v>
          </cell>
          <cell r="D72" t="str">
            <v>Main Contractor</v>
          </cell>
          <cell r="E72" t="str">
            <v>Main Contractor</v>
          </cell>
          <cell r="F72" t="str">
            <v>Main Contractor</v>
          </cell>
          <cell r="G72" t="str">
            <v>General Contractor</v>
          </cell>
          <cell r="H72" t="str">
            <v>General Contractor</v>
          </cell>
          <cell r="I72" t="str">
            <v>Main Contractor</v>
          </cell>
          <cell r="J72" t="str">
            <v>General Contractor</v>
          </cell>
          <cell r="K72" t="str">
            <v>Main Contractor</v>
          </cell>
        </row>
        <row r="73">
          <cell r="A73" t="str">
            <v>PrimeName</v>
          </cell>
          <cell r="B73" t="str">
            <v>Name</v>
          </cell>
          <cell r="C73" t="str">
            <v>Nombre</v>
          </cell>
          <cell r="D73" t="str">
            <v>Name</v>
          </cell>
          <cell r="E73" t="str">
            <v>Name</v>
          </cell>
          <cell r="F73" t="str">
            <v>Name</v>
          </cell>
          <cell r="G73" t="str">
            <v>Name</v>
          </cell>
          <cell r="H73" t="str">
            <v>Name</v>
          </cell>
          <cell r="I73" t="str">
            <v>Name</v>
          </cell>
          <cell r="J73" t="str">
            <v>Name</v>
          </cell>
          <cell r="K73" t="str">
            <v>Name</v>
          </cell>
        </row>
        <row r="74">
          <cell r="A74" t="str">
            <v>PrimeAddress</v>
          </cell>
          <cell r="B74" t="str">
            <v>Address</v>
          </cell>
          <cell r="C74" t="str">
            <v>Dirección</v>
          </cell>
          <cell r="D74" t="str">
            <v>Address</v>
          </cell>
          <cell r="E74" t="str">
            <v>Address</v>
          </cell>
          <cell r="F74" t="str">
            <v>Address</v>
          </cell>
          <cell r="G74" t="str">
            <v>Address</v>
          </cell>
          <cell r="H74" t="str">
            <v>Address</v>
          </cell>
          <cell r="I74" t="str">
            <v>Address</v>
          </cell>
          <cell r="J74" t="str">
            <v>Address</v>
          </cell>
          <cell r="K74" t="str">
            <v>Address</v>
          </cell>
        </row>
        <row r="75">
          <cell r="A75" t="str">
            <v>PrimeCity</v>
          </cell>
          <cell r="B75" t="str">
            <v>City</v>
          </cell>
          <cell r="C75" t="str">
            <v>Ciudad</v>
          </cell>
          <cell r="D75" t="str">
            <v>City</v>
          </cell>
          <cell r="E75" t="str">
            <v>City</v>
          </cell>
          <cell r="F75" t="str">
            <v>City</v>
          </cell>
          <cell r="G75" t="str">
            <v>City</v>
          </cell>
          <cell r="H75" t="str">
            <v>City</v>
          </cell>
          <cell r="I75" t="str">
            <v>City</v>
          </cell>
          <cell r="J75" t="str">
            <v>City</v>
          </cell>
          <cell r="K75" t="str">
            <v>City</v>
          </cell>
        </row>
        <row r="76">
          <cell r="A76" t="str">
            <v>PrimeState</v>
          </cell>
          <cell r="B76" t="str">
            <v>State</v>
          </cell>
          <cell r="C76" t="str">
            <v>Estado</v>
          </cell>
          <cell r="D76" t="str">
            <v>State (N.A.)</v>
          </cell>
          <cell r="E76" t="str">
            <v>State (N.A.)</v>
          </cell>
          <cell r="F76" t="str">
            <v>State (N.A.)</v>
          </cell>
          <cell r="G76" t="str">
            <v>State (N.A.)</v>
          </cell>
          <cell r="H76" t="str">
            <v>State (N.A.)</v>
          </cell>
          <cell r="I76" t="str">
            <v>State (N.A.)</v>
          </cell>
          <cell r="J76" t="str">
            <v>State (N.A.)</v>
          </cell>
          <cell r="K76" t="str">
            <v>State (if applicable)</v>
          </cell>
        </row>
        <row r="77">
          <cell r="A77" t="str">
            <v>PrimePostal</v>
          </cell>
          <cell r="B77" t="str">
            <v>Zip Code</v>
          </cell>
          <cell r="C77" t="str">
            <v>Código Postal</v>
          </cell>
          <cell r="D77" t="str">
            <v>Postal Code</v>
          </cell>
          <cell r="E77" t="str">
            <v>Postal Code</v>
          </cell>
          <cell r="F77" t="str">
            <v>Postal Code</v>
          </cell>
          <cell r="G77" t="str">
            <v>Postal Code</v>
          </cell>
          <cell r="H77" t="str">
            <v>Postal Code</v>
          </cell>
          <cell r="I77" t="str">
            <v>Postal Code</v>
          </cell>
          <cell r="J77" t="str">
            <v>Postal Code</v>
          </cell>
          <cell r="K77" t="str">
            <v>Postal Code</v>
          </cell>
        </row>
        <row r="78">
          <cell r="A78" t="str">
            <v>PrimePrio</v>
          </cell>
          <cell r="B78" t="str">
            <v>Priority</v>
          </cell>
          <cell r="C78" t="str">
            <v>Prioridad</v>
          </cell>
          <cell r="D78" t="str">
            <v>Priority</v>
          </cell>
          <cell r="E78" t="str">
            <v>Priority</v>
          </cell>
          <cell r="F78" t="str">
            <v>Priority</v>
          </cell>
          <cell r="G78" t="str">
            <v>Priority</v>
          </cell>
          <cell r="H78" t="str">
            <v>Priority</v>
          </cell>
          <cell r="I78" t="str">
            <v>Priority</v>
          </cell>
          <cell r="J78" t="str">
            <v>Priority</v>
          </cell>
          <cell r="K78" t="str">
            <v>Priority</v>
          </cell>
        </row>
        <row r="80">
          <cell r="A80" t="str">
            <v>ProdInfo</v>
          </cell>
          <cell r="B80" t="str">
            <v>Product Information</v>
          </cell>
          <cell r="C80" t="str">
            <v>Información del Producto</v>
          </cell>
          <cell r="D80" t="str">
            <v>Product Information</v>
          </cell>
          <cell r="E80" t="str">
            <v>Product Information</v>
          </cell>
          <cell r="F80" t="str">
            <v>Product Information</v>
          </cell>
          <cell r="G80" t="str">
            <v>Product Information</v>
          </cell>
          <cell r="H80" t="str">
            <v>Product Information</v>
          </cell>
          <cell r="I80" t="str">
            <v>Product Information</v>
          </cell>
          <cell r="J80" t="str">
            <v>Product Information</v>
          </cell>
          <cell r="K80" t="str">
            <v>Product Information</v>
          </cell>
        </row>
        <row r="81">
          <cell r="A81" t="str">
            <v>ProdCode1</v>
          </cell>
          <cell r="B81" t="str">
            <v>Product Code 1</v>
          </cell>
          <cell r="C81" t="str">
            <v>Código del Producto 1</v>
          </cell>
          <cell r="D81" t="str">
            <v>Product Code 1</v>
          </cell>
          <cell r="E81" t="str">
            <v>Product Code 1</v>
          </cell>
          <cell r="F81" t="str">
            <v>Product Code 1</v>
          </cell>
          <cell r="G81" t="str">
            <v>Product Code 1</v>
          </cell>
          <cell r="H81" t="str">
            <v>Product Code 1</v>
          </cell>
          <cell r="I81" t="str">
            <v>Product Code 1</v>
          </cell>
          <cell r="J81" t="str">
            <v>Product Code 1</v>
          </cell>
          <cell r="K81" t="str">
            <v>Product Code 1</v>
          </cell>
        </row>
        <row r="82">
          <cell r="A82" t="str">
            <v>ProdPct1</v>
          </cell>
          <cell r="B82" t="str">
            <v>Product Percent 1</v>
          </cell>
          <cell r="C82" t="str">
            <v>Porcentaje del Producto 1</v>
          </cell>
          <cell r="D82" t="str">
            <v>Product Percent 1</v>
          </cell>
          <cell r="E82" t="str">
            <v>Product Percent 1</v>
          </cell>
          <cell r="F82" t="str">
            <v>Product Percent 1</v>
          </cell>
          <cell r="G82" t="str">
            <v>Product Percent 1</v>
          </cell>
          <cell r="H82" t="str">
            <v>Product Percent 1</v>
          </cell>
          <cell r="I82" t="str">
            <v>Product Percent 1</v>
          </cell>
          <cell r="J82" t="str">
            <v>Product Percent 1</v>
          </cell>
          <cell r="K82" t="str">
            <v>Product Percent 1</v>
          </cell>
        </row>
        <row r="83">
          <cell r="A83" t="str">
            <v>SrvcCode1</v>
          </cell>
          <cell r="B83" t="str">
            <v>Service Code 1</v>
          </cell>
          <cell r="C83" t="str">
            <v>Código del Servicio 1</v>
          </cell>
          <cell r="D83" t="str">
            <v>Service Code 1</v>
          </cell>
          <cell r="E83" t="str">
            <v>Service Code 1</v>
          </cell>
          <cell r="F83" t="str">
            <v>Service Code 1</v>
          </cell>
          <cell r="G83" t="str">
            <v>Service Code 1</v>
          </cell>
          <cell r="H83" t="str">
            <v>Service Code 1</v>
          </cell>
          <cell r="I83" t="str">
            <v>Service Code 1</v>
          </cell>
          <cell r="J83" t="str">
            <v>Service Code 1</v>
          </cell>
          <cell r="K83" t="str">
            <v>Service Code 1</v>
          </cell>
        </row>
        <row r="84">
          <cell r="A84" t="str">
            <v>ProdCode2</v>
          </cell>
          <cell r="B84" t="str">
            <v>Product Code 2</v>
          </cell>
          <cell r="C84" t="str">
            <v>Código del Producto 2</v>
          </cell>
          <cell r="D84" t="str">
            <v>Product Code 2</v>
          </cell>
          <cell r="E84" t="str">
            <v>Product Code 2</v>
          </cell>
          <cell r="F84" t="str">
            <v>Product Code 2</v>
          </cell>
          <cell r="G84" t="str">
            <v>Product Code 2</v>
          </cell>
          <cell r="H84" t="str">
            <v>Product Code 2</v>
          </cell>
          <cell r="I84" t="str">
            <v>Product Code 2</v>
          </cell>
          <cell r="J84" t="str">
            <v>Product Code 2</v>
          </cell>
          <cell r="K84" t="str">
            <v>Product Code 2</v>
          </cell>
        </row>
        <row r="85">
          <cell r="A85" t="str">
            <v>ProdPct2</v>
          </cell>
          <cell r="B85" t="str">
            <v>Product Percent 2</v>
          </cell>
          <cell r="C85" t="str">
            <v>Porcentaje del Producto 2</v>
          </cell>
          <cell r="D85" t="str">
            <v>Product Percent 2</v>
          </cell>
          <cell r="E85" t="str">
            <v>Product Percent 2</v>
          </cell>
          <cell r="F85" t="str">
            <v>Product Percent 2</v>
          </cell>
          <cell r="G85" t="str">
            <v>Product Percent 2</v>
          </cell>
          <cell r="H85" t="str">
            <v>Product Percent 2</v>
          </cell>
          <cell r="I85" t="str">
            <v>Product Percent 2</v>
          </cell>
          <cell r="J85" t="str">
            <v>Product Percent 2</v>
          </cell>
          <cell r="K85" t="str">
            <v>Product Percent 2</v>
          </cell>
        </row>
        <row r="86">
          <cell r="A86" t="str">
            <v>SrvcCode2</v>
          </cell>
          <cell r="B86" t="str">
            <v>Service Code 2</v>
          </cell>
          <cell r="C86" t="str">
            <v>Código del Servicio 2</v>
          </cell>
          <cell r="D86" t="str">
            <v>Service Code 2</v>
          </cell>
          <cell r="E86" t="str">
            <v>Service Code 2</v>
          </cell>
          <cell r="F86" t="str">
            <v>Service Code 2</v>
          </cell>
          <cell r="G86" t="str">
            <v>Service Code 2</v>
          </cell>
          <cell r="H86" t="str">
            <v>Service Code 2</v>
          </cell>
          <cell r="I86" t="str">
            <v>Service Code 2</v>
          </cell>
          <cell r="J86" t="str">
            <v>Service Code 2</v>
          </cell>
          <cell r="K86" t="str">
            <v>Service Code 2</v>
          </cell>
        </row>
        <row r="87">
          <cell r="A87" t="str">
            <v>ProdCode3</v>
          </cell>
          <cell r="B87" t="str">
            <v>Product Code 3</v>
          </cell>
          <cell r="C87" t="str">
            <v>Código del Producto 3</v>
          </cell>
          <cell r="D87" t="str">
            <v>Product Code 3</v>
          </cell>
          <cell r="E87" t="str">
            <v>Product Code 3</v>
          </cell>
          <cell r="F87" t="str">
            <v>Product Code 3</v>
          </cell>
          <cell r="G87" t="str">
            <v>Product Code 3</v>
          </cell>
          <cell r="H87" t="str">
            <v>Product Code 3</v>
          </cell>
          <cell r="I87" t="str">
            <v>Product Code 3</v>
          </cell>
          <cell r="J87" t="str">
            <v>Product Code 3</v>
          </cell>
          <cell r="K87" t="str">
            <v>Product Code 3</v>
          </cell>
        </row>
        <row r="88">
          <cell r="A88" t="str">
            <v>ProdPct3</v>
          </cell>
          <cell r="B88" t="str">
            <v>Product Percent 3</v>
          </cell>
          <cell r="C88" t="str">
            <v>Porcentaje del Producto 3</v>
          </cell>
          <cell r="D88" t="str">
            <v>Product Percent 3</v>
          </cell>
          <cell r="E88" t="str">
            <v>Product Percent 3</v>
          </cell>
          <cell r="F88" t="str">
            <v>Product Percent 3</v>
          </cell>
          <cell r="G88" t="str">
            <v>Product Percent 3</v>
          </cell>
          <cell r="H88" t="str">
            <v>Product Percent 3</v>
          </cell>
          <cell r="I88" t="str">
            <v>Product Percent 3</v>
          </cell>
          <cell r="J88" t="str">
            <v>Product Percent 3</v>
          </cell>
          <cell r="K88" t="str">
            <v>Product Percent 3</v>
          </cell>
        </row>
        <row r="89">
          <cell r="A89" t="str">
            <v>SrvcCode3</v>
          </cell>
          <cell r="B89" t="str">
            <v>Service Code 3</v>
          </cell>
          <cell r="C89" t="str">
            <v>Código del Servicio 3</v>
          </cell>
          <cell r="D89" t="str">
            <v>Service Code 3</v>
          </cell>
          <cell r="E89" t="str">
            <v>Service Code 3</v>
          </cell>
          <cell r="F89" t="str">
            <v>Service Code 3</v>
          </cell>
          <cell r="G89" t="str">
            <v>Service Code 3</v>
          </cell>
          <cell r="H89" t="str">
            <v>Service Code 3</v>
          </cell>
          <cell r="I89" t="str">
            <v>Service Code 3</v>
          </cell>
          <cell r="J89" t="str">
            <v>Service Code 3</v>
          </cell>
          <cell r="K89" t="str">
            <v>Service Code 3</v>
          </cell>
        </row>
        <row r="90">
          <cell r="A90" t="str">
            <v>ProdCode4</v>
          </cell>
          <cell r="B90" t="str">
            <v>Product Code 4</v>
          </cell>
          <cell r="C90" t="str">
            <v>Código del Producto 4</v>
          </cell>
          <cell r="D90" t="str">
            <v>Product Code 4</v>
          </cell>
          <cell r="E90" t="str">
            <v>Product Code 4</v>
          </cell>
          <cell r="F90" t="str">
            <v>Product Code 4</v>
          </cell>
          <cell r="G90" t="str">
            <v>Product Code 4</v>
          </cell>
          <cell r="H90" t="str">
            <v>Product Code 4</v>
          </cell>
          <cell r="I90" t="str">
            <v>Product Code 4</v>
          </cell>
          <cell r="J90" t="str">
            <v>Product Code 4</v>
          </cell>
          <cell r="K90" t="str">
            <v>Product Code 4</v>
          </cell>
        </row>
        <row r="91">
          <cell r="A91" t="str">
            <v>ProdPct4</v>
          </cell>
          <cell r="B91" t="str">
            <v>Product Percent 4</v>
          </cell>
          <cell r="C91" t="str">
            <v>Porcentaje del Producto 4</v>
          </cell>
          <cell r="D91" t="str">
            <v>Product Percent 4</v>
          </cell>
          <cell r="E91" t="str">
            <v>Product Percent 4</v>
          </cell>
          <cell r="F91" t="str">
            <v>Product Percent 4</v>
          </cell>
          <cell r="G91" t="str">
            <v>Product Percent 4</v>
          </cell>
          <cell r="H91" t="str">
            <v>Product Percent 4</v>
          </cell>
          <cell r="I91" t="str">
            <v>Product Percent 4</v>
          </cell>
          <cell r="J91" t="str">
            <v>Product Percent 4</v>
          </cell>
          <cell r="K91" t="str">
            <v>Product Percent 4</v>
          </cell>
        </row>
        <row r="92">
          <cell r="A92" t="str">
            <v>SrvcCode4</v>
          </cell>
          <cell r="B92" t="str">
            <v>Service Code 4</v>
          </cell>
          <cell r="C92" t="str">
            <v>Código del Servicio 4</v>
          </cell>
          <cell r="D92" t="str">
            <v>Service Code 4</v>
          </cell>
          <cell r="E92" t="str">
            <v>Service Code 4</v>
          </cell>
          <cell r="F92" t="str">
            <v>Service Code 4</v>
          </cell>
          <cell r="G92" t="str">
            <v>Service Code 4</v>
          </cell>
          <cell r="H92" t="str">
            <v>Service Code 4</v>
          </cell>
          <cell r="I92" t="str">
            <v>Service Code 4</v>
          </cell>
          <cell r="J92" t="str">
            <v>Service Code 4</v>
          </cell>
          <cell r="K92" t="str">
            <v>Service Code 4</v>
          </cell>
        </row>
        <row r="93">
          <cell r="A93" t="str">
            <v>ProdCode5</v>
          </cell>
          <cell r="B93" t="str">
            <v>Product Code 5</v>
          </cell>
          <cell r="C93" t="str">
            <v>Código del Producto 5</v>
          </cell>
          <cell r="D93" t="str">
            <v>Product Code 5</v>
          </cell>
          <cell r="E93" t="str">
            <v>Product Code 5</v>
          </cell>
          <cell r="F93" t="str">
            <v>Product Code 5</v>
          </cell>
          <cell r="G93" t="str">
            <v>Product Code 5</v>
          </cell>
          <cell r="H93" t="str">
            <v>Product Code 5</v>
          </cell>
          <cell r="I93" t="str">
            <v>Product Code 5</v>
          </cell>
          <cell r="J93" t="str">
            <v>Product Code 5</v>
          </cell>
          <cell r="K93" t="str">
            <v>Product Code 5</v>
          </cell>
        </row>
        <row r="94">
          <cell r="A94" t="str">
            <v>ProdPct5</v>
          </cell>
          <cell r="B94" t="str">
            <v>Product Percent 5</v>
          </cell>
          <cell r="C94" t="str">
            <v>Porcentaje del Producto 5</v>
          </cell>
          <cell r="D94" t="str">
            <v>Product Percent 5</v>
          </cell>
          <cell r="E94" t="str">
            <v>Product Percent 5</v>
          </cell>
          <cell r="F94" t="str">
            <v>Product Percent 5</v>
          </cell>
          <cell r="G94" t="str">
            <v>Product Percent 5</v>
          </cell>
          <cell r="H94" t="str">
            <v>Product Percent 5</v>
          </cell>
          <cell r="I94" t="str">
            <v>Product Percent 5</v>
          </cell>
          <cell r="J94" t="str">
            <v>Product Percent 5</v>
          </cell>
          <cell r="K94" t="str">
            <v>Product Percent 5</v>
          </cell>
        </row>
        <row r="95">
          <cell r="A95" t="str">
            <v>SrvcCode5</v>
          </cell>
          <cell r="B95" t="str">
            <v>Service Code 5</v>
          </cell>
          <cell r="C95" t="str">
            <v>Código del Servicio 5</v>
          </cell>
          <cell r="D95" t="str">
            <v>Service Code 5</v>
          </cell>
          <cell r="E95" t="str">
            <v>Service Code 5</v>
          </cell>
          <cell r="F95" t="str">
            <v>Service Code 5</v>
          </cell>
          <cell r="G95" t="str">
            <v>Service Code 5</v>
          </cell>
          <cell r="H95" t="str">
            <v>Service Code 5</v>
          </cell>
          <cell r="I95" t="str">
            <v>Service Code 5</v>
          </cell>
          <cell r="J95" t="str">
            <v>Service Code 5</v>
          </cell>
          <cell r="K95" t="str">
            <v>Service Code 5</v>
          </cell>
        </row>
        <row r="97">
          <cell r="A97" t="str">
            <v>AcctInfo</v>
          </cell>
          <cell r="B97" t="str">
            <v>Account Information</v>
          </cell>
          <cell r="C97" t="str">
            <v>Información de la Cuenta</v>
          </cell>
          <cell r="D97" t="str">
            <v>Account Information</v>
          </cell>
          <cell r="E97" t="str">
            <v>Account Information</v>
          </cell>
          <cell r="F97" t="str">
            <v>Account Information</v>
          </cell>
          <cell r="G97" t="str">
            <v>Account Information</v>
          </cell>
          <cell r="H97" t="str">
            <v>Account Information</v>
          </cell>
          <cell r="I97" t="str">
            <v>Account Information</v>
          </cell>
          <cell r="J97" t="str">
            <v>Account Information</v>
          </cell>
          <cell r="K97" t="str">
            <v>Account Information</v>
          </cell>
        </row>
        <row r="98">
          <cell r="A98" t="str">
            <v>AcctName</v>
          </cell>
          <cell r="B98" t="str">
            <v>Account Name</v>
          </cell>
          <cell r="C98" t="str">
            <v>Nombre de la Cuenta</v>
          </cell>
          <cell r="D98" t="str">
            <v>Account Name</v>
          </cell>
          <cell r="E98" t="str">
            <v>Account Name</v>
          </cell>
          <cell r="F98" t="str">
            <v>Account Name</v>
          </cell>
          <cell r="G98" t="str">
            <v>Account Name</v>
          </cell>
          <cell r="H98" t="str">
            <v>Account Name</v>
          </cell>
          <cell r="I98" t="str">
            <v>Account Name</v>
          </cell>
          <cell r="J98" t="str">
            <v>Account Name</v>
          </cell>
          <cell r="K98" t="str">
            <v>Account Name</v>
          </cell>
        </row>
        <row r="99">
          <cell r="A99" t="str">
            <v>SiteType</v>
          </cell>
          <cell r="B99" t="str">
            <v>Site Type</v>
          </cell>
          <cell r="C99" t="str">
            <v>Tipo de Obra / Site</v>
          </cell>
          <cell r="D99" t="str">
            <v>Site Type</v>
          </cell>
          <cell r="E99" t="str">
            <v>Site Type</v>
          </cell>
          <cell r="F99" t="str">
            <v>Site Type</v>
          </cell>
          <cell r="G99" t="str">
            <v>Site Type</v>
          </cell>
          <cell r="H99" t="str">
            <v>Site Type</v>
          </cell>
          <cell r="I99" t="str">
            <v>Site Type</v>
          </cell>
          <cell r="J99" t="str">
            <v>Site Type</v>
          </cell>
          <cell r="K99" t="str">
            <v>Site Type</v>
          </cell>
        </row>
        <row r="100">
          <cell r="A100" t="str">
            <v>SiteID</v>
          </cell>
          <cell r="B100" t="str">
            <v>Site ID</v>
          </cell>
          <cell r="C100" t="str">
            <v>ID / Clave de Obra / Site</v>
          </cell>
          <cell r="D100" t="str">
            <v>Site ID</v>
          </cell>
          <cell r="E100" t="str">
            <v>Site ID</v>
          </cell>
          <cell r="F100" t="str">
            <v>Site ID</v>
          </cell>
          <cell r="G100" t="str">
            <v>Site ID</v>
          </cell>
          <cell r="H100" t="str">
            <v>Site ID</v>
          </cell>
          <cell r="I100" t="str">
            <v>Site ID</v>
          </cell>
          <cell r="J100" t="str">
            <v>Site ID</v>
          </cell>
          <cell r="K100" t="str">
            <v>Site ID</v>
          </cell>
        </row>
        <row r="101">
          <cell r="A101" t="str">
            <v>AcctPrio</v>
          </cell>
          <cell r="B101" t="str">
            <v>Priority</v>
          </cell>
          <cell r="C101" t="str">
            <v>Prioridad</v>
          </cell>
          <cell r="D101" t="str">
            <v>Priority</v>
          </cell>
          <cell r="E101" t="str">
            <v>Priority</v>
          </cell>
          <cell r="F101" t="str">
            <v>Priority</v>
          </cell>
          <cell r="G101" t="str">
            <v>Priority</v>
          </cell>
          <cell r="H101" t="str">
            <v>Priority</v>
          </cell>
          <cell r="I101" t="str">
            <v>Priority</v>
          </cell>
          <cell r="J101" t="str">
            <v>Priority</v>
          </cell>
          <cell r="K101" t="str">
            <v>Priority</v>
          </cell>
        </row>
        <row r="103">
          <cell r="A103" t="str">
            <v>Comments</v>
          </cell>
          <cell r="B103" t="str">
            <v>Comments</v>
          </cell>
          <cell r="C103" t="str">
            <v>Condiciones de Pago / Comentarios</v>
          </cell>
          <cell r="D103" t="str">
            <v>Billing, Shipping, Contact Information / Other Comments</v>
          </cell>
          <cell r="E103" t="str">
            <v>Billing, Shipping, Contact Information / Other Comments</v>
          </cell>
          <cell r="F103" t="str">
            <v>Billing, Shipping, Contact Information / Other Comments</v>
          </cell>
          <cell r="G103" t="str">
            <v>Billing, Shipping, Contact Information / Other Comments</v>
          </cell>
          <cell r="H103" t="str">
            <v>Billing, Shipping, Contact Information / Other Comments</v>
          </cell>
          <cell r="I103" t="str">
            <v>Billing, Shipping, Contact Information / Other Comments</v>
          </cell>
          <cell r="J103" t="str">
            <v>Billing, Shipping, Contact Information / Other Comments</v>
          </cell>
          <cell r="K103" t="str">
            <v>Billing, Shipping, Contact Information / Other Comments</v>
          </cell>
        </row>
        <row r="105">
          <cell r="A105" t="str">
            <v>Approvals</v>
          </cell>
          <cell r="B105" t="str">
            <v>Approvals</v>
          </cell>
          <cell r="C105" t="str">
            <v>Aprobado por</v>
          </cell>
          <cell r="D105" t="str">
            <v>Approvals</v>
          </cell>
          <cell r="E105" t="str">
            <v>Approvals</v>
          </cell>
          <cell r="F105" t="str">
            <v>Approvals</v>
          </cell>
          <cell r="G105" t="str">
            <v>Approvals</v>
          </cell>
          <cell r="H105" t="str">
            <v>Approvals</v>
          </cell>
          <cell r="I105" t="str">
            <v>Approvals</v>
          </cell>
          <cell r="J105" t="str">
            <v>Approvals</v>
          </cell>
          <cell r="K105" t="str">
            <v>Approvals</v>
          </cell>
        </row>
        <row r="106">
          <cell r="A106" t="str">
            <v>AccountExec</v>
          </cell>
          <cell r="B106" t="str">
            <v>Account Executive (Initials / Name)</v>
          </cell>
          <cell r="C106" t="str">
            <v>Ejecutivo de Cuenta (Iniciales / Nombre)</v>
          </cell>
          <cell r="D106" t="str">
            <v>Salesperson (Initials / Name)</v>
          </cell>
          <cell r="E106" t="str">
            <v>Salesperson (Initials / Name)</v>
          </cell>
          <cell r="F106" t="str">
            <v>Salesperson (Initials / Name)</v>
          </cell>
          <cell r="G106" t="str">
            <v>Salesperson (Initials / Name)</v>
          </cell>
          <cell r="H106" t="str">
            <v>Salesperson (Initials / Name)</v>
          </cell>
          <cell r="I106" t="str">
            <v>Salesperson (Initials / Name)</v>
          </cell>
          <cell r="J106" t="str">
            <v>Salesperson (Initials / Name)</v>
          </cell>
          <cell r="K106" t="str">
            <v>Salesperson (Initials / Name)</v>
          </cell>
        </row>
        <row r="107">
          <cell r="A107" t="str">
            <v>ProjectMgr</v>
          </cell>
          <cell r="B107" t="str">
            <v>Project Manager (Initials / Name)</v>
          </cell>
          <cell r="C107" t="str">
            <v>Gerente de Proyecto (Iniciales / Nombre)</v>
          </cell>
          <cell r="D107" t="str">
            <v>Project Manager (Initials / Name)</v>
          </cell>
          <cell r="E107" t="str">
            <v>Project Manager (Initials / Name)</v>
          </cell>
          <cell r="F107" t="str">
            <v>Project Manager (Initials / Name)</v>
          </cell>
          <cell r="G107" t="str">
            <v>Project Manager (Initials / Name)</v>
          </cell>
          <cell r="H107" t="str">
            <v>Project Manager (Initials / Name)</v>
          </cell>
          <cell r="I107" t="str">
            <v>Project Manager (Initials / Name)</v>
          </cell>
          <cell r="J107" t="str">
            <v>Project Manager (Initials / Name)</v>
          </cell>
          <cell r="K107" t="str">
            <v>Project Manager (Initials / Name)</v>
          </cell>
        </row>
        <row r="108">
          <cell r="A108" t="str">
            <v>ASMApproval</v>
          </cell>
          <cell r="B108" t="str">
            <v>ASM</v>
          </cell>
          <cell r="C108" t="str">
            <v>ASM</v>
          </cell>
          <cell r="D108" t="str">
            <v>Sales Manager</v>
          </cell>
          <cell r="E108" t="str">
            <v>Sales Manager</v>
          </cell>
          <cell r="F108" t="str">
            <v>Sales Manager</v>
          </cell>
          <cell r="G108" t="str">
            <v>Sales Manager</v>
          </cell>
          <cell r="H108" t="str">
            <v>Sales Manager</v>
          </cell>
          <cell r="I108" t="str">
            <v>Sales Manager</v>
          </cell>
          <cell r="J108" t="str">
            <v>Sales Manager</v>
          </cell>
          <cell r="K108" t="str">
            <v>Sales Manager</v>
          </cell>
        </row>
        <row r="109">
          <cell r="A109" t="str">
            <v>AIMApproval</v>
          </cell>
          <cell r="B109" t="str">
            <v>AIM</v>
          </cell>
          <cell r="C109" t="str">
            <v>AIM</v>
          </cell>
          <cell r="D109" t="str">
            <v>Installation / Service Manager</v>
          </cell>
          <cell r="E109" t="str">
            <v>Installation / Service Manager</v>
          </cell>
          <cell r="F109" t="str">
            <v>Installation / Service Manager</v>
          </cell>
          <cell r="G109" t="str">
            <v>Installation / Service Manager</v>
          </cell>
          <cell r="H109" t="str">
            <v>Installation / Service Manager</v>
          </cell>
          <cell r="I109" t="str">
            <v>Installation / Service Manager</v>
          </cell>
          <cell r="J109" t="str">
            <v>Installation / Service Manager</v>
          </cell>
          <cell r="K109" t="str">
            <v>Installation Manager</v>
          </cell>
        </row>
        <row r="110">
          <cell r="A110" t="str">
            <v>AGMApproval</v>
          </cell>
          <cell r="B110" t="str">
            <v>AGM</v>
          </cell>
          <cell r="C110" t="str">
            <v>AGM</v>
          </cell>
          <cell r="D110" t="str">
            <v>General Manager / Fin. Controller</v>
          </cell>
          <cell r="E110" t="str">
            <v>General Manager / Fin. Controller</v>
          </cell>
          <cell r="F110" t="str">
            <v>General Manager / Fin. Controller</v>
          </cell>
          <cell r="G110" t="str">
            <v>General Manager / Fin. Controller</v>
          </cell>
          <cell r="H110" t="str">
            <v>General Manager / Fin. Controller</v>
          </cell>
          <cell r="I110" t="str">
            <v>General Manager / Fin. Controller</v>
          </cell>
          <cell r="J110" t="str">
            <v>General Manager / Fin. Controller</v>
          </cell>
          <cell r="K110" t="str">
            <v>General Manager</v>
          </cell>
        </row>
        <row r="112">
          <cell r="A112" t="str">
            <v>MultiYrPSA</v>
          </cell>
          <cell r="B112" t="str">
            <v>Multi Year PSA</v>
          </cell>
          <cell r="C112" t="str">
            <v>Año Multiple PSA</v>
          </cell>
          <cell r="D112" t="str">
            <v>Multi Year PSA</v>
          </cell>
          <cell r="E112" t="str">
            <v>Multi Year PSA</v>
          </cell>
          <cell r="F112" t="str">
            <v>Multi Year PSA</v>
          </cell>
          <cell r="G112" t="str">
            <v>Multi Year PSA</v>
          </cell>
          <cell r="H112" t="str">
            <v>Multi Year PSA</v>
          </cell>
          <cell r="I112" t="str">
            <v>Multi Year PSA</v>
          </cell>
          <cell r="J112" t="str">
            <v>Multi Year PSA</v>
          </cell>
          <cell r="K112" t="str">
            <v>Multi Year PSA</v>
          </cell>
        </row>
        <row r="113">
          <cell r="A113" t="str">
            <v>TotalSecured</v>
          </cell>
          <cell r="B113" t="str">
            <v>Total Amount Secured</v>
          </cell>
          <cell r="C113" t="str">
            <v>Cantidad Total Asegurada</v>
          </cell>
          <cell r="D113" t="str">
            <v>Total Amount Secured</v>
          </cell>
          <cell r="E113" t="str">
            <v>Total Amount Secured</v>
          </cell>
          <cell r="F113" t="str">
            <v>Total Amount Secured</v>
          </cell>
          <cell r="G113" t="str">
            <v>Total Amount Secured</v>
          </cell>
          <cell r="H113" t="str">
            <v>Total Amount Secured</v>
          </cell>
          <cell r="I113" t="str">
            <v>Total Amount Secured</v>
          </cell>
          <cell r="J113" t="str">
            <v>Total Amount Secured</v>
          </cell>
          <cell r="K113" t="str">
            <v>Total Amount Secured</v>
          </cell>
        </row>
        <row r="114">
          <cell r="A114" t="str">
            <v>TotalGrossMargin</v>
          </cell>
          <cell r="B114" t="str">
            <v>Total Gross Margin</v>
          </cell>
          <cell r="C114" t="str">
            <v>Margen Total Bruto</v>
          </cell>
          <cell r="D114" t="str">
            <v>Total Gross Margin</v>
          </cell>
          <cell r="E114" t="str">
            <v>Total Gross Margin</v>
          </cell>
          <cell r="F114" t="str">
            <v>Total Gross Margin</v>
          </cell>
          <cell r="G114" t="str">
            <v>Total Gross Margin</v>
          </cell>
          <cell r="H114" t="str">
            <v>Total Gross Margin</v>
          </cell>
          <cell r="I114" t="str">
            <v>Total Gross Margin</v>
          </cell>
          <cell r="J114" t="str">
            <v>Total Gross Margin</v>
          </cell>
          <cell r="K114" t="str">
            <v>Total Gross Margin</v>
          </cell>
        </row>
        <row r="115">
          <cell r="A115" t="str">
            <v>Duration</v>
          </cell>
          <cell r="B115" t="str">
            <v>Duration</v>
          </cell>
          <cell r="C115" t="str">
            <v>Duración</v>
          </cell>
          <cell r="D115" t="str">
            <v>Duration</v>
          </cell>
          <cell r="E115" t="str">
            <v>Duration</v>
          </cell>
          <cell r="F115" t="str">
            <v>Duration</v>
          </cell>
          <cell r="G115" t="str">
            <v>Duration</v>
          </cell>
          <cell r="H115" t="str">
            <v>Duration</v>
          </cell>
          <cell r="I115" t="str">
            <v>Duration</v>
          </cell>
          <cell r="J115" t="str">
            <v>Duration</v>
          </cell>
          <cell r="K115" t="str">
            <v>Duration</v>
          </cell>
        </row>
        <row r="117">
          <cell r="A117" t="str">
            <v>Misc</v>
          </cell>
          <cell r="B117" t="str">
            <v>Miscellaneous</v>
          </cell>
          <cell r="C117" t="str">
            <v>Misceláneo</v>
          </cell>
          <cell r="D117" t="str">
            <v>Miscellaneous</v>
          </cell>
          <cell r="E117" t="str">
            <v>Miscellaneous</v>
          </cell>
          <cell r="F117" t="str">
            <v>Miscellaneous</v>
          </cell>
          <cell r="G117" t="str">
            <v>Miscellaneous</v>
          </cell>
          <cell r="H117" t="str">
            <v>Miscellaneous</v>
          </cell>
          <cell r="I117" t="str">
            <v>Miscellaneous</v>
          </cell>
          <cell r="J117" t="str">
            <v>Miscellaneous</v>
          </cell>
          <cell r="K117" t="str">
            <v>Miscellaneous</v>
          </cell>
        </row>
        <row r="118">
          <cell r="A118" t="str">
            <v>BillingFreq</v>
          </cell>
          <cell r="B118" t="str">
            <v>PSA Billing Frequency</v>
          </cell>
          <cell r="C118" t="str">
            <v>PSA Frecuencia de Facturacion</v>
          </cell>
          <cell r="D118" t="str">
            <v>PSA Billing Frequency</v>
          </cell>
          <cell r="E118" t="str">
            <v>PSA Billing Frequency</v>
          </cell>
          <cell r="F118" t="str">
            <v>PSA Billing Frequency</v>
          </cell>
          <cell r="G118" t="str">
            <v>PSA Billing Frequency</v>
          </cell>
          <cell r="H118" t="str">
            <v>PSA Billing Frequency</v>
          </cell>
          <cell r="I118" t="str">
            <v>PSA Billing Frequency</v>
          </cell>
          <cell r="J118" t="str">
            <v>PSA Billing Frequency</v>
          </cell>
          <cell r="K118" t="str">
            <v>PSA Billing Frequency</v>
          </cell>
        </row>
        <row r="119">
          <cell r="A119" t="str">
            <v>BillingTiming</v>
          </cell>
          <cell r="B119" t="str">
            <v>PSA Billing Timing</v>
          </cell>
          <cell r="C119" t="str">
            <v>PSA Momento de Facturacion</v>
          </cell>
          <cell r="D119" t="str">
            <v>PSA Billing Timing</v>
          </cell>
          <cell r="E119" t="str">
            <v>PSA Billing Timing</v>
          </cell>
          <cell r="F119" t="str">
            <v>PSA Billing Timing</v>
          </cell>
          <cell r="G119" t="str">
            <v>PSA Billing Timing</v>
          </cell>
          <cell r="H119" t="str">
            <v>PSA Billing Timing</v>
          </cell>
          <cell r="I119" t="str">
            <v>PSA Billing Timing</v>
          </cell>
          <cell r="J119" t="str">
            <v>PSA Billing Timing</v>
          </cell>
          <cell r="K119" t="str">
            <v>PSA Billing Timing</v>
          </cell>
        </row>
        <row r="120">
          <cell r="A120" t="str">
            <v>PSABillingMethod</v>
          </cell>
          <cell r="B120" t="str">
            <v>PSA Billing Method</v>
          </cell>
          <cell r="C120" t="str">
            <v>PSA Metodo de Facturacion</v>
          </cell>
          <cell r="D120" t="str">
            <v>PSA Billing Method</v>
          </cell>
          <cell r="E120" t="str">
            <v>PSA Billing Method</v>
          </cell>
          <cell r="F120" t="str">
            <v>PSA Billing Method</v>
          </cell>
          <cell r="G120" t="str">
            <v>PSA Billing Method</v>
          </cell>
          <cell r="H120" t="str">
            <v>PSA Billing Method</v>
          </cell>
          <cell r="I120" t="str">
            <v>PSA Billing Method</v>
          </cell>
          <cell r="J120" t="str">
            <v>PSA Billing Method</v>
          </cell>
          <cell r="K120" t="str">
            <v>PSA Billing Method</v>
          </cell>
        </row>
        <row r="121">
          <cell r="A121" t="str">
            <v>InstBillingMethod</v>
          </cell>
          <cell r="B121" t="str">
            <v>Installation Billing Method</v>
          </cell>
          <cell r="C121" t="str">
            <v>Metodo de Fact. de Instalacion</v>
          </cell>
          <cell r="D121" t="str">
            <v>Installation Billing Method</v>
          </cell>
          <cell r="E121" t="str">
            <v>Installation Billing Method</v>
          </cell>
          <cell r="F121" t="str">
            <v>Installation Billing Method</v>
          </cell>
          <cell r="G121" t="str">
            <v>Installation Billing Method</v>
          </cell>
          <cell r="H121" t="str">
            <v>Installation Billing Method</v>
          </cell>
          <cell r="I121" t="str">
            <v>Installation Billing Method</v>
          </cell>
          <cell r="J121" t="str">
            <v>Installation Billing Method</v>
          </cell>
          <cell r="K121" t="str">
            <v>Installation Billing Method</v>
          </cell>
        </row>
        <row r="122">
          <cell r="A122" t="str">
            <v>PreBidApproval</v>
          </cell>
          <cell r="B122" t="str">
            <v>Pre-Bid Approval</v>
          </cell>
          <cell r="C122" t="str">
            <v>Pre-Oferta Aprovada</v>
          </cell>
          <cell r="D122" t="str">
            <v>Pre-Bid Approval</v>
          </cell>
          <cell r="E122" t="str">
            <v>Pre-Bid Approval</v>
          </cell>
          <cell r="F122" t="str">
            <v>Pre-Bid Approval</v>
          </cell>
          <cell r="G122" t="str">
            <v>Pre-Bid Approval</v>
          </cell>
          <cell r="H122" t="str">
            <v>Pre-Bid Approval</v>
          </cell>
          <cell r="I122" t="str">
            <v>Pre-Bid Approval</v>
          </cell>
          <cell r="J122" t="str">
            <v>Pre-Bid Approval</v>
          </cell>
          <cell r="K122" t="str">
            <v>Pre-Bid Approval</v>
          </cell>
        </row>
        <row r="123">
          <cell r="A123" t="str">
            <v>CurrencyRate</v>
          </cell>
          <cell r="B123" t="str">
            <v>Exchange Rate (not applicable, use 1.0)</v>
          </cell>
          <cell r="C123" t="str">
            <v>Tipo de cambio - pesos por USD</v>
          </cell>
          <cell r="D123" t="str">
            <v>Exchange Rate - USD per HK$</v>
          </cell>
          <cell r="E123" t="str">
            <v>Exchange Rate - USD per RM$</v>
          </cell>
          <cell r="F123" t="str">
            <v>Exchange Rate - USD per SGD</v>
          </cell>
          <cell r="G123" t="str">
            <v>Exchange Rate - USD per Rp</v>
          </cell>
          <cell r="H123" t="str">
            <v>Exchange Rate - USD per SGD$</v>
          </cell>
          <cell r="I123" t="str">
            <v>Exchange Rate - USD per THB$</v>
          </cell>
          <cell r="J123" t="str">
            <v>Exchange Rate - USD per AUD</v>
          </cell>
          <cell r="K123" t="str">
            <v>Exchange Rate - USD per local currency</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OC (2)"/>
      <sheetName val="01"/>
      <sheetName val="02"/>
      <sheetName val="03"/>
      <sheetName val="04"/>
      <sheetName val="5"/>
      <sheetName val="6"/>
      <sheetName val="07"/>
      <sheetName val="8"/>
      <sheetName val="09 (2)"/>
      <sheetName val="Land Acquistion"/>
    </sheetNames>
    <sheetDataSet>
      <sheetData sheetId="0"/>
      <sheetData sheetId="1">
        <row r="31">
          <cell r="I31">
            <v>25782383.2245</v>
          </cell>
        </row>
      </sheetData>
      <sheetData sheetId="2">
        <row r="21">
          <cell r="I21">
            <v>163036643.73360002</v>
          </cell>
        </row>
      </sheetData>
      <sheetData sheetId="3">
        <row r="21">
          <cell r="I21">
            <v>131973844.59533399</v>
          </cell>
        </row>
      </sheetData>
      <sheetData sheetId="4"/>
      <sheetData sheetId="5"/>
      <sheetData sheetId="6"/>
      <sheetData sheetId="7"/>
      <sheetData sheetId="8"/>
      <sheetData sheetId="9"/>
      <sheetData sheetId="1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Direct cost shed A-2 "/>
      <sheetName val="1.01 (a)"/>
      <sheetName val="Costing-blk-B"/>
      <sheetName val="Background"/>
      <sheetName val="bill 2"/>
      <sheetName val="starter"/>
      <sheetName val="MN T.B."/>
      <sheetName val="S1BOQ"/>
      <sheetName val="BOQ"/>
      <sheetName val="Cost summary"/>
      <sheetName val="labour"/>
      <sheetName val="BOQ LT"/>
      <sheetName val="Cable-data"/>
      <sheetName val="Labels"/>
      <sheetName val="final abstract"/>
      <sheetName val="costing"/>
      <sheetName val="bs BP 04 SA"/>
      <sheetName val="India F&amp;S Template"/>
      <sheetName val="GBW"/>
      <sheetName val="3A-TiBill"/>
      <sheetName val="2A-tIS bILL"/>
      <sheetName val="Analy_7-10"/>
      <sheetName val="Annexure - T(3)"/>
      <sheetName val="DPR"/>
      <sheetName val="Coalmine"/>
      <sheetName val="A1-Continuous"/>
      <sheetName val="Sqn_Abs"/>
      <sheetName val="BHANDUP"/>
      <sheetName val="Mat_Cost"/>
      <sheetName val="CASHFLOWS"/>
      <sheetName val="Bill No 2 to 8 (Rev)"/>
      <sheetName val="det_est"/>
      <sheetName val="BLK2"/>
      <sheetName val="BLK3"/>
      <sheetName val="E &amp; R"/>
      <sheetName val="radar"/>
      <sheetName val="UG"/>
      <sheetName val="Data"/>
      <sheetName val="PriceSummary"/>
      <sheetName val="Rate analysis"/>
      <sheetName val="#REF"/>
      <sheetName val="Steel-Circular"/>
      <sheetName val="Full Cost Calculation-1"/>
      <sheetName val="Instruction-Description"/>
      <sheetName val="Riser-1"/>
      <sheetName val="A.O.R."/>
      <sheetName val="FitOutConfCentre"/>
      <sheetName val="train cash"/>
      <sheetName val="accom cash"/>
      <sheetName val="Lead"/>
      <sheetName val="Sheet3"/>
      <sheetName val="Site wise NADs"/>
      <sheetName val="Sheet4"/>
      <sheetName val="Sheet2"/>
      <sheetName val="factor sheet"/>
      <sheetName val="factors"/>
      <sheetName val="SPT vs PHI"/>
      <sheetName val="Summary_Local"/>
      <sheetName val="dyes"/>
      <sheetName val="UTILITY"/>
      <sheetName val="Core Data"/>
      <sheetName val="dlvoid"/>
      <sheetName val="Set"/>
      <sheetName val="C&amp;I SUMMARY"/>
      <sheetName val="Fee Rate Summary"/>
      <sheetName val="Headings"/>
      <sheetName val="PRECAST lightconc-II"/>
      <sheetName val="INDIGINEOUS ITEMS "/>
      <sheetName val="INT Block Work"/>
      <sheetName val="MASTER_RATE ANALYSIS"/>
      <sheetName val="Measurements"/>
      <sheetName val="Tables"/>
      <sheetName val="Flooring"/>
      <sheetName val="Ceilings"/>
      <sheetName val="ACAD Finishes"/>
      <sheetName val="Site Details"/>
      <sheetName val="Chair"/>
      <sheetName val="Site Area Statement"/>
      <sheetName val="Doors"/>
      <sheetName val="Estimate"/>
      <sheetName val="Config"/>
      <sheetName val="Break Dw"/>
      <sheetName val="Gr. H"/>
      <sheetName val="extra work elec bill "/>
      <sheetName val="Alstom_Soft seating_V R0_090216"/>
      <sheetName val="Formulas"/>
      <sheetName val="PLANT"/>
      <sheetName val="INSTRUMENT"/>
      <sheetName val="SpecITEM"/>
      <sheetName val="LINE_Sc"/>
      <sheetName val="MOTOR"/>
      <sheetName val="Design"/>
      <sheetName val="Intro"/>
      <sheetName val="TBAL9697 -group wise  sdpl"/>
      <sheetName val="MH Compensate-Nov"/>
      <sheetName val="BLOCK-E"/>
      <sheetName val="FTE Totals_Plan"/>
      <sheetName val="PANEL ANNEXURE"/>
      <sheetName val="Sqn _Main_ Abs"/>
      <sheetName val="Codes"/>
      <sheetName val="Parameter"/>
      <sheetName val="협조전"/>
      <sheetName val="CABLE DATA"/>
      <sheetName val="선수금"/>
      <sheetName val="Cash2"/>
      <sheetName val="Internet"/>
      <sheetName val="Summary"/>
      <sheetName val="calcul"/>
      <sheetName val="col-reinft1"/>
      <sheetName val="TBEAM"/>
      <sheetName val="1"/>
      <sheetName val="Works - Quote Sheet"/>
      <sheetName val="SPEC SHEET"/>
      <sheetName val="COLUMN"/>
      <sheetName val="SP_Break_Up"/>
      <sheetName val="Start_Here"/>
      <sheetName val="Analysis_Sheet"/>
      <sheetName val="Break_Up_as_you_wish"/>
      <sheetName val="Grand_Summary"/>
      <sheetName val="Material-Local-Non_ABB"/>
      <sheetName val="Material-Import-Non_ABB"/>
      <sheetName val="Services-Non_ABB"/>
      <sheetName val="Unit_Sheet"/>
      <sheetName val="Cost_summary"/>
      <sheetName val="BOQ_LT"/>
      <sheetName val="Gr__H"/>
      <sheetName val="final_abstract"/>
      <sheetName val="Break_Dw"/>
      <sheetName val="Direct_cost_shed_A-2_"/>
      <sheetName val="bill_2"/>
      <sheetName val="MN_T_B_"/>
      <sheetName val="C&amp;I_SUMMARY"/>
      <sheetName val="ACAD_Finishes"/>
      <sheetName val="Site_Details"/>
      <sheetName val="Site_Area_Statement"/>
      <sheetName val="bs_BP_04_SA"/>
      <sheetName val="Full_Cost_Calculation-1"/>
      <sheetName val="Alstom_Soft_seating_V_R0_090216"/>
      <sheetName val="TBAL9697_-group_wise__sdpl"/>
      <sheetName val="extra_work_elec_bill_"/>
      <sheetName val="2A-tIS_bILL"/>
      <sheetName val="Annexure_-_T(3)"/>
      <sheetName val="PRECAST_lightconc-II"/>
      <sheetName val="Rate_analysis"/>
      <sheetName val="MH_Compensate-Nov"/>
      <sheetName val="Sqn__Main__Abs"/>
      <sheetName val="FTE_Totals_Plan"/>
      <sheetName val="CABLE_DATA"/>
      <sheetName val="Works_-_Quote_Sheet"/>
      <sheetName val="PANEL_ANNEXURE"/>
      <sheetName val="B1"/>
      <sheetName val="Assumption Inputs"/>
      <sheetName val="jan'04"/>
      <sheetName val="Summ-Jan-Dec04-Revised"/>
      <sheetName val="Summ-Apr-Dec04_BLI"/>
    </sheetNames>
    <sheetDataSet>
      <sheetData sheetId="0">
        <row r="6">
          <cell r="A6" t="str">
            <v>Type</v>
          </cell>
        </row>
      </sheetData>
      <sheetData sheetId="1"/>
      <sheetData sheetId="2"/>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reas"/>
      <sheetName val="Type 1 2BHK budget"/>
      <sheetName val="Annexture 1 consultant"/>
      <sheetName val="Annexure 2 Civil Work "/>
      <sheetName val="Annexure 3 Finishing Work "/>
      <sheetName val="Annexture 4 services"/>
      <sheetName val="Material List "/>
      <sheetName val="Labour Rate "/>
      <sheetName val="(M+L)"/>
      <sheetName val="Guidelines"/>
      <sheetName val="Consumption of Materials"/>
      <sheetName val="Summary"/>
      <sheetName val="Details"/>
      <sheetName val="B.W."/>
      <sheetName val="Finishing"/>
      <sheetName val="W.P."/>
      <sheetName val="Internal Plaster"/>
      <sheetName val="BW BK up"/>
      <sheetName val="Elect (2)"/>
      <sheetName val="Autom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erial "/>
      <sheetName val="Labour &amp; Plant"/>
    </sheetNames>
    <sheetDataSet>
      <sheetData sheetId="0"/>
      <sheetData sheetId="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PENDIX-I"/>
      <sheetName val="Corr-spt"/>
      <sheetName val="Obs-spt"/>
      <sheetName val="SPT vs PHI"/>
      <sheetName val="Indices"/>
      <sheetName val="Concrete"/>
      <sheetName val="reinft"/>
      <sheetName val="glass project concrete"/>
      <sheetName val="glass project reift"/>
      <sheetName val="glass project indices"/>
      <sheetName val="Lab"/>
      <sheetName val="office"/>
      <sheetName val="Material&amp;equipment"/>
      <sheetName val="Boq"/>
      <sheetName val="SBC-BH-1"/>
      <sheetName val="gen"/>
      <sheetName val="SBC-BH 19"/>
      <sheetName val="SBC-BH-16"/>
      <sheetName val="BH-20"/>
      <sheetName val="BH-15"/>
      <sheetName val="BH-14"/>
      <sheetName val="BH-16"/>
      <sheetName val="BH-17"/>
      <sheetName val="sbc-ABH-1"/>
      <sheetName val="ABH-1"/>
      <sheetName val="BH-19"/>
      <sheetName val="BH-1"/>
      <sheetName val="SBC-BH-3"/>
      <sheetName val="BH-3"/>
      <sheetName val="Sheet4"/>
      <sheetName val="Rate Analysis"/>
      <sheetName val="sept-plan"/>
      <sheetName val="Table10"/>
      <sheetName val="Table11"/>
      <sheetName val="Table12"/>
      <sheetName val="Table9"/>
      <sheetName val="Mix Design"/>
      <sheetName val="std-rates"/>
      <sheetName val="Spt-BH"/>
      <sheetName val="Summary 0506"/>
      <sheetName val="Summary 0607- 31.MAR"/>
      <sheetName val="Civil Boq"/>
      <sheetName val="FitOutConfCentre"/>
      <sheetName val="Other"/>
      <sheetName val="Summary"/>
      <sheetName val="#REF!"/>
      <sheetName val="Qty"/>
      <sheetName val="SPT_vs_PHI"/>
      <sheetName val="glass_project_concrete"/>
      <sheetName val="glass_project_reift"/>
      <sheetName val="glass_project_indices"/>
      <sheetName val="Pile cap"/>
      <sheetName val="Sheet1"/>
      <sheetName val="BH 12-11-10-13"/>
      <sheetName val="BH 12-11-10-9"/>
      <sheetName val="BH 36-15-37"/>
      <sheetName val="BH 16-35-25-17"/>
      <sheetName val="BH 35-25-17"/>
      <sheetName val="Sheet1 (2)"/>
      <sheetName val="Sheet2"/>
      <sheetName val="PRECAST lightconc-II"/>
      <sheetName val="SPT_vs_PHI1"/>
      <sheetName val="glass_project_concrete1"/>
      <sheetName val="glass_project_reift1"/>
      <sheetName val="glass_project_indices1"/>
      <sheetName val="SBC-BH_19"/>
      <sheetName val="Rate_Analysis"/>
      <sheetName val="BH_12-11-10-13"/>
      <sheetName val="BH_12-11-10-9"/>
      <sheetName val="BH_36-15-37"/>
      <sheetName val="BH_16-35-25-17"/>
      <sheetName val="BH_35-25-17"/>
      <sheetName val="Sheet1_(2)"/>
      <sheetName val="d-safe DELUXE"/>
      <sheetName val="RCC,Ret. Wall"/>
      <sheetName val="Form 6"/>
      <sheetName val="PointNo.5"/>
      <sheetName val="Design"/>
      <sheetName val="Fill this out first..."/>
      <sheetName val="LABOUR"/>
      <sheetName val="REVISED4A PROG PERF-SITE 1"/>
      <sheetName val="Legal Risk Analysis"/>
      <sheetName val="BLK2"/>
      <sheetName val="BLK3"/>
      <sheetName val="E &amp; R"/>
      <sheetName val="radar"/>
      <sheetName val="UG"/>
      <sheetName val="Break up Sheet"/>
      <sheetName val="TBAL9697 -group wise  sdpl"/>
      <sheetName val="Abstract Sheet"/>
      <sheetName val="V.O.4 - PCC Qty"/>
      <sheetName val="BOQ (2)"/>
      <sheetName val="Input"/>
      <sheetName val="Activity"/>
      <sheetName val="Staff Acco."/>
      <sheetName val="Crew"/>
      <sheetName val="Piping"/>
      <sheetName val="Pipe Supports"/>
      <sheetName val="BOQ_Direct_selling cost"/>
      <sheetName val="WWR"/>
      <sheetName val="GBW"/>
      <sheetName val="8"/>
      <sheetName val="Load Details-220kV"/>
      <sheetName val="SANJAY PAL"/>
      <sheetName val="P A SELVAM"/>
      <sheetName val="ANSARI "/>
      <sheetName val="abdesh pal"/>
      <sheetName val="sujay bagchi"/>
      <sheetName val="S.K.SINHA BASU"/>
      <sheetName val="NEDUNCHEZHIYAN"/>
      <sheetName val="RAJARAM"/>
      <sheetName val="KRISHNA PRASAD"/>
      <sheetName val="BARATH &amp; CO"/>
      <sheetName val="L B YADAV"/>
      <sheetName val="DEEPAK KUMAR"/>
      <sheetName val="MUKLAL YADAV"/>
      <sheetName val="MADHU SUDHAN"/>
      <sheetName val="SAUD ALAM "/>
      <sheetName val="RAMESH BABU"/>
      <sheetName val="SUKHENDUPAL"/>
      <sheetName val="SAILEN SARKAR"/>
      <sheetName val="elongovan"/>
      <sheetName val="SANJAY JENA1"/>
      <sheetName val="upendra saw "/>
      <sheetName val="ALLOK KUMAR "/>
      <sheetName val="analysis"/>
      <sheetName val="except wiring"/>
      <sheetName val="CABLE DATA"/>
      <sheetName val="Stock-II"/>
      <sheetName val="R20_R30_work"/>
      <sheetName val="Flight-1"/>
      <sheetName val="Publicbuilding"/>
      <sheetName val="FT-05-02IsoBOM"/>
      <sheetName val="final abstract"/>
      <sheetName val=""/>
      <sheetName val="Rev S1 Abstract"/>
      <sheetName val="Quantity Abstract"/>
      <sheetName val="Abstract"/>
      <sheetName val="M-Book for Conc"/>
      <sheetName val="M-Book for FW"/>
      <sheetName val="BS1"/>
      <sheetName val="#REF"/>
      <sheetName val="RA"/>
      <sheetName val="11-hsd"/>
      <sheetName val="13-septic"/>
      <sheetName val="7-ug"/>
      <sheetName val="2-utility"/>
      <sheetName val="18-misc"/>
      <sheetName val="5-pipe"/>
      <sheetName val="VCH-SLC"/>
      <sheetName val="Supplier"/>
      <sheetName val="Parapet"/>
      <sheetName val="sheet6"/>
      <sheetName val="RA-markate"/>
      <sheetName val="B@__x005f_x0000__x005f_x0004_@_x005f_x0000__x0000"/>
      <sheetName val="Project Budget Worksheet"/>
      <sheetName val="beam-reinft-IIInd floor"/>
      <sheetName val="INPUT SHEET"/>
      <sheetName val="RES-PLANNING"/>
      <sheetName val="Footings"/>
      <sheetName val="Sump"/>
      <sheetName val="COLUMN"/>
      <sheetName val="Summary_0506"/>
      <sheetName val="Summary_0607-_31_MAR"/>
      <sheetName val="Form_6"/>
      <sheetName val="B@_"/>
      <sheetName val="cubes_M20"/>
      <sheetName val="BOQ -II ph 2"/>
      <sheetName val="A-General"/>
      <sheetName val="switch"/>
      <sheetName val="B@___x0004_@_____$__"/>
      <sheetName val="Sheet3"/>
      <sheetName val="Macro1"/>
      <sheetName val="Fee Rate Summary"/>
      <sheetName val="STAFFSCHED "/>
      <sheetName val="SUMM"/>
      <sheetName val="DADAN-1"/>
      <sheetName val="dummy"/>
      <sheetName val="d-safe specs"/>
      <sheetName val="class &amp; category"/>
      <sheetName val="Rein-Final (Ph 1+Ph2)"/>
      <sheetName val="Cost_any"/>
      <sheetName val="Process"/>
      <sheetName val="pt_cw"/>
      <sheetName val="Metso - Forth &amp; Slurry 11.02.10"/>
      <sheetName val="AOR"/>
      <sheetName val="1"/>
      <sheetName val="Lead"/>
      <sheetName val="India F&amp;S Template"/>
      <sheetName val="Site wise NADs"/>
      <sheetName val="col-reinft1"/>
      <sheetName val="FUNDFLOW"/>
      <sheetName val="220 11  BS "/>
      <sheetName val="Build-up"/>
      <sheetName val="TBAL9697_-group_wise__sdpl"/>
      <sheetName val="Headings"/>
      <sheetName val="Formulas"/>
      <sheetName val="SBC-BH_191"/>
      <sheetName val="2gii"/>
      <sheetName val="HPL"/>
      <sheetName val="Costing"/>
      <sheetName val="T&amp;M"/>
      <sheetName val="SOR"/>
      <sheetName val="PriceSummary"/>
      <sheetName val="SPT_vs_PHI2"/>
      <sheetName val="glass_project_concrete2"/>
      <sheetName val="glass_project_reift2"/>
      <sheetName val="glass_project_indices2"/>
      <sheetName val="BH_12-11-10-131"/>
      <sheetName val="BH_12-11-10-91"/>
      <sheetName val="BH_36-15-371"/>
      <sheetName val="BH_16-35-25-171"/>
      <sheetName val="BH_35-25-171"/>
      <sheetName val="Sheet1_(2)1"/>
      <sheetName val="Rate_Analysis1"/>
      <sheetName val="Civil_Boq"/>
      <sheetName val="Pile_cap"/>
      <sheetName val="PRECAST_lightconc-II"/>
      <sheetName val="d-safe_DELUXE"/>
      <sheetName val="Mix_Design"/>
      <sheetName val="RCC,Ret__Wall"/>
      <sheetName val="PointNo_5"/>
      <sheetName val="Abstract_Sheet"/>
      <sheetName val="E_&amp;_R"/>
      <sheetName val="Legal_Risk_Analysis"/>
      <sheetName val="Break_up_Sheet"/>
      <sheetName val="V_O_4_-_PCC_Qty"/>
      <sheetName val="maingirder"/>
      <sheetName val="basic-data"/>
      <sheetName val="Title"/>
      <sheetName val="Summary_05061"/>
      <sheetName val="Summary_0607-_31_MAR1"/>
      <sheetName val="Form_61"/>
      <sheetName val="Fill_this_out_first___"/>
      <sheetName val="REVISED4A_PROG_PERF-SITE_1"/>
      <sheetName val="BOQ_Direct_selling_cost"/>
      <sheetName val="Load_Details-220kV"/>
      <sheetName val="beam-reinft-IIInd_floor"/>
      <sheetName val="BOQ_(2)"/>
      <sheetName val="CABLE_DATA"/>
      <sheetName val="final_abstract"/>
      <sheetName val="Rev_S1_Abstract"/>
      <sheetName val="Quantity_Abstract"/>
      <sheetName val="Staff_Acco_"/>
      <sheetName val="Pipe_Supports"/>
      <sheetName val="M-Book_for_Conc"/>
      <sheetName val="M-Book_for_FW"/>
      <sheetName val="INPUT_SHEET"/>
      <sheetName val="SANJAY_PAL"/>
      <sheetName val="P_A_SELVAM"/>
      <sheetName val="ANSARI_"/>
      <sheetName val="abdesh_pal"/>
      <sheetName val="sujay_bagchi"/>
      <sheetName val="S_K_SINHA_BASU"/>
      <sheetName val="KRISHNA_PRASAD"/>
      <sheetName val="BARATH_&amp;_CO"/>
      <sheetName val="L_B_YADAV"/>
      <sheetName val="DEEPAK_KUMAR"/>
      <sheetName val="MUKLAL_YADAV"/>
      <sheetName val="MADHU_SUDHAN"/>
      <sheetName val="SAUD_ALAM_"/>
      <sheetName val="RAMESH_BABU"/>
      <sheetName val="SAILEN_SARKAR"/>
      <sheetName val="SANJAY_JENA1"/>
      <sheetName val="upendra_saw_"/>
      <sheetName val="ALLOK_KUMAR_"/>
      <sheetName val="except_wiring"/>
      <sheetName val="B@__@_____$__"/>
      <sheetName val="Project_Budget_Worksheet"/>
      <sheetName val="BOQ_-II_ph_2"/>
      <sheetName val="C"/>
      <sheetName val="B"/>
      <sheetName val="Mx1012a"/>
      <sheetName val="Quote Sheet"/>
      <sheetName val="Cal"/>
      <sheetName val="Data"/>
      <sheetName val="Voucher"/>
      <sheetName val="Materials Cost(PCC)"/>
      <sheetName val="B@___x005f_x0004_@_____$__"/>
      <sheetName val="B@__x005f_x005f_x005f_x0000__x005f_x005f_x005f_x0004_@_"/>
      <sheetName val="SSR &amp; NSSR Market final"/>
      <sheetName val="p&amp;m"/>
      <sheetName val="x-items"/>
      <sheetName val="BLOCK-E"/>
      <sheetName val="precast RC element"/>
      <sheetName val="Stress Calculation"/>
      <sheetName val="NPV"/>
      <sheetName val="B@[_x005f_x0000__x005f_x0004_@_x005f_x0000__x0000"/>
      <sheetName val="Coefficients"/>
      <sheetName val="IS3370"/>
      <sheetName val="IS456"/>
      <sheetName val="SPT_vs_PHI5"/>
      <sheetName val="glass_project_concrete5"/>
      <sheetName val="glass_project_reift5"/>
      <sheetName val="glass_project_indices5"/>
      <sheetName val="SBC-BH_194"/>
      <sheetName val="Rate_Analysis4"/>
      <sheetName val="Summary_05064"/>
      <sheetName val="Summary_0607-_31_MAR4"/>
      <sheetName val="Civil_Boq3"/>
      <sheetName val="Pile_cap3"/>
      <sheetName val="V_O_4_-_PCC_Qty3"/>
      <sheetName val="TBAL9697_-group_wise__sdpl3"/>
      <sheetName val="Abstract_Sheet3"/>
      <sheetName val="Legal_Risk_Analysis3"/>
      <sheetName val="BH_12-11-10-134"/>
      <sheetName val="BH_12-11-10-94"/>
      <sheetName val="BH_36-15-374"/>
      <sheetName val="BH_16-35-25-174"/>
      <sheetName val="BH_35-25-174"/>
      <sheetName val="Sheet1_(2)4"/>
      <sheetName val="PRECAST_lightconc-II3"/>
      <sheetName val="Mix_Design3"/>
      <sheetName val="d-safe_DELUXE3"/>
      <sheetName val="RCC,Ret__Wall3"/>
      <sheetName val="Form_64"/>
      <sheetName val="PointNo_53"/>
      <sheetName val="E_&amp;_R3"/>
      <sheetName val="Break_up_Sheet3"/>
      <sheetName val="Fill_this_out_first___3"/>
      <sheetName val="REVISED4A_PROG_PERF-SITE_13"/>
      <sheetName val="BOQ_Direct_selling_cost3"/>
      <sheetName val="final_abstract2"/>
      <sheetName val="BOQ_(2)3"/>
      <sheetName val="beam-reinft-IIInd_floor2"/>
      <sheetName val="Staff_Acco_3"/>
      <sheetName val="Pipe_Supports3"/>
      <sheetName val="M-Book_for_Conc2"/>
      <sheetName val="M-Book_for_FW2"/>
      <sheetName val="CABLE_DATA3"/>
      <sheetName val="Load_Details-220kV2"/>
      <sheetName val="SANJAY_PAL2"/>
      <sheetName val="P_A_SELVAM2"/>
      <sheetName val="ANSARI_2"/>
      <sheetName val="abdesh_pal2"/>
      <sheetName val="sujay_bagchi2"/>
      <sheetName val="S_K_SINHA_BASU2"/>
      <sheetName val="KRISHNA_PRASAD2"/>
      <sheetName val="BARATH_&amp;_CO2"/>
      <sheetName val="L_B_YADAV2"/>
      <sheetName val="DEEPAK_KUMAR2"/>
      <sheetName val="MUKLAL_YADAV2"/>
      <sheetName val="MADHU_SUDHAN2"/>
      <sheetName val="SAUD_ALAM_2"/>
      <sheetName val="RAMESH_BABU2"/>
      <sheetName val="SAILEN_SARKAR2"/>
      <sheetName val="SANJAY_JENA12"/>
      <sheetName val="upendra_saw_2"/>
      <sheetName val="ALLOK_KUMAR_2"/>
      <sheetName val="except_wiring2"/>
      <sheetName val="Rev_S1_Abstract2"/>
      <sheetName val="Quantity_Abstract2"/>
      <sheetName val="INPUT_SHEET2"/>
      <sheetName val="Project_Budget_Worksheet2"/>
      <sheetName val="Metso_-_Forth_&amp;_Slurry_11_02_11"/>
      <sheetName val="BOQ_-II_ph_22"/>
      <sheetName val="Fee_Rate_Summary1"/>
      <sheetName val="STAFFSCHED_1"/>
      <sheetName val="d-safe_specs1"/>
      <sheetName val="class_&amp;_category1"/>
      <sheetName val="Rein-Final_(Ph_1+Ph2)1"/>
      <sheetName val="India_F&amp;S_Template1"/>
      <sheetName val="220_11__BS_1"/>
      <sheetName val="SSR_&amp;_NSSR_Market_final1"/>
      <sheetName val="Site_wise_NADs1"/>
      <sheetName val="Quote_Sheet1"/>
      <sheetName val="RA_RCC_F1"/>
      <sheetName val="SPT_vs_PHI3"/>
      <sheetName val="glass_project_concrete3"/>
      <sheetName val="glass_project_reift3"/>
      <sheetName val="glass_project_indices3"/>
      <sheetName val="SBC-BH_192"/>
      <sheetName val="Rate_Analysis2"/>
      <sheetName val="Summary_05062"/>
      <sheetName val="Summary_0607-_31_MAR2"/>
      <sheetName val="Civil_Boq1"/>
      <sheetName val="Pile_cap1"/>
      <sheetName val="V_O_4_-_PCC_Qty1"/>
      <sheetName val="TBAL9697_-group_wise__sdpl1"/>
      <sheetName val="Abstract_Sheet1"/>
      <sheetName val="Legal_Risk_Analysis1"/>
      <sheetName val="BH_12-11-10-132"/>
      <sheetName val="BH_12-11-10-92"/>
      <sheetName val="BH_36-15-372"/>
      <sheetName val="BH_16-35-25-172"/>
      <sheetName val="BH_35-25-172"/>
      <sheetName val="Sheet1_(2)2"/>
      <sheetName val="PRECAST_lightconc-II1"/>
      <sheetName val="Mix_Design1"/>
      <sheetName val="d-safe_DELUXE1"/>
      <sheetName val="RCC,Ret__Wall1"/>
      <sheetName val="Form_62"/>
      <sheetName val="PointNo_51"/>
      <sheetName val="E_&amp;_R1"/>
      <sheetName val="Break_up_Sheet1"/>
      <sheetName val="Fill_this_out_first___1"/>
      <sheetName val="REVISED4A_PROG_PERF-SITE_11"/>
      <sheetName val="BOQ_Direct_selling_cost1"/>
      <sheetName val="final_abstract1"/>
      <sheetName val="BOQ_(2)1"/>
      <sheetName val="beam-reinft-IIInd_floor1"/>
      <sheetName val="Staff_Acco_1"/>
      <sheetName val="Pipe_Supports1"/>
      <sheetName val="M-Book_for_Conc1"/>
      <sheetName val="M-Book_for_FW1"/>
      <sheetName val="CABLE_DATA1"/>
      <sheetName val="Load_Details-220kV1"/>
      <sheetName val="SANJAY_PAL1"/>
      <sheetName val="P_A_SELVAM1"/>
      <sheetName val="ANSARI_1"/>
      <sheetName val="abdesh_pal1"/>
      <sheetName val="sujay_bagchi1"/>
      <sheetName val="S_K_SINHA_BASU1"/>
      <sheetName val="KRISHNA_PRASAD1"/>
      <sheetName val="BARATH_&amp;_CO1"/>
      <sheetName val="L_B_YADAV1"/>
      <sheetName val="DEEPAK_KUMAR1"/>
      <sheetName val="MUKLAL_YADAV1"/>
      <sheetName val="MADHU_SUDHAN1"/>
      <sheetName val="SAUD_ALAM_1"/>
      <sheetName val="RAMESH_BABU1"/>
      <sheetName val="SAILEN_SARKAR1"/>
      <sheetName val="SANJAY_JENA11"/>
      <sheetName val="upendra_saw_1"/>
      <sheetName val="ALLOK_KUMAR_1"/>
      <sheetName val="except_wiring1"/>
      <sheetName val="Rev_S1_Abstract1"/>
      <sheetName val="Quantity_Abstract1"/>
      <sheetName val="INPUT_SHEET1"/>
      <sheetName val="Project_Budget_Worksheet1"/>
      <sheetName val="Metso_-_Forth_&amp;_Slurry_11_02_10"/>
      <sheetName val="BOQ_-II_ph_21"/>
      <sheetName val="Fee_Rate_Summary"/>
      <sheetName val="STAFFSCHED_"/>
      <sheetName val="d-safe_specs"/>
      <sheetName val="class_&amp;_category"/>
      <sheetName val="Rein-Final_(Ph_1+Ph2)"/>
      <sheetName val="India_F&amp;S_Template"/>
      <sheetName val="220_11__BS_"/>
      <sheetName val="SSR_&amp;_NSSR_Market_final"/>
      <sheetName val="Site_wise_NADs"/>
      <sheetName val="Quote_Sheet"/>
      <sheetName val="RA_RCC_F"/>
      <sheetName val="SPT_vs_PHI4"/>
      <sheetName val="glass_project_concrete4"/>
      <sheetName val="glass_project_reift4"/>
      <sheetName val="glass_project_indices4"/>
      <sheetName val="SBC-BH_193"/>
      <sheetName val="Rate_Analysis3"/>
      <sheetName val="Summary_05063"/>
      <sheetName val="Summary_0607-_31_MAR3"/>
      <sheetName val="PRECAST_lightconc-II2"/>
      <sheetName val="Civil_Boq2"/>
      <sheetName val="Pile_cap2"/>
      <sheetName val="BH_12-11-10-133"/>
      <sheetName val="BH_12-11-10-93"/>
      <sheetName val="BH_36-15-373"/>
      <sheetName val="BH_16-35-25-173"/>
      <sheetName val="BH_35-25-173"/>
      <sheetName val="Sheet1_(2)3"/>
      <sheetName val="d-safe_DELUXE2"/>
      <sheetName val="Legal_Risk_Analysis2"/>
      <sheetName val="Mix_Design2"/>
      <sheetName val="Form_63"/>
      <sheetName val="PointNo_52"/>
      <sheetName val="RCC,Ret__Wall2"/>
      <sheetName val="E_&amp;_R2"/>
      <sheetName val="Break_up_Sheet2"/>
      <sheetName val="TBAL9697_-group_wise__sdpl2"/>
      <sheetName val="Abstract_Sheet2"/>
      <sheetName val="V_O_4_-_PCC_Qty2"/>
      <sheetName val="Fill_this_out_first___2"/>
      <sheetName val="REVISED4A_PROG_PERF-SITE_12"/>
      <sheetName val="BOQ_(2)2"/>
      <sheetName val="BOQ_Direct_selling_cost2"/>
      <sheetName val="CABLE_DATA2"/>
      <sheetName val="Staff_Acco_2"/>
      <sheetName val="Pipe_Supports2"/>
      <sheetName val="Names&amp;Cases"/>
      <sheetName val="Control"/>
      <sheetName val="Assumptions"/>
      <sheetName val="ASS"/>
      <sheetName val="Summary_output"/>
      <sheetName val="Fin__Assumpt__-_Sensitivities"/>
      <sheetName val="GUT_(2)"/>
      <sheetName val="Data_Input"/>
      <sheetName val="Cases"/>
      <sheetName val="ACE-OUT"/>
      <sheetName val="WORK_TABLE"/>
      <sheetName val="PCC"/>
      <sheetName val="RA RCC F"/>
      <sheetName val="B@_@__$"/>
      <sheetName val="Qty-Opt1"/>
      <sheetName val="Assmpns"/>
      <sheetName val="Detail"/>
      <sheetName val="MGS"/>
      <sheetName val="attach(2)"/>
      <sheetName val="Abstract for Variation"/>
      <sheetName val="LBD VARIATION"/>
      <sheetName val="Debits as on 12.04.08"/>
      <sheetName val="合成単価作成表-BLDG"/>
      <sheetName val="PRRM Dashboard"/>
      <sheetName val="Mappings"/>
      <sheetName val="Fin Sum"/>
      <sheetName val="Staff Forecast spread"/>
      <sheetName val="B@__x005f_x0000__x005f_x0004_@_x005f_x0000___$_x0"/>
      <sheetName val="B@___x005f_x005f_x005f_x0004_@_____$__"/>
      <sheetName val="B@__x005f_x005f_x005f_x005f_x005f_x005f_x005f_x0000__x0"/>
      <sheetName val="IDCCALHYD-GOO"/>
      <sheetName val="Inputs &amp; Summary Output"/>
      <sheetName val="Broad Refresher Model"/>
      <sheetName val="BHANDUP"/>
      <sheetName val="Report"/>
      <sheetName val="Cost of O &amp; O"/>
      <sheetName val="Back"/>
      <sheetName val="FOOTING"/>
      <sheetName val="COLUMNS"/>
      <sheetName val="plinth Beam + Stirrups "/>
      <sheetName val="GF COLUMNS"/>
      <sheetName val="G.F ROOF BEAM "/>
      <sheetName val="GF SLAB STEEL"/>
      <sheetName val="GF Lintel"/>
      <sheetName val="GF Stair"/>
      <sheetName val="FF COLUMNS"/>
      <sheetName val="F.F. Steel FINAL (2)"/>
      <sheetName val="FF Lintel"/>
      <sheetName val="FF Stair"/>
      <sheetName val="S.F. Steel FINAL "/>
      <sheetName val="SF Lintel"/>
      <sheetName val="Material List "/>
      <sheetName val="LT Motor catalog"/>
      <sheetName val="Cable cat"/>
      <sheetName val="3"/>
      <sheetName val="B@["/>
      <sheetName val="inWords"/>
      <sheetName val="syndicate codes"/>
      <sheetName val="B@__x0000__x0004_@_x0000__x0000"/>
      <sheetName val="B@__x005f_x0000__x005f_x0004_@_"/>
      <sheetName val="B@[_x005f_x005f_x005f_x0000__x005f_x005f_x005f_x0004_@_"/>
      <sheetName val="재1"/>
      <sheetName val="SubmitCal"/>
      <sheetName val="EDWise"/>
      <sheetName val="ComboSheet"/>
      <sheetName val="Index "/>
      <sheetName val="Instructions"/>
      <sheetName val="Email Approval Template"/>
      <sheetName val="1 Executive Summary"/>
      <sheetName val="2 Risk Assessment Analysis"/>
      <sheetName val="3 Pre-Approval"/>
      <sheetName val="Map"/>
      <sheetName val="4 CIS"/>
      <sheetName val="5 Change Order"/>
      <sheetName val="5.1  Re-book De-book order"/>
      <sheetName val="6 Contract Re-estimates"/>
      <sheetName val="7a BG Approval Form"/>
      <sheetName val="7b BG Email Approval Template"/>
      <sheetName val="8 LAD Approval Form"/>
      <sheetName val="9 LOI Checklist"/>
      <sheetName val="10 RPS Information Form"/>
      <sheetName val="11 Proj Cashflow "/>
      <sheetName val="11.1 Cash-flow Chart"/>
      <sheetName val="Threshold Calculator"/>
      <sheetName val="Version Control"/>
      <sheetName val="Prebid Review"/>
      <sheetName val="DJC Parameters"/>
      <sheetName val="Offer"/>
      <sheetName val="Selling Summary"/>
      <sheetName val="1-BAS (cost)"/>
      <sheetName val="Controller Configuration"/>
      <sheetName val="IO Summary"/>
      <sheetName val="2-FAS (cost)"/>
      <sheetName val="Cost Summary"/>
      <sheetName val="3-PA (cost)"/>
      <sheetName val="Approved Make"/>
      <sheetName val="Basis of offer"/>
      <sheetName val="High Level Summary"/>
      <sheetName val="4-ACS  (cost)"/>
      <sheetName val="5-CCTV  (cost)"/>
      <sheetName val="6-FFT  (cost)"/>
      <sheetName val="7- Service Retrofit  (cost)"/>
      <sheetName val="8-Service PSA,O&amp;M  (cost)"/>
      <sheetName val="9- Service L&amp;M  (cost)"/>
      <sheetName val="non fixed DJC "/>
      <sheetName val="10-UPG (cost)"/>
      <sheetName val="11-ESG  (cost)"/>
      <sheetName val="12-Products (cost)"/>
      <sheetName val="13-VAV  (cost)"/>
      <sheetName val="14-REF (cost)"/>
      <sheetName val="15 - Local Chiller (cost)"/>
      <sheetName val="Selling-Local Chiller"/>
      <sheetName val="Material Cost JCS"/>
      <sheetName val="Costing USD Chiller"/>
      <sheetName val="Selling-USD Chiller"/>
      <sheetName val="PRICE MATRIX -JCIPL"/>
      <sheetName val="COST SUMMARY- JCIPL"/>
      <sheetName val="1-BAS-JCIPL"/>
      <sheetName val="2-FAS-JCIPL"/>
      <sheetName val="3-PA-JCIPL"/>
      <sheetName val="4-ACS-JCIPL"/>
      <sheetName val="5-CCTV-JCIPL"/>
      <sheetName val="6 -FFT-JCIPL"/>
      <sheetName val="7-Ser Retro -JCIPL"/>
      <sheetName val="8-Ser PSA, O&amp;M -JCIPL"/>
      <sheetName val="9-Ser L&amp;M -JCIPL"/>
      <sheetName val="10-UPG JCIPL"/>
      <sheetName val="11-ESG JCIPL"/>
      <sheetName val="12-Products JCIPL"/>
      <sheetName val="13-VAV JCIPL"/>
      <sheetName val="14-REF JCMRL "/>
      <sheetName val="Proj. DJC-JCIPL"/>
      <sheetName val=" L0 DDC 1"/>
      <sheetName val="L0 DDC-2"/>
      <sheetName val="L16 DDC-3"/>
      <sheetName val="L16-DDC-4"/>
      <sheetName val="L16 DDC-5"/>
      <sheetName val="L17 DDC-6"/>
      <sheetName val="L17 DDC-7 "/>
      <sheetName val="L18 DDC-8"/>
      <sheetName val="L18-DDC-9"/>
      <sheetName val="2-AutoDialer Sys"/>
      <sheetName val="1-BAS1 (cost)"/>
      <sheetName val="2-BAS2 (cost)"/>
      <sheetName val="Deviations-Project Risks"/>
      <sheetName val="IO Schedule"/>
      <sheetName val="Direct cost shed A-2 "/>
      <sheetName val="ELECT"/>
      <sheetName val="pr.cal"/>
      <sheetName val="SàQa_x0005_@_x0000__x0000__x0000_²"/>
      <sheetName val="upa"/>
      <sheetName val="Stress_Calculation"/>
      <sheetName val="Stress_Calculation1"/>
      <sheetName val=" AT-1-220 "/>
      <sheetName val=" BC-220"/>
      <sheetName val="Components"/>
      <sheetName val="DETAILED  BOQ"/>
      <sheetName val="Code"/>
      <sheetName val="Materials_Cost(PCC)"/>
      <sheetName val="precast_RC_element"/>
      <sheetName val="plinth_Beam_+_Stirrups_"/>
      <sheetName val="GF_COLUMNS"/>
      <sheetName val="G_F_ROOF_BEAM_"/>
      <sheetName val="GF_SLAB_STEEL"/>
      <sheetName val="GF_Lintel"/>
      <sheetName val="GF_Stair"/>
      <sheetName val="FF_COLUMNS"/>
      <sheetName val="F_F__Steel_FINAL_(2)"/>
      <sheetName val="FF_Lintel"/>
      <sheetName val="FF_Stair"/>
      <sheetName val="S_F__Steel_FINAL_"/>
      <sheetName val="SF_Lintel"/>
      <sheetName val="final_abstract3"/>
      <sheetName val="Rev_S1_Abstract3"/>
      <sheetName val="Quantity_Abstract3"/>
      <sheetName val="M-Book_for_Conc3"/>
      <sheetName val="M-Book_for_FW3"/>
      <sheetName val="Load_Details-220kV3"/>
      <sheetName val="beam-reinft-IIInd_floor3"/>
      <sheetName val="INPUT_SHEET3"/>
      <sheetName val="Project_Budget_Worksheet3"/>
      <sheetName val="SANJAY_PAL3"/>
      <sheetName val="P_A_SELVAM3"/>
      <sheetName val="ANSARI_3"/>
      <sheetName val="abdesh_pal3"/>
      <sheetName val="sujay_bagchi3"/>
      <sheetName val="S_K_SINHA_BASU3"/>
      <sheetName val="KRISHNA_PRASAD3"/>
      <sheetName val="BARATH_&amp;_CO3"/>
      <sheetName val="L_B_YADAV3"/>
      <sheetName val="DEEPAK_KUMAR3"/>
      <sheetName val="MUKLAL_YADAV3"/>
      <sheetName val="MADHU_SUDHAN3"/>
      <sheetName val="SAUD_ALAM_3"/>
      <sheetName val="RAMESH_BABU3"/>
      <sheetName val="SAILEN_SARKAR3"/>
      <sheetName val="SANJAY_JENA13"/>
      <sheetName val="upendra_saw_3"/>
      <sheetName val="ALLOK_KUMAR_3"/>
      <sheetName val="except_wiring3"/>
      <sheetName val="BOQ_-II_ph_23"/>
      <sheetName val="STAFFSCHED_2"/>
      <sheetName val="Metso_-_Forth_&amp;_Slurry_11_02_12"/>
      <sheetName val="Fee_Rate_Summary2"/>
      <sheetName val="d-safe_specs2"/>
      <sheetName val="Quote_Sheet2"/>
      <sheetName val="class_&amp;_category2"/>
      <sheetName val="Rein-Final_(Ph_1+Ph2)2"/>
      <sheetName val="Materials_Cost(PCC)2"/>
      <sheetName val="220_11__BS_2"/>
      <sheetName val="SSR_&amp;_NSSR_Market_final2"/>
      <sheetName val="Site_wise_NADs2"/>
      <sheetName val="RA_RCC_F2"/>
      <sheetName val="India_F&amp;S_Template2"/>
      <sheetName val="Stress_Calculation2"/>
      <sheetName val="precast_RC_element2"/>
      <sheetName val="plinth_Beam_+_Stirrups_2"/>
      <sheetName val="GF_COLUMNS2"/>
      <sheetName val="G_F_ROOF_BEAM_2"/>
      <sheetName val="GF_SLAB_STEEL2"/>
      <sheetName val="GF_Lintel2"/>
      <sheetName val="GF_Stair2"/>
      <sheetName val="FF_COLUMNS2"/>
      <sheetName val="F_F__Steel_FINAL_(2)2"/>
      <sheetName val="FF_Lintel2"/>
      <sheetName val="FF_Stair2"/>
      <sheetName val="S_F__Steel_FINAL_2"/>
      <sheetName val="SF_Lintel2"/>
      <sheetName val="Materials_Cost(PCC)1"/>
      <sheetName val="precast_RC_element1"/>
      <sheetName val="plinth_Beam_+_Stirrups_1"/>
      <sheetName val="GF_COLUMNS1"/>
      <sheetName val="G_F_ROOF_BEAM_1"/>
      <sheetName val="GF_SLAB_STEEL1"/>
      <sheetName val="GF_Lintel1"/>
      <sheetName val="GF_Stair1"/>
      <sheetName val="FF_COLUMNS1"/>
      <sheetName val="F_F__Steel_FINAL_(2)1"/>
      <sheetName val="FF_Lintel1"/>
      <sheetName val="FF_Stair1"/>
      <sheetName val="S_F__Steel_FINAL_1"/>
      <sheetName val="SF_Lintel1"/>
      <sheetName val="SPT_vs_PHI6"/>
      <sheetName val="glass_project_concrete6"/>
      <sheetName val="glass_project_reift6"/>
      <sheetName val="glass_project_indices6"/>
      <sheetName val="SBC-BH_195"/>
      <sheetName val="Rate_Analysis5"/>
      <sheetName val="Summary_05065"/>
      <sheetName val="Summary_0607-_31_MAR5"/>
      <sheetName val="Civil_Boq4"/>
      <sheetName val="Pile_cap4"/>
      <sheetName val="BH_12-11-10-135"/>
      <sheetName val="BH_12-11-10-95"/>
      <sheetName val="BH_36-15-375"/>
      <sheetName val="BH_16-35-25-175"/>
      <sheetName val="BH_35-25-175"/>
      <sheetName val="Sheet1_(2)5"/>
      <sheetName val="d-safe_DELUXE4"/>
      <sheetName val="PRECAST_lightconc-II4"/>
      <sheetName val="Legal_Risk_Analysis4"/>
      <sheetName val="Mix_Design4"/>
      <sheetName val="Form_65"/>
      <sheetName val="PointNo_54"/>
      <sheetName val="RCC,Ret__Wall4"/>
      <sheetName val="E_&amp;_R4"/>
      <sheetName val="Break_up_Sheet4"/>
      <sheetName val="TBAL9697_-group_wise__sdpl4"/>
      <sheetName val="Abstract_Sheet4"/>
      <sheetName val="V_O_4_-_PCC_Qty4"/>
      <sheetName val="Fill_this_out_first___4"/>
      <sheetName val="REVISED4A_PROG_PERF-SITE_14"/>
      <sheetName val="BOQ_Direct_selling_cost4"/>
      <sheetName val="BOQ_(2)4"/>
      <sheetName val="CABLE_DATA4"/>
      <sheetName val="Staff_Acco_4"/>
      <sheetName val="Pipe_Supports4"/>
      <sheetName val="final_abstract4"/>
      <sheetName val="Rev_S1_Abstract4"/>
      <sheetName val="Quantity_Abstract4"/>
      <sheetName val="M-Book_for_Conc4"/>
      <sheetName val="M-Book_for_FW4"/>
      <sheetName val="Load_Details-220kV4"/>
      <sheetName val="beam-reinft-IIInd_floor4"/>
      <sheetName val="INPUT_SHEET4"/>
      <sheetName val="Project_Budget_Worksheet4"/>
      <sheetName val="SANJAY_PAL4"/>
      <sheetName val="P_A_SELVAM4"/>
      <sheetName val="ANSARI_4"/>
      <sheetName val="abdesh_pal4"/>
      <sheetName val="sujay_bagchi4"/>
      <sheetName val="S_K_SINHA_BASU4"/>
      <sheetName val="KRISHNA_PRASAD4"/>
      <sheetName val="BARATH_&amp;_CO4"/>
      <sheetName val="L_B_YADAV4"/>
      <sheetName val="DEEPAK_KUMAR4"/>
      <sheetName val="MUKLAL_YADAV4"/>
      <sheetName val="MADHU_SUDHAN4"/>
      <sheetName val="SAUD_ALAM_4"/>
      <sheetName val="RAMESH_BABU4"/>
      <sheetName val="SAILEN_SARKAR4"/>
      <sheetName val="SANJAY_JENA14"/>
      <sheetName val="upendra_saw_4"/>
      <sheetName val="ALLOK_KUMAR_4"/>
      <sheetName val="except_wiring4"/>
      <sheetName val="BOQ_-II_ph_24"/>
      <sheetName val="STAFFSCHED_3"/>
      <sheetName val="Metso_-_Forth_&amp;_Slurry_11_02_13"/>
      <sheetName val="Fee_Rate_Summary3"/>
      <sheetName val="d-safe_specs3"/>
      <sheetName val="Quote_Sheet3"/>
      <sheetName val="class_&amp;_category3"/>
      <sheetName val="Rein-Final_(Ph_1+Ph2)3"/>
      <sheetName val="Materials_Cost(PCC)3"/>
      <sheetName val="220_11__BS_3"/>
      <sheetName val="SSR_&amp;_NSSR_Market_final3"/>
      <sheetName val="Site_wise_NADs3"/>
      <sheetName val="RA_RCC_F3"/>
      <sheetName val="India_F&amp;S_Template3"/>
      <sheetName val="Stress_Calculation3"/>
      <sheetName val="precast_RC_element3"/>
      <sheetName val="plinth_Beam_+_Stirrups_3"/>
      <sheetName val="GF_COLUMNS3"/>
      <sheetName val="G_F_ROOF_BEAM_3"/>
      <sheetName val="GF_SLAB_STEEL3"/>
      <sheetName val="GF_Lintel3"/>
      <sheetName val="GF_Stair3"/>
      <sheetName val="FF_COLUMNS3"/>
      <sheetName val="F_F__Steel_FINAL_(2)3"/>
      <sheetName val="FF_Lintel3"/>
      <sheetName val="FF_Stair3"/>
      <sheetName val="S_F__Steel_FINAL_3"/>
      <sheetName val="SF_Lintel3"/>
      <sheetName val="SPT_vs_PHI7"/>
      <sheetName val="glass_project_concrete7"/>
      <sheetName val="glass_project_reift7"/>
      <sheetName val="glass_project_indices7"/>
      <sheetName val="SBC-BH_196"/>
      <sheetName val="Rate_Analysis6"/>
      <sheetName val="Summary_05066"/>
      <sheetName val="Summary_0607-_31_MAR6"/>
      <sheetName val="Civil_Boq5"/>
      <sheetName val="Pile_cap5"/>
      <sheetName val="BH_12-11-10-136"/>
      <sheetName val="BH_12-11-10-96"/>
      <sheetName val="BH_36-15-376"/>
      <sheetName val="BH_16-35-25-176"/>
      <sheetName val="BH_35-25-176"/>
      <sheetName val="Sheet1_(2)6"/>
      <sheetName val="d-safe_DELUXE5"/>
      <sheetName val="PRECAST_lightconc-II5"/>
      <sheetName val="Legal_Risk_Analysis5"/>
      <sheetName val="Mix_Design5"/>
      <sheetName val="Form_66"/>
      <sheetName val="PointNo_55"/>
      <sheetName val="RCC,Ret__Wall5"/>
      <sheetName val="E_&amp;_R5"/>
      <sheetName val="Break_up_Sheet5"/>
      <sheetName val="TBAL9697_-group_wise__sdpl5"/>
      <sheetName val="Abstract_Sheet5"/>
      <sheetName val="V_O_4_-_PCC_Qty5"/>
      <sheetName val="Fill_this_out_first___5"/>
      <sheetName val="REVISED4A_PROG_PERF-SITE_15"/>
      <sheetName val="BOQ_Direct_selling_cost5"/>
      <sheetName val="BOQ_(2)5"/>
      <sheetName val="CABLE_DATA5"/>
      <sheetName val="Staff_Acco_5"/>
      <sheetName val="Pipe_Supports5"/>
      <sheetName val="final_abstract5"/>
      <sheetName val="Rev_S1_Abstract5"/>
      <sheetName val="Quantity_Abstract5"/>
      <sheetName val="M-Book_for_Conc5"/>
      <sheetName val="M-Book_for_FW5"/>
      <sheetName val="Load_Details-220kV5"/>
      <sheetName val="beam-reinft-IIInd_floor5"/>
      <sheetName val="INPUT_SHEET5"/>
      <sheetName val="Project_Budget_Worksheet5"/>
      <sheetName val="SANJAY_PAL5"/>
      <sheetName val="P_A_SELVAM5"/>
      <sheetName val="ANSARI_5"/>
      <sheetName val="abdesh_pal5"/>
      <sheetName val="sujay_bagchi5"/>
      <sheetName val="S_K_SINHA_BASU5"/>
      <sheetName val="KRISHNA_PRASAD5"/>
      <sheetName val="BARATH_&amp;_CO5"/>
      <sheetName val="L_B_YADAV5"/>
      <sheetName val="DEEPAK_KUMAR5"/>
      <sheetName val="MUKLAL_YADAV5"/>
      <sheetName val="MADHU_SUDHAN5"/>
      <sheetName val="SAUD_ALAM_5"/>
      <sheetName val="RAMESH_BABU5"/>
      <sheetName val="SAILEN_SARKAR5"/>
      <sheetName val="SANJAY_JENA15"/>
      <sheetName val="upendra_saw_5"/>
      <sheetName val="ALLOK_KUMAR_5"/>
      <sheetName val="except_wiring5"/>
      <sheetName val="BOQ_-II_ph_25"/>
      <sheetName val="STAFFSCHED_4"/>
      <sheetName val="Metso_-_Forth_&amp;_Slurry_11_02_14"/>
      <sheetName val="Fee_Rate_Summary4"/>
      <sheetName val="d-safe_specs4"/>
      <sheetName val="Quote_Sheet4"/>
      <sheetName val="class_&amp;_category4"/>
      <sheetName val="Rein-Final_(Ph_1+Ph2)4"/>
      <sheetName val="Materials_Cost(PCC)4"/>
      <sheetName val="220_11__BS_4"/>
      <sheetName val="SSR_&amp;_NSSR_Market_final4"/>
      <sheetName val="Site_wise_NADs4"/>
      <sheetName val="RA_RCC_F4"/>
      <sheetName val="India_F&amp;S_Template4"/>
      <sheetName val="Stress_Calculation4"/>
      <sheetName val="precast_RC_element4"/>
      <sheetName val="plinth_Beam_+_Stirrups_4"/>
      <sheetName val="GF_COLUMNS4"/>
      <sheetName val="G_F_ROOF_BEAM_4"/>
      <sheetName val="GF_SLAB_STEEL4"/>
      <sheetName val="GF_Lintel4"/>
      <sheetName val="GF_Stair4"/>
      <sheetName val="FF_COLUMNS4"/>
      <sheetName val="F_F__Steel_FINAL_(2)4"/>
      <sheetName val="FF_Lintel4"/>
      <sheetName val="FF_Stair4"/>
      <sheetName val="S_F__Steel_FINAL_4"/>
      <sheetName val="SF_Lintel4"/>
      <sheetName val="SPT_vs_PHI8"/>
      <sheetName val="glass_project_concrete8"/>
      <sheetName val="glass_project_reift8"/>
      <sheetName val="glass_project_indices8"/>
      <sheetName val="SBC-BH_197"/>
      <sheetName val="Rate_Analysis7"/>
      <sheetName val="Summary_05067"/>
      <sheetName val="Summary_0607-_31_MAR7"/>
      <sheetName val="Civil_Boq6"/>
      <sheetName val="Pile_cap6"/>
      <sheetName val="BH_12-11-10-137"/>
      <sheetName val="BH_12-11-10-97"/>
      <sheetName val="BH_36-15-377"/>
      <sheetName val="BH_16-35-25-177"/>
      <sheetName val="BH_35-25-177"/>
      <sheetName val="Sheet1_(2)7"/>
      <sheetName val="d-safe_DELUXE6"/>
      <sheetName val="PRECAST_lightconc-II6"/>
      <sheetName val="Legal_Risk_Analysis6"/>
      <sheetName val="Mix_Design6"/>
      <sheetName val="Form_67"/>
      <sheetName val="PointNo_56"/>
      <sheetName val="RCC,Ret__Wall6"/>
      <sheetName val="E_&amp;_R6"/>
      <sheetName val="Break_up_Sheet6"/>
      <sheetName val="TBAL9697_-group_wise__sdpl6"/>
      <sheetName val="Abstract_Sheet6"/>
      <sheetName val="V_O_4_-_PCC_Qty6"/>
      <sheetName val="Fill_this_out_first___6"/>
      <sheetName val="REVISED4A_PROG_PERF-SITE_16"/>
      <sheetName val="BOQ_Direct_selling_cost6"/>
      <sheetName val="BOQ_(2)6"/>
      <sheetName val="CABLE_DATA6"/>
      <sheetName val="Staff_Acco_6"/>
      <sheetName val="Pipe_Supports6"/>
      <sheetName val="final_abstract6"/>
      <sheetName val="Rev_S1_Abstract6"/>
      <sheetName val="Quantity_Abstract6"/>
      <sheetName val="M-Book_for_Conc6"/>
      <sheetName val="M-Book_for_FW6"/>
      <sheetName val="Load_Details-220kV6"/>
      <sheetName val="beam-reinft-IIInd_floor6"/>
      <sheetName val="INPUT_SHEET6"/>
      <sheetName val="Project_Budget_Worksheet6"/>
      <sheetName val="SANJAY_PAL6"/>
      <sheetName val="P_A_SELVAM6"/>
      <sheetName val="ANSARI_6"/>
      <sheetName val="abdesh_pal6"/>
      <sheetName val="sujay_bagchi6"/>
      <sheetName val="S_K_SINHA_BASU6"/>
      <sheetName val="KRISHNA_PRASAD6"/>
      <sheetName val="BARATH_&amp;_CO6"/>
      <sheetName val="L_B_YADAV6"/>
      <sheetName val="DEEPAK_KUMAR6"/>
      <sheetName val="MUKLAL_YADAV6"/>
      <sheetName val="MADHU_SUDHAN6"/>
      <sheetName val="SAUD_ALAM_6"/>
      <sheetName val="RAMESH_BABU6"/>
      <sheetName val="SAILEN_SARKAR6"/>
      <sheetName val="SANJAY_JENA16"/>
      <sheetName val="upendra_saw_6"/>
      <sheetName val="ALLOK_KUMAR_6"/>
      <sheetName val="except_wiring6"/>
      <sheetName val="BOQ_-II_ph_26"/>
      <sheetName val="STAFFSCHED_5"/>
      <sheetName val="Metso_-_Forth_&amp;_Slurry_11_02_15"/>
      <sheetName val="Fee_Rate_Summary5"/>
      <sheetName val="d-safe_specs5"/>
      <sheetName val="Quote_Sheet5"/>
      <sheetName val="class_&amp;_category5"/>
      <sheetName val="Rein-Final_(Ph_1+Ph2)5"/>
      <sheetName val="Materials_Cost(PCC)5"/>
      <sheetName val="220_11__BS_5"/>
      <sheetName val="SSR_&amp;_NSSR_Market_final5"/>
      <sheetName val="Site_wise_NADs5"/>
      <sheetName val="RA_RCC_F5"/>
      <sheetName val="India_F&amp;S_Template5"/>
      <sheetName val="Stress_Calculation5"/>
      <sheetName val="precast_RC_element5"/>
      <sheetName val="plinth_Beam_+_Stirrups_5"/>
      <sheetName val="GF_COLUMNS5"/>
      <sheetName val="G_F_ROOF_BEAM_5"/>
      <sheetName val="GF_SLAB_STEEL5"/>
      <sheetName val="GF_Lintel5"/>
      <sheetName val="GF_Stair5"/>
      <sheetName val="FF_COLUMNS5"/>
      <sheetName val="F_F__Steel_FINAL_(2)5"/>
      <sheetName val="FF_Lintel5"/>
      <sheetName val="FF_Stair5"/>
      <sheetName val="S_F__Steel_FINAL_5"/>
      <sheetName val="SF_Lintel5"/>
      <sheetName val="SPT_vs_PHI9"/>
      <sheetName val="glass_project_concrete9"/>
      <sheetName val="glass_project_reift9"/>
      <sheetName val="glass_project_indices9"/>
      <sheetName val="SBC-BH_198"/>
      <sheetName val="Rate_Analysis8"/>
      <sheetName val="Summary_05068"/>
      <sheetName val="Summary_0607-_31_MAR8"/>
      <sheetName val="Civil_Boq7"/>
      <sheetName val="Pile_cap7"/>
      <sheetName val="BH_12-11-10-138"/>
      <sheetName val="BH_12-11-10-98"/>
      <sheetName val="BH_36-15-378"/>
      <sheetName val="BH_16-35-25-178"/>
      <sheetName val="BH_35-25-178"/>
      <sheetName val="Sheet1_(2)8"/>
      <sheetName val="d-safe_DELUXE7"/>
      <sheetName val="PRECAST_lightconc-II7"/>
      <sheetName val="Legal_Risk_Analysis7"/>
      <sheetName val="Mix_Design7"/>
      <sheetName val="Form_68"/>
      <sheetName val="PointNo_57"/>
      <sheetName val="RCC,Ret__Wall7"/>
      <sheetName val="E_&amp;_R7"/>
      <sheetName val="Break_up_Sheet7"/>
      <sheetName val="TBAL9697_-group_wise__sdpl7"/>
      <sheetName val="Abstract_Sheet7"/>
      <sheetName val="V_O_4_-_PCC_Qty7"/>
      <sheetName val="Fill_this_out_first___7"/>
      <sheetName val="REVISED4A_PROG_PERF-SITE_17"/>
      <sheetName val="BOQ_Direct_selling_cost7"/>
      <sheetName val="BOQ_(2)7"/>
      <sheetName val="CABLE_DATA7"/>
      <sheetName val="Staff_Acco_7"/>
      <sheetName val="Pipe_Supports7"/>
      <sheetName val="final_abstract7"/>
      <sheetName val="Rev_S1_Abstract7"/>
      <sheetName val="Quantity_Abstract7"/>
      <sheetName val="M-Book_for_Conc7"/>
      <sheetName val="M-Book_for_FW7"/>
      <sheetName val="Load_Details-220kV7"/>
      <sheetName val="beam-reinft-IIInd_floor7"/>
      <sheetName val="INPUT_SHEET7"/>
      <sheetName val="Project_Budget_Worksheet7"/>
      <sheetName val="SANJAY_PAL7"/>
      <sheetName val="P_A_SELVAM7"/>
      <sheetName val="ANSARI_7"/>
      <sheetName val="abdesh_pal7"/>
      <sheetName val="sujay_bagchi7"/>
      <sheetName val="S_K_SINHA_BASU7"/>
      <sheetName val="KRISHNA_PRASAD7"/>
      <sheetName val="BARATH_&amp;_CO7"/>
      <sheetName val="L_B_YADAV7"/>
      <sheetName val="DEEPAK_KUMAR7"/>
      <sheetName val="MUKLAL_YADAV7"/>
      <sheetName val="MADHU_SUDHAN7"/>
      <sheetName val="SAUD_ALAM_7"/>
      <sheetName val="RAMESH_BABU7"/>
      <sheetName val="SAILEN_SARKAR7"/>
      <sheetName val="SANJAY_JENA17"/>
      <sheetName val="upendra_saw_7"/>
      <sheetName val="ALLOK_KUMAR_7"/>
      <sheetName val="except_wiring7"/>
      <sheetName val="BOQ_-II_ph_27"/>
      <sheetName val="STAFFSCHED_6"/>
      <sheetName val="Metso_-_Forth_&amp;_Slurry_11_02_16"/>
      <sheetName val="Fee_Rate_Summary6"/>
      <sheetName val="d-safe_specs6"/>
      <sheetName val="Quote_Sheet6"/>
      <sheetName val="class_&amp;_category6"/>
      <sheetName val="Rein-Final_(Ph_1+Ph2)6"/>
      <sheetName val="Materials_Cost(PCC)6"/>
      <sheetName val="220_11__BS_6"/>
      <sheetName val="SSR_&amp;_NSSR_Market_final6"/>
      <sheetName val="Site_wise_NADs6"/>
      <sheetName val="RA_RCC_F6"/>
      <sheetName val="India_F&amp;S_Template6"/>
      <sheetName val="Stress_Calculation6"/>
      <sheetName val="precast_RC_element6"/>
      <sheetName val="plinth_Beam_+_Stirrups_6"/>
      <sheetName val="GF_COLUMNS6"/>
      <sheetName val="G_F_ROOF_BEAM_6"/>
      <sheetName val="GF_SLAB_STEEL6"/>
      <sheetName val="GF_Lintel6"/>
      <sheetName val="GF_Stair6"/>
      <sheetName val="FF_COLUMNS6"/>
      <sheetName val="F_F__Steel_FINAL_(2)6"/>
      <sheetName val="FF_Lintel6"/>
      <sheetName val="FF_Stair6"/>
      <sheetName val="S_F__Steel_FINAL_6"/>
      <sheetName val="SF_Lintel6"/>
      <sheetName val="SPT_vs_PHI10"/>
      <sheetName val="glass_project_concrete10"/>
      <sheetName val="glass_project_reift10"/>
      <sheetName val="glass_project_indices10"/>
      <sheetName val="SBC-BH_199"/>
      <sheetName val="Rate_Analysis9"/>
      <sheetName val="Summary_05069"/>
      <sheetName val="Summary_0607-_31_MAR9"/>
      <sheetName val="Civil_Boq8"/>
      <sheetName val="Pile_cap8"/>
      <sheetName val="BH_12-11-10-139"/>
      <sheetName val="BH_12-11-10-99"/>
      <sheetName val="BH_36-15-379"/>
      <sheetName val="BH_16-35-25-179"/>
      <sheetName val="BH_35-25-179"/>
      <sheetName val="Sheet1_(2)9"/>
      <sheetName val="d-safe_DELUXE8"/>
      <sheetName val="PRECAST_lightconc-II8"/>
      <sheetName val="Legal_Risk_Analysis8"/>
      <sheetName val="Mix_Design8"/>
      <sheetName val="Form_69"/>
      <sheetName val="PointNo_58"/>
      <sheetName val="RCC,Ret__Wall8"/>
      <sheetName val="E_&amp;_R8"/>
      <sheetName val="Break_up_Sheet8"/>
      <sheetName val="TBAL9697_-group_wise__sdpl8"/>
      <sheetName val="Abstract_Sheet8"/>
      <sheetName val="V_O_4_-_PCC_Qty8"/>
      <sheetName val="Fill_this_out_first___8"/>
      <sheetName val="REVISED4A_PROG_PERF-SITE_18"/>
      <sheetName val="BOQ_Direct_selling_cost8"/>
      <sheetName val="BOQ_(2)8"/>
      <sheetName val="CABLE_DATA8"/>
      <sheetName val="Staff_Acco_8"/>
      <sheetName val="Pipe_Supports8"/>
      <sheetName val="final_abstract8"/>
      <sheetName val="Rev_S1_Abstract8"/>
      <sheetName val="Quantity_Abstract8"/>
      <sheetName val="M-Book_for_Conc8"/>
      <sheetName val="M-Book_for_FW8"/>
      <sheetName val="Load_Details-220kV8"/>
      <sheetName val="beam-reinft-IIInd_floor8"/>
      <sheetName val="INPUT_SHEET8"/>
      <sheetName val="Project_Budget_Worksheet8"/>
      <sheetName val="SANJAY_PAL8"/>
      <sheetName val="P_A_SELVAM8"/>
      <sheetName val="ANSARI_8"/>
      <sheetName val="abdesh_pal8"/>
      <sheetName val="sujay_bagchi8"/>
      <sheetName val="S_K_SINHA_BASU8"/>
      <sheetName val="KRISHNA_PRASAD8"/>
      <sheetName val="BARATH_&amp;_CO8"/>
      <sheetName val="L_B_YADAV8"/>
      <sheetName val="DEEPAK_KUMAR8"/>
      <sheetName val="MUKLAL_YADAV8"/>
      <sheetName val="MADHU_SUDHAN8"/>
      <sheetName val="SAUD_ALAM_8"/>
      <sheetName val="RAMESH_BABU8"/>
      <sheetName val="SAILEN_SARKAR8"/>
      <sheetName val="SANJAY_JENA18"/>
      <sheetName val="upendra_saw_8"/>
      <sheetName val="ALLOK_KUMAR_8"/>
      <sheetName val="except_wiring8"/>
      <sheetName val="BOQ_-II_ph_28"/>
      <sheetName val="STAFFSCHED_7"/>
      <sheetName val="Metso_-_Forth_&amp;_Slurry_11_02_17"/>
      <sheetName val="Fee_Rate_Summary7"/>
      <sheetName val="d-safe_specs7"/>
      <sheetName val="Quote_Sheet7"/>
      <sheetName val="class_&amp;_category7"/>
      <sheetName val="Rein-Final_(Ph_1+Ph2)7"/>
      <sheetName val="Materials_Cost(PCC)7"/>
      <sheetName val="220_11__BS_7"/>
      <sheetName val="SSR_&amp;_NSSR_Market_final7"/>
      <sheetName val="Site_wise_NADs7"/>
      <sheetName val="RA_RCC_F7"/>
      <sheetName val="India_F&amp;S_Template7"/>
      <sheetName val="Stress_Calculation7"/>
      <sheetName val="precast_RC_element7"/>
      <sheetName val="plinth_Beam_+_Stirrups_7"/>
      <sheetName val="GF_COLUMNS7"/>
      <sheetName val="G_F_ROOF_BEAM_7"/>
      <sheetName val="GF_SLAB_STEEL7"/>
      <sheetName val="GF_Lintel7"/>
      <sheetName val="GF_Stair7"/>
      <sheetName val="FF_COLUMNS7"/>
      <sheetName val="F_F__Steel_FINAL_(2)7"/>
      <sheetName val="FF_Lintel7"/>
      <sheetName val="FF_Stair7"/>
      <sheetName val="S_F__Steel_FINAL_7"/>
      <sheetName val="SF_Lintel7"/>
      <sheetName val="SPT_vs_PHI11"/>
      <sheetName val="glass_project_concrete11"/>
      <sheetName val="glass_project_reift11"/>
      <sheetName val="glass_project_indices11"/>
      <sheetName val="SBC-BH_1910"/>
      <sheetName val="Rate_Analysis10"/>
      <sheetName val="Summary_050610"/>
      <sheetName val="Summary_0607-_31_MAR10"/>
      <sheetName val="Civil_Boq9"/>
      <sheetName val="Pile_cap9"/>
      <sheetName val="BH_12-11-10-1310"/>
      <sheetName val="BH_12-11-10-910"/>
      <sheetName val="BH_36-15-3710"/>
      <sheetName val="BH_16-35-25-1710"/>
      <sheetName val="BH_35-25-1710"/>
      <sheetName val="Sheet1_(2)10"/>
      <sheetName val="d-safe_DELUXE9"/>
      <sheetName val="PRECAST_lightconc-II9"/>
      <sheetName val="Legal_Risk_Analysis9"/>
      <sheetName val="Mix_Design9"/>
      <sheetName val="Form_610"/>
      <sheetName val="PointNo_59"/>
      <sheetName val="RCC,Ret__Wall9"/>
      <sheetName val="E_&amp;_R9"/>
      <sheetName val="Break_up_Sheet9"/>
      <sheetName val="TBAL9697_-group_wise__sdpl9"/>
      <sheetName val="Abstract_Sheet9"/>
      <sheetName val="V_O_4_-_PCC_Qty9"/>
      <sheetName val="Fill_this_out_first___9"/>
      <sheetName val="REVISED4A_PROG_PERF-SITE_19"/>
      <sheetName val="BOQ_Direct_selling_cost9"/>
      <sheetName val="BOQ_(2)9"/>
      <sheetName val="CABLE_DATA9"/>
      <sheetName val="Staff_Acco_9"/>
      <sheetName val="Pipe_Supports9"/>
      <sheetName val="final_abstract9"/>
      <sheetName val="Rev_S1_Abstract9"/>
      <sheetName val="Quantity_Abstract9"/>
      <sheetName val="M-Book_for_Conc9"/>
      <sheetName val="M-Book_for_FW9"/>
      <sheetName val="Load_Details-220kV9"/>
      <sheetName val="beam-reinft-IIInd_floor9"/>
      <sheetName val="INPUT_SHEET9"/>
      <sheetName val="Project_Budget_Worksheet9"/>
      <sheetName val="SANJAY_PAL9"/>
      <sheetName val="P_A_SELVAM9"/>
      <sheetName val="ANSARI_9"/>
      <sheetName val="abdesh_pal9"/>
      <sheetName val="sujay_bagchi9"/>
      <sheetName val="S_K_SINHA_BASU9"/>
      <sheetName val="KRISHNA_PRASAD9"/>
      <sheetName val="BARATH_&amp;_CO9"/>
      <sheetName val="L_B_YADAV9"/>
      <sheetName val="DEEPAK_KUMAR9"/>
      <sheetName val="MUKLAL_YADAV9"/>
      <sheetName val="MADHU_SUDHAN9"/>
      <sheetName val="SAUD_ALAM_9"/>
      <sheetName val="RAMESH_BABU9"/>
      <sheetName val="SAILEN_SARKAR9"/>
      <sheetName val="SANJAY_JENA19"/>
      <sheetName val="upendra_saw_9"/>
      <sheetName val="ALLOK_KUMAR_9"/>
      <sheetName val="except_wiring9"/>
      <sheetName val="BOQ_-II_ph_29"/>
      <sheetName val="STAFFSCHED_8"/>
      <sheetName val="Metso_-_Forth_&amp;_Slurry_11_02_18"/>
      <sheetName val="Fee_Rate_Summary8"/>
      <sheetName val="d-safe_specs8"/>
      <sheetName val="Quote_Sheet8"/>
      <sheetName val="class_&amp;_category8"/>
      <sheetName val="Rein-Final_(Ph_1+Ph2)8"/>
      <sheetName val="Materials_Cost(PCC)8"/>
      <sheetName val="220_11__BS_8"/>
      <sheetName val="SSR_&amp;_NSSR_Market_final8"/>
      <sheetName val="Site_wise_NADs8"/>
      <sheetName val="RA_RCC_F8"/>
      <sheetName val="India_F&amp;S_Template8"/>
      <sheetName val="Stress_Calculation8"/>
      <sheetName val="precast_RC_element8"/>
      <sheetName val="plinth_Beam_+_Stirrups_8"/>
      <sheetName val="GF_COLUMNS8"/>
      <sheetName val="G_F_ROOF_BEAM_8"/>
      <sheetName val="GF_SLAB_STEEL8"/>
      <sheetName val="GF_Lintel8"/>
      <sheetName val="GF_Stair8"/>
      <sheetName val="FF_COLUMNS8"/>
      <sheetName val="F_F__Steel_FINAL_(2)8"/>
      <sheetName val="FF_Lintel8"/>
      <sheetName val="FF_Stair8"/>
      <sheetName val="S_F__Steel_FINAL_8"/>
      <sheetName val="SF_Lintel8"/>
      <sheetName val="SPT_vs_PHI17"/>
      <sheetName val="glass_project_concrete17"/>
      <sheetName val="glass_project_reift17"/>
      <sheetName val="glass_project_indices17"/>
      <sheetName val="SBC-BH_1916"/>
      <sheetName val="Rate_Analysis16"/>
      <sheetName val="Summary_050616"/>
      <sheetName val="Summary_0607-_31_MAR16"/>
      <sheetName val="Civil_Boq15"/>
      <sheetName val="Pile_cap15"/>
      <sheetName val="BH_12-11-10-1316"/>
      <sheetName val="BH_12-11-10-916"/>
      <sheetName val="BH_36-15-3716"/>
      <sheetName val="BH_16-35-25-1716"/>
      <sheetName val="BH_35-25-1716"/>
      <sheetName val="Sheet1_(2)16"/>
      <sheetName val="d-safe_DELUXE15"/>
      <sheetName val="PRECAST_lightconc-II15"/>
      <sheetName val="Legal_Risk_Analysis15"/>
      <sheetName val="Mix_Design15"/>
      <sheetName val="Form_616"/>
      <sheetName val="PointNo_515"/>
      <sheetName val="RCC,Ret__Wall15"/>
      <sheetName val="E_&amp;_R15"/>
      <sheetName val="Break_up_Sheet15"/>
      <sheetName val="TBAL9697_-group_wise__sdpl15"/>
      <sheetName val="Abstract_Sheet15"/>
      <sheetName val="V_O_4_-_PCC_Qty15"/>
      <sheetName val="Fill_this_out_first___15"/>
      <sheetName val="REVISED4A_PROG_PERF-SITE_115"/>
      <sheetName val="BOQ_Direct_selling_cost15"/>
      <sheetName val="BOQ_(2)15"/>
      <sheetName val="CABLE_DATA15"/>
      <sheetName val="Staff_Acco_15"/>
      <sheetName val="Pipe_Supports15"/>
      <sheetName val="final_abstract15"/>
      <sheetName val="Rev_S1_Abstract15"/>
      <sheetName val="Quantity_Abstract15"/>
      <sheetName val="M-Book_for_Conc15"/>
      <sheetName val="M-Book_for_FW15"/>
      <sheetName val="Load_Details-220kV15"/>
      <sheetName val="beam-reinft-IIInd_floor15"/>
      <sheetName val="INPUT_SHEET15"/>
      <sheetName val="Project_Budget_Worksheet15"/>
      <sheetName val="SANJAY_PAL15"/>
      <sheetName val="P_A_SELVAM15"/>
      <sheetName val="ANSARI_15"/>
      <sheetName val="abdesh_pal15"/>
      <sheetName val="sujay_bagchi15"/>
      <sheetName val="S_K_SINHA_BASU15"/>
      <sheetName val="KRISHNA_PRASAD15"/>
      <sheetName val="BARATH_&amp;_CO15"/>
      <sheetName val="L_B_YADAV15"/>
      <sheetName val="DEEPAK_KUMAR15"/>
      <sheetName val="MUKLAL_YADAV15"/>
      <sheetName val="MADHU_SUDHAN15"/>
      <sheetName val="SAUD_ALAM_15"/>
      <sheetName val="RAMESH_BABU15"/>
      <sheetName val="SAILEN_SARKAR15"/>
      <sheetName val="SANJAY_JENA115"/>
      <sheetName val="upendra_saw_15"/>
      <sheetName val="ALLOK_KUMAR_15"/>
      <sheetName val="except_wiring15"/>
      <sheetName val="BOQ_-II_ph_215"/>
      <sheetName val="STAFFSCHED_14"/>
      <sheetName val="Metso_-_Forth_&amp;_Slurry_11_02_24"/>
      <sheetName val="Fee_Rate_Summary14"/>
      <sheetName val="d-safe_specs14"/>
      <sheetName val="Quote_Sheet14"/>
      <sheetName val="class_&amp;_category14"/>
      <sheetName val="Rein-Final_(Ph_1+Ph2)14"/>
      <sheetName val="Materials_Cost(PCC)14"/>
      <sheetName val="220_11__BS_14"/>
      <sheetName val="SSR_&amp;_NSSR_Market_final14"/>
      <sheetName val="Site_wise_NADs14"/>
      <sheetName val="RA_RCC_F14"/>
      <sheetName val="India_F&amp;S_Template14"/>
      <sheetName val="Stress_Calculation14"/>
      <sheetName val="precast_RC_element14"/>
      <sheetName val="plinth_Beam_+_Stirrups_14"/>
      <sheetName val="GF_COLUMNS14"/>
      <sheetName val="G_F_ROOF_BEAM_14"/>
      <sheetName val="GF_SLAB_STEEL14"/>
      <sheetName val="GF_Lintel14"/>
      <sheetName val="GF_Stair14"/>
      <sheetName val="FF_COLUMNS14"/>
      <sheetName val="F_F__Steel_FINAL_(2)14"/>
      <sheetName val="FF_Lintel14"/>
      <sheetName val="FF_Stair14"/>
      <sheetName val="S_F__Steel_FINAL_14"/>
      <sheetName val="SF_Lintel14"/>
      <sheetName val="SPT_vs_PHI13"/>
      <sheetName val="glass_project_concrete13"/>
      <sheetName val="glass_project_reift13"/>
      <sheetName val="glass_project_indices13"/>
      <sheetName val="SBC-BH_1912"/>
      <sheetName val="Rate_Analysis12"/>
      <sheetName val="Summary_050612"/>
      <sheetName val="Summary_0607-_31_MAR12"/>
      <sheetName val="Civil_Boq11"/>
      <sheetName val="Pile_cap11"/>
      <sheetName val="BH_12-11-10-1312"/>
      <sheetName val="BH_12-11-10-912"/>
      <sheetName val="BH_36-15-3712"/>
      <sheetName val="BH_16-35-25-1712"/>
      <sheetName val="BH_35-25-1712"/>
      <sheetName val="Sheet1_(2)12"/>
      <sheetName val="d-safe_DELUXE11"/>
      <sheetName val="PRECAST_lightconc-II11"/>
      <sheetName val="Legal_Risk_Analysis11"/>
      <sheetName val="Mix_Design11"/>
      <sheetName val="Form_612"/>
      <sheetName val="PointNo_511"/>
      <sheetName val="RCC,Ret__Wall11"/>
      <sheetName val="E_&amp;_R11"/>
      <sheetName val="Break_up_Sheet11"/>
      <sheetName val="TBAL9697_-group_wise__sdpl11"/>
      <sheetName val="Abstract_Sheet11"/>
      <sheetName val="V_O_4_-_PCC_Qty11"/>
      <sheetName val="Fill_this_out_first___11"/>
      <sheetName val="REVISED4A_PROG_PERF-SITE_111"/>
      <sheetName val="BOQ_Direct_selling_cost11"/>
      <sheetName val="BOQ_(2)11"/>
      <sheetName val="CABLE_DATA11"/>
      <sheetName val="Staff_Acco_11"/>
      <sheetName val="Pipe_Supports11"/>
      <sheetName val="final_abstract11"/>
      <sheetName val="Rev_S1_Abstract11"/>
      <sheetName val="Quantity_Abstract11"/>
      <sheetName val="M-Book_for_Conc11"/>
      <sheetName val="M-Book_for_FW11"/>
      <sheetName val="Load_Details-220kV11"/>
      <sheetName val="beam-reinft-IIInd_floor11"/>
      <sheetName val="INPUT_SHEET11"/>
      <sheetName val="Project_Budget_Worksheet11"/>
      <sheetName val="SANJAY_PAL11"/>
      <sheetName val="P_A_SELVAM11"/>
      <sheetName val="ANSARI_11"/>
      <sheetName val="abdesh_pal11"/>
      <sheetName val="sujay_bagchi11"/>
      <sheetName val="S_K_SINHA_BASU11"/>
      <sheetName val="KRISHNA_PRASAD11"/>
      <sheetName val="BARATH_&amp;_CO11"/>
      <sheetName val="L_B_YADAV11"/>
      <sheetName val="DEEPAK_KUMAR11"/>
      <sheetName val="MUKLAL_YADAV11"/>
      <sheetName val="MADHU_SUDHAN11"/>
      <sheetName val="SAUD_ALAM_11"/>
      <sheetName val="RAMESH_BABU11"/>
      <sheetName val="SAILEN_SARKAR11"/>
      <sheetName val="SANJAY_JENA111"/>
      <sheetName val="upendra_saw_11"/>
      <sheetName val="ALLOK_KUMAR_11"/>
      <sheetName val="except_wiring11"/>
      <sheetName val="BOQ_-II_ph_211"/>
      <sheetName val="STAFFSCHED_10"/>
      <sheetName val="Metso_-_Forth_&amp;_Slurry_11_02_20"/>
      <sheetName val="Fee_Rate_Summary10"/>
      <sheetName val="d-safe_specs10"/>
      <sheetName val="Quote_Sheet10"/>
      <sheetName val="class_&amp;_category10"/>
      <sheetName val="Rein-Final_(Ph_1+Ph2)10"/>
      <sheetName val="Materials_Cost(PCC)10"/>
      <sheetName val="220_11__BS_10"/>
      <sheetName val="SSR_&amp;_NSSR_Market_final10"/>
      <sheetName val="Site_wise_NADs10"/>
      <sheetName val="RA_RCC_F10"/>
      <sheetName val="India_F&amp;S_Template10"/>
      <sheetName val="Stress_Calculation10"/>
      <sheetName val="precast_RC_element10"/>
      <sheetName val="plinth_Beam_+_Stirrups_10"/>
      <sheetName val="GF_COLUMNS10"/>
      <sheetName val="G_F_ROOF_BEAM_10"/>
      <sheetName val="GF_SLAB_STEEL10"/>
      <sheetName val="GF_Lintel10"/>
      <sheetName val="GF_Stair10"/>
      <sheetName val="FF_COLUMNS10"/>
      <sheetName val="F_F__Steel_FINAL_(2)10"/>
      <sheetName val="FF_Lintel10"/>
      <sheetName val="FF_Stair10"/>
      <sheetName val="S_F__Steel_FINAL_10"/>
      <sheetName val="SF_Lintel10"/>
      <sheetName val="SPT_vs_PHI12"/>
      <sheetName val="glass_project_concrete12"/>
      <sheetName val="glass_project_reift12"/>
      <sheetName val="glass_project_indices12"/>
      <sheetName val="SBC-BH_1911"/>
      <sheetName val="Rate_Analysis11"/>
      <sheetName val="Summary_050611"/>
      <sheetName val="Summary_0607-_31_MAR11"/>
      <sheetName val="Civil_Boq10"/>
      <sheetName val="Pile_cap10"/>
      <sheetName val="BH_12-11-10-1311"/>
      <sheetName val="BH_12-11-10-911"/>
      <sheetName val="BH_36-15-3711"/>
      <sheetName val="BH_16-35-25-1711"/>
      <sheetName val="BH_35-25-1711"/>
      <sheetName val="Sheet1_(2)11"/>
      <sheetName val="d-safe_DELUXE10"/>
      <sheetName val="PRECAST_lightconc-II10"/>
      <sheetName val="Legal_Risk_Analysis10"/>
      <sheetName val="Mix_Design10"/>
      <sheetName val="Form_611"/>
      <sheetName val="PointNo_510"/>
      <sheetName val="RCC,Ret__Wall10"/>
      <sheetName val="E_&amp;_R10"/>
      <sheetName val="Break_up_Sheet10"/>
      <sheetName val="TBAL9697_-group_wise__sdpl10"/>
      <sheetName val="Abstract_Sheet10"/>
      <sheetName val="V_O_4_-_PCC_Qty10"/>
      <sheetName val="Fill_this_out_first___10"/>
      <sheetName val="REVISED4A_PROG_PERF-SITE_110"/>
      <sheetName val="BOQ_Direct_selling_cost10"/>
      <sheetName val="BOQ_(2)10"/>
      <sheetName val="CABLE_DATA10"/>
      <sheetName val="Staff_Acco_10"/>
      <sheetName val="Pipe_Supports10"/>
      <sheetName val="final_abstract10"/>
      <sheetName val="Rev_S1_Abstract10"/>
      <sheetName val="Quantity_Abstract10"/>
      <sheetName val="M-Book_for_Conc10"/>
      <sheetName val="M-Book_for_FW10"/>
      <sheetName val="Load_Details-220kV10"/>
      <sheetName val="beam-reinft-IIInd_floor10"/>
      <sheetName val="INPUT_SHEET10"/>
      <sheetName val="Project_Budget_Worksheet10"/>
      <sheetName val="SANJAY_PAL10"/>
      <sheetName val="P_A_SELVAM10"/>
      <sheetName val="ANSARI_10"/>
      <sheetName val="abdesh_pal10"/>
      <sheetName val="sujay_bagchi10"/>
      <sheetName val="S_K_SINHA_BASU10"/>
      <sheetName val="KRISHNA_PRASAD10"/>
      <sheetName val="BARATH_&amp;_CO10"/>
      <sheetName val="L_B_YADAV10"/>
      <sheetName val="DEEPAK_KUMAR10"/>
      <sheetName val="MUKLAL_YADAV10"/>
      <sheetName val="MADHU_SUDHAN10"/>
      <sheetName val="SAUD_ALAM_10"/>
      <sheetName val="RAMESH_BABU10"/>
      <sheetName val="SAILEN_SARKAR10"/>
      <sheetName val="SANJAY_JENA110"/>
      <sheetName val="upendra_saw_10"/>
      <sheetName val="ALLOK_KUMAR_10"/>
      <sheetName val="except_wiring10"/>
      <sheetName val="BOQ_-II_ph_210"/>
      <sheetName val="STAFFSCHED_9"/>
      <sheetName val="Metso_-_Forth_&amp;_Slurry_11_02_19"/>
      <sheetName val="Fee_Rate_Summary9"/>
      <sheetName val="d-safe_specs9"/>
      <sheetName val="Quote_Sheet9"/>
      <sheetName val="class_&amp;_category9"/>
      <sheetName val="Rein-Final_(Ph_1+Ph2)9"/>
      <sheetName val="Materials_Cost(PCC)9"/>
      <sheetName val="220_11__BS_9"/>
      <sheetName val="SSR_&amp;_NSSR_Market_final9"/>
      <sheetName val="Site_wise_NADs9"/>
      <sheetName val="RA_RCC_F9"/>
      <sheetName val="India_F&amp;S_Template9"/>
      <sheetName val="Stress_Calculation9"/>
      <sheetName val="precast_RC_element9"/>
      <sheetName val="plinth_Beam_+_Stirrups_9"/>
      <sheetName val="GF_COLUMNS9"/>
      <sheetName val="G_F_ROOF_BEAM_9"/>
      <sheetName val="GF_SLAB_STEEL9"/>
      <sheetName val="GF_Lintel9"/>
      <sheetName val="GF_Stair9"/>
      <sheetName val="FF_COLUMNS9"/>
      <sheetName val="F_F__Steel_FINAL_(2)9"/>
      <sheetName val="FF_Lintel9"/>
      <sheetName val="FF_Stair9"/>
      <sheetName val="S_F__Steel_FINAL_9"/>
      <sheetName val="SF_Lintel9"/>
      <sheetName val="SPT_vs_PHI14"/>
      <sheetName val="glass_project_concrete14"/>
      <sheetName val="glass_project_reift14"/>
      <sheetName val="glass_project_indices14"/>
      <sheetName val="SBC-BH_1913"/>
      <sheetName val="Rate_Analysis13"/>
      <sheetName val="Summary_050613"/>
      <sheetName val="Summary_0607-_31_MAR13"/>
      <sheetName val="Civil_Boq12"/>
      <sheetName val="Pile_cap12"/>
      <sheetName val="BH_12-11-10-1313"/>
      <sheetName val="BH_12-11-10-913"/>
      <sheetName val="BH_36-15-3713"/>
      <sheetName val="BH_16-35-25-1713"/>
      <sheetName val="BH_35-25-1713"/>
      <sheetName val="Sheet1_(2)13"/>
      <sheetName val="d-safe_DELUXE12"/>
      <sheetName val="PRECAST_lightconc-II12"/>
      <sheetName val="Legal_Risk_Analysis12"/>
      <sheetName val="Mix_Design12"/>
      <sheetName val="Form_613"/>
      <sheetName val="PointNo_512"/>
      <sheetName val="RCC,Ret__Wall12"/>
      <sheetName val="E_&amp;_R12"/>
      <sheetName val="Break_up_Sheet12"/>
      <sheetName val="TBAL9697_-group_wise__sdpl12"/>
      <sheetName val="Abstract_Sheet12"/>
      <sheetName val="V_O_4_-_PCC_Qty12"/>
      <sheetName val="Fill_this_out_first___12"/>
      <sheetName val="REVISED4A_PROG_PERF-SITE_112"/>
      <sheetName val="BOQ_Direct_selling_cost12"/>
      <sheetName val="BOQ_(2)12"/>
      <sheetName val="CABLE_DATA12"/>
      <sheetName val="Staff_Acco_12"/>
      <sheetName val="Pipe_Supports12"/>
      <sheetName val="final_abstract12"/>
      <sheetName val="Rev_S1_Abstract12"/>
      <sheetName val="Quantity_Abstract12"/>
      <sheetName val="M-Book_for_Conc12"/>
      <sheetName val="M-Book_for_FW12"/>
      <sheetName val="Load_Details-220kV12"/>
      <sheetName val="beam-reinft-IIInd_floor12"/>
      <sheetName val="INPUT_SHEET12"/>
      <sheetName val="Project_Budget_Worksheet12"/>
      <sheetName val="SANJAY_PAL12"/>
      <sheetName val="P_A_SELVAM12"/>
      <sheetName val="ANSARI_12"/>
      <sheetName val="abdesh_pal12"/>
      <sheetName val="sujay_bagchi12"/>
      <sheetName val="S_K_SINHA_BASU12"/>
      <sheetName val="KRISHNA_PRASAD12"/>
      <sheetName val="BARATH_&amp;_CO12"/>
      <sheetName val="L_B_YADAV12"/>
      <sheetName val="DEEPAK_KUMAR12"/>
      <sheetName val="MUKLAL_YADAV12"/>
      <sheetName val="MADHU_SUDHAN12"/>
      <sheetName val="SAUD_ALAM_12"/>
      <sheetName val="RAMESH_BABU12"/>
      <sheetName val="SAILEN_SARKAR12"/>
      <sheetName val="SANJAY_JENA112"/>
      <sheetName val="upendra_saw_12"/>
      <sheetName val="ALLOK_KUMAR_12"/>
      <sheetName val="except_wiring12"/>
      <sheetName val="BOQ_-II_ph_212"/>
      <sheetName val="STAFFSCHED_11"/>
      <sheetName val="Metso_-_Forth_&amp;_Slurry_11_02_21"/>
      <sheetName val="Fee_Rate_Summary11"/>
      <sheetName val="d-safe_specs11"/>
      <sheetName val="Quote_Sheet11"/>
      <sheetName val="class_&amp;_category11"/>
      <sheetName val="Rein-Final_(Ph_1+Ph2)11"/>
      <sheetName val="Materials_Cost(PCC)11"/>
      <sheetName val="220_11__BS_11"/>
      <sheetName val="SSR_&amp;_NSSR_Market_final11"/>
      <sheetName val="Site_wise_NADs11"/>
      <sheetName val="RA_RCC_F11"/>
      <sheetName val="India_F&amp;S_Template11"/>
      <sheetName val="Stress_Calculation11"/>
      <sheetName val="precast_RC_element11"/>
      <sheetName val="plinth_Beam_+_Stirrups_11"/>
      <sheetName val="GF_COLUMNS11"/>
      <sheetName val="G_F_ROOF_BEAM_11"/>
      <sheetName val="GF_SLAB_STEEL11"/>
      <sheetName val="GF_Lintel11"/>
      <sheetName val="GF_Stair11"/>
      <sheetName val="FF_COLUMNS11"/>
      <sheetName val="F_F__Steel_FINAL_(2)11"/>
      <sheetName val="FF_Lintel11"/>
      <sheetName val="FF_Stair11"/>
      <sheetName val="S_F__Steel_FINAL_11"/>
      <sheetName val="SF_Lintel11"/>
      <sheetName val="SPT_vs_PHI15"/>
      <sheetName val="glass_project_concrete15"/>
      <sheetName val="glass_project_reift15"/>
      <sheetName val="glass_project_indices15"/>
      <sheetName val="SBC-BH_1914"/>
      <sheetName val="Rate_Analysis14"/>
      <sheetName val="Summary_050614"/>
      <sheetName val="Summary_0607-_31_MAR14"/>
      <sheetName val="Civil_Boq13"/>
      <sheetName val="Pile_cap13"/>
      <sheetName val="BH_12-11-10-1314"/>
      <sheetName val="BH_12-11-10-914"/>
      <sheetName val="BH_36-15-3714"/>
      <sheetName val="BH_16-35-25-1714"/>
      <sheetName val="BH_35-25-1714"/>
      <sheetName val="Sheet1_(2)14"/>
      <sheetName val="d-safe_DELUXE13"/>
      <sheetName val="PRECAST_lightconc-II13"/>
      <sheetName val="Legal_Risk_Analysis13"/>
      <sheetName val="Mix_Design13"/>
      <sheetName val="Form_614"/>
      <sheetName val="PointNo_513"/>
      <sheetName val="RCC,Ret__Wall13"/>
      <sheetName val="E_&amp;_R13"/>
      <sheetName val="Break_up_Sheet13"/>
      <sheetName val="TBAL9697_-group_wise__sdpl13"/>
      <sheetName val="Abstract_Sheet13"/>
      <sheetName val="V_O_4_-_PCC_Qty13"/>
      <sheetName val="Fill_this_out_first___13"/>
      <sheetName val="REVISED4A_PROG_PERF-SITE_113"/>
      <sheetName val="BOQ_Direct_selling_cost13"/>
      <sheetName val="BOQ_(2)13"/>
      <sheetName val="CABLE_DATA13"/>
      <sheetName val="Staff_Acco_13"/>
      <sheetName val="Pipe_Supports13"/>
      <sheetName val="final_abstract13"/>
      <sheetName val="Rev_S1_Abstract13"/>
      <sheetName val="Quantity_Abstract13"/>
      <sheetName val="M-Book_for_Conc13"/>
      <sheetName val="M-Book_for_FW13"/>
      <sheetName val="Load_Details-220kV13"/>
      <sheetName val="beam-reinft-IIInd_floor13"/>
      <sheetName val="INPUT_SHEET13"/>
      <sheetName val="Project_Budget_Worksheet13"/>
      <sheetName val="SANJAY_PAL13"/>
      <sheetName val="P_A_SELVAM13"/>
      <sheetName val="ANSARI_13"/>
      <sheetName val="abdesh_pal13"/>
      <sheetName val="sujay_bagchi13"/>
      <sheetName val="S_K_SINHA_BASU13"/>
      <sheetName val="KRISHNA_PRASAD13"/>
      <sheetName val="BARATH_&amp;_CO13"/>
      <sheetName val="L_B_YADAV13"/>
      <sheetName val="DEEPAK_KUMAR13"/>
      <sheetName val="MUKLAL_YADAV13"/>
      <sheetName val="MADHU_SUDHAN13"/>
      <sheetName val="SAUD_ALAM_13"/>
      <sheetName val="RAMESH_BABU13"/>
      <sheetName val="SAILEN_SARKAR13"/>
      <sheetName val="SANJAY_JENA113"/>
      <sheetName val="upendra_saw_13"/>
      <sheetName val="ALLOK_KUMAR_13"/>
      <sheetName val="except_wiring13"/>
      <sheetName val="BOQ_-II_ph_213"/>
      <sheetName val="STAFFSCHED_12"/>
      <sheetName val="Metso_-_Forth_&amp;_Slurry_11_02_22"/>
      <sheetName val="Fee_Rate_Summary12"/>
      <sheetName val="d-safe_specs12"/>
      <sheetName val="Quote_Sheet12"/>
      <sheetName val="class_&amp;_category12"/>
      <sheetName val="Rein-Final_(Ph_1+Ph2)12"/>
      <sheetName val="Materials_Cost(PCC)12"/>
      <sheetName val="220_11__BS_12"/>
      <sheetName val="SSR_&amp;_NSSR_Market_final12"/>
      <sheetName val="Site_wise_NADs12"/>
      <sheetName val="RA_RCC_F12"/>
      <sheetName val="India_F&amp;S_Template12"/>
      <sheetName val="Stress_Calculation12"/>
      <sheetName val="precast_RC_element12"/>
      <sheetName val="plinth_Beam_+_Stirrups_12"/>
      <sheetName val="GF_COLUMNS12"/>
      <sheetName val="G_F_ROOF_BEAM_12"/>
      <sheetName val="GF_SLAB_STEEL12"/>
      <sheetName val="GF_Lintel12"/>
      <sheetName val="GF_Stair12"/>
      <sheetName val="FF_COLUMNS12"/>
      <sheetName val="F_F__Steel_FINAL_(2)12"/>
      <sheetName val="FF_Lintel12"/>
      <sheetName val="FF_Stair12"/>
      <sheetName val="S_F__Steel_FINAL_12"/>
      <sheetName val="SF_Lintel12"/>
      <sheetName val="SPT_vs_PHI16"/>
      <sheetName val="glass_project_concrete16"/>
      <sheetName val="glass_project_reift16"/>
      <sheetName val="glass_project_indices16"/>
      <sheetName val="SBC-BH_1915"/>
      <sheetName val="Rate_Analysis15"/>
      <sheetName val="Summary_050615"/>
      <sheetName val="Summary_0607-_31_MAR15"/>
      <sheetName val="Civil_Boq14"/>
      <sheetName val="Pile_cap14"/>
      <sheetName val="BH_12-11-10-1315"/>
      <sheetName val="BH_12-11-10-915"/>
      <sheetName val="BH_36-15-3715"/>
      <sheetName val="BH_16-35-25-1715"/>
      <sheetName val="BH_35-25-1715"/>
      <sheetName val="Sheet1_(2)15"/>
      <sheetName val="d-safe_DELUXE14"/>
      <sheetName val="PRECAST_lightconc-II14"/>
      <sheetName val="Legal_Risk_Analysis14"/>
      <sheetName val="Mix_Design14"/>
      <sheetName val="Form_615"/>
      <sheetName val="PointNo_514"/>
      <sheetName val="RCC,Ret__Wall14"/>
      <sheetName val="E_&amp;_R14"/>
      <sheetName val="Break_up_Sheet14"/>
      <sheetName val="TBAL9697_-group_wise__sdpl14"/>
      <sheetName val="Abstract_Sheet14"/>
      <sheetName val="V_O_4_-_PCC_Qty14"/>
      <sheetName val="Fill_this_out_first___14"/>
      <sheetName val="REVISED4A_PROG_PERF-SITE_114"/>
      <sheetName val="BOQ_Direct_selling_cost14"/>
      <sheetName val="BOQ_(2)14"/>
      <sheetName val="CABLE_DATA14"/>
      <sheetName val="Staff_Acco_14"/>
      <sheetName val="Pipe_Supports14"/>
      <sheetName val="final_abstract14"/>
      <sheetName val="Rev_S1_Abstract14"/>
      <sheetName val="Quantity_Abstract14"/>
      <sheetName val="M-Book_for_Conc14"/>
      <sheetName val="M-Book_for_FW14"/>
      <sheetName val="Load_Details-220kV14"/>
      <sheetName val="beam-reinft-IIInd_floor14"/>
      <sheetName val="INPUT_SHEET14"/>
      <sheetName val="Project_Budget_Worksheet14"/>
      <sheetName val="SANJAY_PAL14"/>
      <sheetName val="P_A_SELVAM14"/>
      <sheetName val="ANSARI_14"/>
      <sheetName val="abdesh_pal14"/>
      <sheetName val="sujay_bagchi14"/>
      <sheetName val="S_K_SINHA_BASU14"/>
      <sheetName val="KRISHNA_PRASAD14"/>
      <sheetName val="BARATH_&amp;_CO14"/>
      <sheetName val="L_B_YADAV14"/>
      <sheetName val="DEEPAK_KUMAR14"/>
      <sheetName val="MUKLAL_YADAV14"/>
      <sheetName val="MADHU_SUDHAN14"/>
      <sheetName val="SAUD_ALAM_14"/>
      <sheetName val="RAMESH_BABU14"/>
      <sheetName val="SAILEN_SARKAR14"/>
      <sheetName val="SANJAY_JENA114"/>
      <sheetName val="upendra_saw_14"/>
      <sheetName val="ALLOK_KUMAR_14"/>
      <sheetName val="except_wiring14"/>
      <sheetName val="BOQ_-II_ph_214"/>
      <sheetName val="STAFFSCHED_13"/>
      <sheetName val="Metso_-_Forth_&amp;_Slurry_11_02_23"/>
      <sheetName val="Fee_Rate_Summary13"/>
      <sheetName val="d-safe_specs13"/>
      <sheetName val="Quote_Sheet13"/>
      <sheetName val="class_&amp;_category13"/>
      <sheetName val="Rein-Final_(Ph_1+Ph2)13"/>
      <sheetName val="Materials_Cost(PCC)13"/>
      <sheetName val="220_11__BS_13"/>
      <sheetName val="SSR_&amp;_NSSR_Market_final13"/>
      <sheetName val="Site_wise_NADs13"/>
      <sheetName val="RA_RCC_F13"/>
      <sheetName val="India_F&amp;S_Template13"/>
      <sheetName val="Stress_Calculation13"/>
      <sheetName val="precast_RC_element13"/>
      <sheetName val="plinth_Beam_+_Stirrups_13"/>
      <sheetName val="GF_COLUMNS13"/>
      <sheetName val="G_F_ROOF_BEAM_13"/>
      <sheetName val="GF_SLAB_STEEL13"/>
      <sheetName val="GF_Lintel13"/>
      <sheetName val="GF_Stair13"/>
      <sheetName val="FF_COLUMNS13"/>
      <sheetName val="F_F__Steel_FINAL_(2)13"/>
      <sheetName val="FF_Lintel13"/>
      <sheetName val="FF_Stair13"/>
      <sheetName val="S_F__Steel_FINAL_13"/>
      <sheetName val="SF_Lintel13"/>
      <sheetName val="SPT_vs_PHI23"/>
      <sheetName val="glass_project_concrete23"/>
      <sheetName val="glass_project_reift23"/>
      <sheetName val="glass_project_indices23"/>
      <sheetName val="SBC-BH_1922"/>
      <sheetName val="Rate_Analysis22"/>
      <sheetName val="Summary_050622"/>
      <sheetName val="Summary_0607-_31_MAR22"/>
      <sheetName val="Civil_Boq21"/>
      <sheetName val="Pile_cap21"/>
      <sheetName val="BH_12-11-10-1322"/>
      <sheetName val="BH_12-11-10-922"/>
      <sheetName val="BH_36-15-3722"/>
      <sheetName val="BH_16-35-25-1722"/>
      <sheetName val="BH_35-25-1722"/>
      <sheetName val="Sheet1_(2)22"/>
      <sheetName val="d-safe_DELUXE21"/>
      <sheetName val="PRECAST_lightconc-II21"/>
      <sheetName val="Legal_Risk_Analysis21"/>
      <sheetName val="Mix_Design21"/>
      <sheetName val="Form_622"/>
      <sheetName val="PointNo_521"/>
      <sheetName val="RCC,Ret__Wall21"/>
      <sheetName val="E_&amp;_R21"/>
      <sheetName val="Break_up_Sheet21"/>
      <sheetName val="TBAL9697_-group_wise__sdpl21"/>
      <sheetName val="Abstract_Sheet21"/>
      <sheetName val="V_O_4_-_PCC_Qty21"/>
      <sheetName val="Fill_this_out_first___21"/>
      <sheetName val="REVISED4A_PROG_PERF-SITE_121"/>
      <sheetName val="BOQ_Direct_selling_cost21"/>
      <sheetName val="BOQ_(2)21"/>
      <sheetName val="CABLE_DATA21"/>
      <sheetName val="Staff_Acco_21"/>
      <sheetName val="Pipe_Supports21"/>
      <sheetName val="final_abstract21"/>
      <sheetName val="Rev_S1_Abstract21"/>
      <sheetName val="Quantity_Abstract21"/>
      <sheetName val="M-Book_for_Conc21"/>
      <sheetName val="M-Book_for_FW21"/>
      <sheetName val="Load_Details-220kV21"/>
      <sheetName val="beam-reinft-IIInd_floor21"/>
      <sheetName val="INPUT_SHEET21"/>
      <sheetName val="Project_Budget_Worksheet21"/>
      <sheetName val="SANJAY_PAL21"/>
      <sheetName val="P_A_SELVAM21"/>
      <sheetName val="ANSARI_21"/>
      <sheetName val="abdesh_pal21"/>
      <sheetName val="sujay_bagchi21"/>
      <sheetName val="S_K_SINHA_BASU21"/>
      <sheetName val="KRISHNA_PRASAD21"/>
      <sheetName val="BARATH_&amp;_CO21"/>
      <sheetName val="L_B_YADAV21"/>
      <sheetName val="DEEPAK_KUMAR21"/>
      <sheetName val="MUKLAL_YADAV21"/>
      <sheetName val="MADHU_SUDHAN21"/>
      <sheetName val="SAUD_ALAM_21"/>
      <sheetName val="RAMESH_BABU21"/>
      <sheetName val="SAILEN_SARKAR21"/>
      <sheetName val="SANJAY_JENA121"/>
      <sheetName val="upendra_saw_21"/>
      <sheetName val="ALLOK_KUMAR_21"/>
      <sheetName val="except_wiring21"/>
      <sheetName val="BOQ_-II_ph_221"/>
      <sheetName val="STAFFSCHED_20"/>
      <sheetName val="Metso_-_Forth_&amp;_Slurry_11_02_30"/>
      <sheetName val="Fee_Rate_Summary20"/>
      <sheetName val="d-safe_specs20"/>
      <sheetName val="Quote_Sheet20"/>
      <sheetName val="class_&amp;_category20"/>
      <sheetName val="Rein-Final_(Ph_1+Ph2)20"/>
      <sheetName val="Materials_Cost(PCC)20"/>
      <sheetName val="220_11__BS_20"/>
      <sheetName val="SSR_&amp;_NSSR_Market_final20"/>
      <sheetName val="Site_wise_NADs20"/>
      <sheetName val="RA_RCC_F20"/>
      <sheetName val="India_F&amp;S_Template20"/>
      <sheetName val="Stress_Calculation20"/>
      <sheetName val="precast_RC_element20"/>
      <sheetName val="plinth_Beam_+_Stirrups_20"/>
      <sheetName val="GF_COLUMNS20"/>
      <sheetName val="G_F_ROOF_BEAM_20"/>
      <sheetName val="GF_SLAB_STEEL20"/>
      <sheetName val="GF_Lintel20"/>
      <sheetName val="GF_Stair20"/>
      <sheetName val="FF_COLUMNS20"/>
      <sheetName val="F_F__Steel_FINAL_(2)20"/>
      <sheetName val="FF_Lintel20"/>
      <sheetName val="FF_Stair20"/>
      <sheetName val="S_F__Steel_FINAL_20"/>
      <sheetName val="SF_Lintel20"/>
      <sheetName val="SPT_vs_PHI18"/>
      <sheetName val="glass_project_concrete18"/>
      <sheetName val="glass_project_reift18"/>
      <sheetName val="glass_project_indices18"/>
      <sheetName val="SBC-BH_1917"/>
      <sheetName val="Rate_Analysis17"/>
      <sheetName val="Summary_050617"/>
      <sheetName val="Summary_0607-_31_MAR17"/>
      <sheetName val="Civil_Boq16"/>
      <sheetName val="Pile_cap16"/>
      <sheetName val="BH_12-11-10-1317"/>
      <sheetName val="BH_12-11-10-917"/>
      <sheetName val="BH_36-15-3717"/>
      <sheetName val="BH_16-35-25-1717"/>
      <sheetName val="BH_35-25-1717"/>
      <sheetName val="Sheet1_(2)17"/>
      <sheetName val="d-safe_DELUXE16"/>
      <sheetName val="PRECAST_lightconc-II16"/>
      <sheetName val="Legal_Risk_Analysis16"/>
      <sheetName val="Mix_Design16"/>
      <sheetName val="Form_617"/>
      <sheetName val="PointNo_516"/>
      <sheetName val="RCC,Ret__Wall16"/>
      <sheetName val="E_&amp;_R16"/>
      <sheetName val="Break_up_Sheet16"/>
      <sheetName val="TBAL9697_-group_wise__sdpl16"/>
      <sheetName val="Abstract_Sheet16"/>
      <sheetName val="V_O_4_-_PCC_Qty16"/>
      <sheetName val="Fill_this_out_first___16"/>
      <sheetName val="REVISED4A_PROG_PERF-SITE_116"/>
      <sheetName val="BOQ_Direct_selling_cost16"/>
      <sheetName val="BOQ_(2)16"/>
      <sheetName val="CABLE_DATA16"/>
      <sheetName val="Staff_Acco_16"/>
      <sheetName val="Pipe_Supports16"/>
      <sheetName val="final_abstract16"/>
      <sheetName val="Rev_S1_Abstract16"/>
      <sheetName val="Quantity_Abstract16"/>
      <sheetName val="M-Book_for_Conc16"/>
      <sheetName val="M-Book_for_FW16"/>
      <sheetName val="Load_Details-220kV16"/>
      <sheetName val="beam-reinft-IIInd_floor16"/>
      <sheetName val="INPUT_SHEET16"/>
      <sheetName val="Project_Budget_Worksheet16"/>
      <sheetName val="SANJAY_PAL16"/>
      <sheetName val="P_A_SELVAM16"/>
      <sheetName val="ANSARI_16"/>
      <sheetName val="abdesh_pal16"/>
      <sheetName val="sujay_bagchi16"/>
      <sheetName val="S_K_SINHA_BASU16"/>
      <sheetName val="KRISHNA_PRASAD16"/>
      <sheetName val="BARATH_&amp;_CO16"/>
      <sheetName val="L_B_YADAV16"/>
      <sheetName val="DEEPAK_KUMAR16"/>
      <sheetName val="MUKLAL_YADAV16"/>
      <sheetName val="MADHU_SUDHAN16"/>
      <sheetName val="SAUD_ALAM_16"/>
      <sheetName val="RAMESH_BABU16"/>
      <sheetName val="SAILEN_SARKAR16"/>
      <sheetName val="SANJAY_JENA116"/>
      <sheetName val="upendra_saw_16"/>
      <sheetName val="ALLOK_KUMAR_16"/>
      <sheetName val="except_wiring16"/>
      <sheetName val="BOQ_-II_ph_216"/>
      <sheetName val="STAFFSCHED_15"/>
      <sheetName val="Metso_-_Forth_&amp;_Slurry_11_02_25"/>
      <sheetName val="Fee_Rate_Summary15"/>
      <sheetName val="d-safe_specs15"/>
      <sheetName val="Quote_Sheet15"/>
      <sheetName val="class_&amp;_category15"/>
      <sheetName val="Rein-Final_(Ph_1+Ph2)15"/>
      <sheetName val="Materials_Cost(PCC)15"/>
      <sheetName val="220_11__BS_15"/>
      <sheetName val="SSR_&amp;_NSSR_Market_final15"/>
      <sheetName val="Site_wise_NADs15"/>
      <sheetName val="RA_RCC_F15"/>
      <sheetName val="India_F&amp;S_Template15"/>
      <sheetName val="Stress_Calculation15"/>
      <sheetName val="precast_RC_element15"/>
      <sheetName val="plinth_Beam_+_Stirrups_15"/>
      <sheetName val="GF_COLUMNS15"/>
      <sheetName val="G_F_ROOF_BEAM_15"/>
      <sheetName val="GF_SLAB_STEEL15"/>
      <sheetName val="GF_Lintel15"/>
      <sheetName val="GF_Stair15"/>
      <sheetName val="FF_COLUMNS15"/>
      <sheetName val="F_F__Steel_FINAL_(2)15"/>
      <sheetName val="FF_Lintel15"/>
      <sheetName val="FF_Stair15"/>
      <sheetName val="S_F__Steel_FINAL_15"/>
      <sheetName val="SF_Lintel15"/>
      <sheetName val="SPT_vs_PHI19"/>
      <sheetName val="glass_project_concrete19"/>
      <sheetName val="glass_project_reift19"/>
      <sheetName val="glass_project_indices19"/>
      <sheetName val="SBC-BH_1918"/>
      <sheetName val="Rate_Analysis18"/>
      <sheetName val="Summary_050618"/>
      <sheetName val="Summary_0607-_31_MAR18"/>
      <sheetName val="Civil_Boq17"/>
      <sheetName val="Pile_cap17"/>
      <sheetName val="BH_12-11-10-1318"/>
      <sheetName val="BH_12-11-10-918"/>
      <sheetName val="BH_36-15-3718"/>
      <sheetName val="BH_16-35-25-1718"/>
      <sheetName val="BH_35-25-1718"/>
      <sheetName val="Sheet1_(2)18"/>
      <sheetName val="d-safe_DELUXE17"/>
      <sheetName val="PRECAST_lightconc-II17"/>
      <sheetName val="Legal_Risk_Analysis17"/>
      <sheetName val="Mix_Design17"/>
      <sheetName val="Form_618"/>
      <sheetName val="PointNo_517"/>
      <sheetName val="RCC,Ret__Wall17"/>
      <sheetName val="E_&amp;_R17"/>
      <sheetName val="Break_up_Sheet17"/>
      <sheetName val="TBAL9697_-group_wise__sdpl17"/>
      <sheetName val="Abstract_Sheet17"/>
      <sheetName val="V_O_4_-_PCC_Qty17"/>
      <sheetName val="Fill_this_out_first___17"/>
      <sheetName val="REVISED4A_PROG_PERF-SITE_117"/>
      <sheetName val="BOQ_Direct_selling_cost17"/>
      <sheetName val="BOQ_(2)17"/>
      <sheetName val="CABLE_DATA17"/>
      <sheetName val="Staff_Acco_17"/>
      <sheetName val="Pipe_Supports17"/>
      <sheetName val="final_abstract17"/>
      <sheetName val="Rev_S1_Abstract17"/>
      <sheetName val="Quantity_Abstract17"/>
      <sheetName val="M-Book_for_Conc17"/>
      <sheetName val="M-Book_for_FW17"/>
      <sheetName val="Load_Details-220kV17"/>
      <sheetName val="beam-reinft-IIInd_floor17"/>
      <sheetName val="INPUT_SHEET17"/>
      <sheetName val="Project_Budget_Worksheet17"/>
      <sheetName val="SANJAY_PAL17"/>
      <sheetName val="P_A_SELVAM17"/>
      <sheetName val="ANSARI_17"/>
      <sheetName val="abdesh_pal17"/>
      <sheetName val="sujay_bagchi17"/>
      <sheetName val="S_K_SINHA_BASU17"/>
      <sheetName val="KRISHNA_PRASAD17"/>
      <sheetName val="BARATH_&amp;_CO17"/>
      <sheetName val="L_B_YADAV17"/>
      <sheetName val="DEEPAK_KUMAR17"/>
      <sheetName val="MUKLAL_YADAV17"/>
      <sheetName val="MADHU_SUDHAN17"/>
      <sheetName val="SAUD_ALAM_17"/>
      <sheetName val="RAMESH_BABU17"/>
      <sheetName val="SAILEN_SARKAR17"/>
      <sheetName val="SANJAY_JENA117"/>
      <sheetName val="upendra_saw_17"/>
      <sheetName val="ALLOK_KUMAR_17"/>
      <sheetName val="except_wiring17"/>
      <sheetName val="BOQ_-II_ph_217"/>
      <sheetName val="STAFFSCHED_16"/>
      <sheetName val="Metso_-_Forth_&amp;_Slurry_11_02_26"/>
      <sheetName val="Fee_Rate_Summary16"/>
      <sheetName val="d-safe_specs16"/>
      <sheetName val="Quote_Sheet16"/>
      <sheetName val="class_&amp;_category16"/>
      <sheetName val="Rein-Final_(Ph_1+Ph2)16"/>
      <sheetName val="Materials_Cost(PCC)16"/>
      <sheetName val="220_11__BS_16"/>
      <sheetName val="SSR_&amp;_NSSR_Market_final16"/>
      <sheetName val="Site_wise_NADs16"/>
      <sheetName val="RA_RCC_F16"/>
      <sheetName val="India_F&amp;S_Template16"/>
      <sheetName val="Stress_Calculation16"/>
      <sheetName val="precast_RC_element16"/>
      <sheetName val="plinth_Beam_+_Stirrups_16"/>
      <sheetName val="GF_COLUMNS16"/>
      <sheetName val="G_F_ROOF_BEAM_16"/>
      <sheetName val="GF_SLAB_STEEL16"/>
      <sheetName val="GF_Lintel16"/>
      <sheetName val="GF_Stair16"/>
      <sheetName val="FF_COLUMNS16"/>
      <sheetName val="F_F__Steel_FINAL_(2)16"/>
      <sheetName val="FF_Lintel16"/>
      <sheetName val="FF_Stair16"/>
      <sheetName val="S_F__Steel_FINAL_16"/>
      <sheetName val="SF_Lintel16"/>
      <sheetName val="Debits_as_on_12_04_083"/>
      <sheetName val="PRRM_Dashboard3"/>
      <sheetName val="SPT_vs_PHI20"/>
      <sheetName val="glass_project_concrete20"/>
      <sheetName val="glass_project_reift20"/>
      <sheetName val="glass_project_indices20"/>
      <sheetName val="SBC-BH_1919"/>
      <sheetName val="Rate_Analysis19"/>
      <sheetName val="Summary_050619"/>
      <sheetName val="Summary_0607-_31_MAR19"/>
      <sheetName val="Civil_Boq18"/>
      <sheetName val="Pile_cap18"/>
      <sheetName val="BH_12-11-10-1319"/>
      <sheetName val="BH_12-11-10-919"/>
      <sheetName val="BH_36-15-3719"/>
      <sheetName val="BH_16-35-25-1719"/>
      <sheetName val="BH_35-25-1719"/>
      <sheetName val="Sheet1_(2)19"/>
      <sheetName val="d-safe_DELUXE18"/>
      <sheetName val="PRECAST_lightconc-II18"/>
      <sheetName val="Legal_Risk_Analysis18"/>
      <sheetName val="Mix_Design18"/>
      <sheetName val="Form_619"/>
      <sheetName val="PointNo_518"/>
      <sheetName val="RCC,Ret__Wall18"/>
      <sheetName val="E_&amp;_R18"/>
      <sheetName val="Break_up_Sheet18"/>
      <sheetName val="TBAL9697_-group_wise__sdpl18"/>
      <sheetName val="Abstract_Sheet18"/>
      <sheetName val="V_O_4_-_PCC_Qty18"/>
      <sheetName val="Fill_this_out_first___18"/>
      <sheetName val="REVISED4A_PROG_PERF-SITE_118"/>
      <sheetName val="BOQ_Direct_selling_cost18"/>
      <sheetName val="BOQ_(2)18"/>
      <sheetName val="CABLE_DATA18"/>
      <sheetName val="Staff_Acco_18"/>
      <sheetName val="Pipe_Supports18"/>
      <sheetName val="final_abstract18"/>
      <sheetName val="Rev_S1_Abstract18"/>
      <sheetName val="Quantity_Abstract18"/>
      <sheetName val="M-Book_for_Conc18"/>
      <sheetName val="M-Book_for_FW18"/>
      <sheetName val="Load_Details-220kV18"/>
      <sheetName val="beam-reinft-IIInd_floor18"/>
      <sheetName val="INPUT_SHEET18"/>
      <sheetName val="Project_Budget_Worksheet18"/>
      <sheetName val="SANJAY_PAL18"/>
      <sheetName val="P_A_SELVAM18"/>
      <sheetName val="ANSARI_18"/>
      <sheetName val="abdesh_pal18"/>
      <sheetName val="sujay_bagchi18"/>
      <sheetName val="S_K_SINHA_BASU18"/>
      <sheetName val="KRISHNA_PRASAD18"/>
      <sheetName val="BARATH_&amp;_CO18"/>
      <sheetName val="L_B_YADAV18"/>
      <sheetName val="DEEPAK_KUMAR18"/>
      <sheetName val="MUKLAL_YADAV18"/>
      <sheetName val="MADHU_SUDHAN18"/>
      <sheetName val="SAUD_ALAM_18"/>
      <sheetName val="RAMESH_BABU18"/>
      <sheetName val="SAILEN_SARKAR18"/>
      <sheetName val="SANJAY_JENA118"/>
      <sheetName val="upendra_saw_18"/>
      <sheetName val="ALLOK_KUMAR_18"/>
      <sheetName val="except_wiring18"/>
      <sheetName val="BOQ_-II_ph_218"/>
      <sheetName val="STAFFSCHED_17"/>
      <sheetName val="Metso_-_Forth_&amp;_Slurry_11_02_27"/>
      <sheetName val="Fee_Rate_Summary17"/>
      <sheetName val="d-safe_specs17"/>
      <sheetName val="Quote_Sheet17"/>
      <sheetName val="class_&amp;_category17"/>
      <sheetName val="Rein-Final_(Ph_1+Ph2)17"/>
      <sheetName val="Materials_Cost(PCC)17"/>
      <sheetName val="220_11__BS_17"/>
      <sheetName val="SSR_&amp;_NSSR_Market_final17"/>
      <sheetName val="Site_wise_NADs17"/>
      <sheetName val="RA_RCC_F17"/>
      <sheetName val="India_F&amp;S_Template17"/>
      <sheetName val="Stress_Calculation17"/>
      <sheetName val="precast_RC_element17"/>
      <sheetName val="plinth_Beam_+_Stirrups_17"/>
      <sheetName val="GF_COLUMNS17"/>
      <sheetName val="G_F_ROOF_BEAM_17"/>
      <sheetName val="GF_SLAB_STEEL17"/>
      <sheetName val="GF_Lintel17"/>
      <sheetName val="GF_Stair17"/>
      <sheetName val="FF_COLUMNS17"/>
      <sheetName val="F_F__Steel_FINAL_(2)17"/>
      <sheetName val="FF_Lintel17"/>
      <sheetName val="FF_Stair17"/>
      <sheetName val="S_F__Steel_FINAL_17"/>
      <sheetName val="SF_Lintel17"/>
      <sheetName val="Debits_as_on_12_04_08"/>
      <sheetName val="PRRM_Dashboard"/>
      <sheetName val="SPT_vs_PHI21"/>
      <sheetName val="glass_project_concrete21"/>
      <sheetName val="glass_project_reift21"/>
      <sheetName val="glass_project_indices21"/>
      <sheetName val="SBC-BH_1920"/>
      <sheetName val="Rate_Analysis20"/>
      <sheetName val="Summary_050620"/>
      <sheetName val="Summary_0607-_31_MAR20"/>
      <sheetName val="Civil_Boq19"/>
      <sheetName val="Pile_cap19"/>
      <sheetName val="BH_12-11-10-1320"/>
      <sheetName val="BH_12-11-10-920"/>
      <sheetName val="BH_36-15-3720"/>
      <sheetName val="BH_16-35-25-1720"/>
      <sheetName val="BH_35-25-1720"/>
      <sheetName val="Sheet1_(2)20"/>
      <sheetName val="d-safe_DELUXE19"/>
      <sheetName val="PRECAST_lightconc-II19"/>
      <sheetName val="Legal_Risk_Analysis19"/>
      <sheetName val="Mix_Design19"/>
      <sheetName val="Form_620"/>
      <sheetName val="PointNo_519"/>
      <sheetName val="RCC,Ret__Wall19"/>
      <sheetName val="E_&amp;_R19"/>
      <sheetName val="Break_up_Sheet19"/>
      <sheetName val="TBAL9697_-group_wise__sdpl19"/>
      <sheetName val="Abstract_Sheet19"/>
      <sheetName val="V_O_4_-_PCC_Qty19"/>
      <sheetName val="Fill_this_out_first___19"/>
      <sheetName val="REVISED4A_PROG_PERF-SITE_119"/>
      <sheetName val="BOQ_Direct_selling_cost19"/>
      <sheetName val="BOQ_(2)19"/>
      <sheetName val="CABLE_DATA19"/>
      <sheetName val="Staff_Acco_19"/>
      <sheetName val="Pipe_Supports19"/>
      <sheetName val="final_abstract19"/>
      <sheetName val="Rev_S1_Abstract19"/>
      <sheetName val="Quantity_Abstract19"/>
      <sheetName val="M-Book_for_Conc19"/>
      <sheetName val="M-Book_for_FW19"/>
      <sheetName val="Load_Details-220kV19"/>
      <sheetName val="beam-reinft-IIInd_floor19"/>
      <sheetName val="INPUT_SHEET19"/>
      <sheetName val="Project_Budget_Worksheet19"/>
      <sheetName val="SANJAY_PAL19"/>
      <sheetName val="P_A_SELVAM19"/>
      <sheetName val="ANSARI_19"/>
      <sheetName val="abdesh_pal19"/>
      <sheetName val="sujay_bagchi19"/>
      <sheetName val="S_K_SINHA_BASU19"/>
      <sheetName val="KRISHNA_PRASAD19"/>
      <sheetName val="BARATH_&amp;_CO19"/>
      <sheetName val="L_B_YADAV19"/>
      <sheetName val="DEEPAK_KUMAR19"/>
      <sheetName val="MUKLAL_YADAV19"/>
      <sheetName val="MADHU_SUDHAN19"/>
      <sheetName val="SAUD_ALAM_19"/>
      <sheetName val="RAMESH_BABU19"/>
      <sheetName val="SAILEN_SARKAR19"/>
      <sheetName val="SANJAY_JENA119"/>
      <sheetName val="upendra_saw_19"/>
      <sheetName val="ALLOK_KUMAR_19"/>
      <sheetName val="except_wiring19"/>
      <sheetName val="BOQ_-II_ph_219"/>
      <sheetName val="STAFFSCHED_18"/>
      <sheetName val="Metso_-_Forth_&amp;_Slurry_11_02_28"/>
      <sheetName val="Fee_Rate_Summary18"/>
      <sheetName val="d-safe_specs18"/>
      <sheetName val="Quote_Sheet18"/>
      <sheetName val="class_&amp;_category18"/>
      <sheetName val="Rein-Final_(Ph_1+Ph2)18"/>
      <sheetName val="Materials_Cost(PCC)18"/>
      <sheetName val="220_11__BS_18"/>
      <sheetName val="SSR_&amp;_NSSR_Market_final18"/>
      <sheetName val="Site_wise_NADs18"/>
      <sheetName val="RA_RCC_F18"/>
      <sheetName val="India_F&amp;S_Template18"/>
      <sheetName val="Stress_Calculation18"/>
      <sheetName val="precast_RC_element18"/>
      <sheetName val="plinth_Beam_+_Stirrups_18"/>
      <sheetName val="GF_COLUMNS18"/>
      <sheetName val="G_F_ROOF_BEAM_18"/>
      <sheetName val="GF_SLAB_STEEL18"/>
      <sheetName val="GF_Lintel18"/>
      <sheetName val="GF_Stair18"/>
      <sheetName val="FF_COLUMNS18"/>
      <sheetName val="F_F__Steel_FINAL_(2)18"/>
      <sheetName val="FF_Lintel18"/>
      <sheetName val="FF_Stair18"/>
      <sheetName val="S_F__Steel_FINAL_18"/>
      <sheetName val="SF_Lintel18"/>
      <sheetName val="Debits_as_on_12_04_081"/>
      <sheetName val="PRRM_Dashboard1"/>
      <sheetName val="SPT_vs_PHI22"/>
      <sheetName val="glass_project_concrete22"/>
      <sheetName val="glass_project_reift22"/>
      <sheetName val="glass_project_indices22"/>
      <sheetName val="SBC-BH_1921"/>
      <sheetName val="Rate_Analysis21"/>
      <sheetName val="Summary_050621"/>
      <sheetName val="Summary_0607-_31_MAR21"/>
      <sheetName val="Civil_Boq20"/>
      <sheetName val="Pile_cap20"/>
      <sheetName val="BH_12-11-10-1321"/>
      <sheetName val="BH_12-11-10-921"/>
      <sheetName val="BH_36-15-3721"/>
      <sheetName val="BH_16-35-25-1721"/>
      <sheetName val="BH_35-25-1721"/>
      <sheetName val="Sheet1_(2)21"/>
      <sheetName val="d-safe_DELUXE20"/>
      <sheetName val="PRECAST_lightconc-II20"/>
      <sheetName val="Legal_Risk_Analysis20"/>
      <sheetName val="Mix_Design20"/>
      <sheetName val="Form_621"/>
      <sheetName val="PointNo_520"/>
      <sheetName val="RCC,Ret__Wall20"/>
      <sheetName val="E_&amp;_R20"/>
      <sheetName val="Break_up_Sheet20"/>
      <sheetName val="TBAL9697_-group_wise__sdpl20"/>
      <sheetName val="Abstract_Sheet20"/>
      <sheetName val="V_O_4_-_PCC_Qty20"/>
      <sheetName val="Fill_this_out_first___20"/>
      <sheetName val="REVISED4A_PROG_PERF-SITE_120"/>
      <sheetName val="BOQ_Direct_selling_cost20"/>
      <sheetName val="BOQ_(2)20"/>
      <sheetName val="CABLE_DATA20"/>
      <sheetName val="Staff_Acco_20"/>
      <sheetName val="Pipe_Supports20"/>
      <sheetName val="final_abstract20"/>
      <sheetName val="Rev_S1_Abstract20"/>
      <sheetName val="Quantity_Abstract20"/>
      <sheetName val="M-Book_for_Conc20"/>
      <sheetName val="M-Book_for_FW20"/>
      <sheetName val="Load_Details-220kV20"/>
      <sheetName val="beam-reinft-IIInd_floor20"/>
      <sheetName val="INPUT_SHEET20"/>
      <sheetName val="Project_Budget_Worksheet20"/>
      <sheetName val="SANJAY_PAL20"/>
      <sheetName val="P_A_SELVAM20"/>
      <sheetName val="ANSARI_20"/>
      <sheetName val="abdesh_pal20"/>
      <sheetName val="sujay_bagchi20"/>
      <sheetName val="S_K_SINHA_BASU20"/>
      <sheetName val="KRISHNA_PRASAD20"/>
      <sheetName val="BARATH_&amp;_CO20"/>
      <sheetName val="L_B_YADAV20"/>
      <sheetName val="DEEPAK_KUMAR20"/>
      <sheetName val="MUKLAL_YADAV20"/>
      <sheetName val="MADHU_SUDHAN20"/>
      <sheetName val="SAUD_ALAM_20"/>
      <sheetName val="RAMESH_BABU20"/>
      <sheetName val="SAILEN_SARKAR20"/>
      <sheetName val="SANJAY_JENA120"/>
      <sheetName val="upendra_saw_20"/>
      <sheetName val="ALLOK_KUMAR_20"/>
      <sheetName val="except_wiring20"/>
      <sheetName val="BOQ_-II_ph_220"/>
      <sheetName val="STAFFSCHED_19"/>
      <sheetName val="Metso_-_Forth_&amp;_Slurry_11_02_29"/>
      <sheetName val="Fee_Rate_Summary19"/>
      <sheetName val="d-safe_specs19"/>
      <sheetName val="Quote_Sheet19"/>
      <sheetName val="class_&amp;_category19"/>
      <sheetName val="Rein-Final_(Ph_1+Ph2)19"/>
      <sheetName val="Materials_Cost(PCC)19"/>
      <sheetName val="220_11__BS_19"/>
      <sheetName val="SSR_&amp;_NSSR_Market_final19"/>
      <sheetName val="Site_wise_NADs19"/>
      <sheetName val="RA_RCC_F19"/>
      <sheetName val="India_F&amp;S_Template19"/>
      <sheetName val="Stress_Calculation19"/>
      <sheetName val="precast_RC_element19"/>
      <sheetName val="plinth_Beam_+_Stirrups_19"/>
      <sheetName val="GF_COLUMNS19"/>
      <sheetName val="G_F_ROOF_BEAM_19"/>
      <sheetName val="GF_SLAB_STEEL19"/>
      <sheetName val="GF_Lintel19"/>
      <sheetName val="GF_Stair19"/>
      <sheetName val="FF_COLUMNS19"/>
      <sheetName val="F_F__Steel_FINAL_(2)19"/>
      <sheetName val="FF_Lintel19"/>
      <sheetName val="FF_Stair19"/>
      <sheetName val="S_F__Steel_FINAL_19"/>
      <sheetName val="SF_Lintel19"/>
      <sheetName val="Debits_as_on_12_04_082"/>
      <sheetName val="PRRM_Dashboard2"/>
      <sheetName val="SPT_vs_PHI24"/>
      <sheetName val="glass_project_concrete24"/>
      <sheetName val="glass_project_reift24"/>
      <sheetName val="glass_project_indices24"/>
      <sheetName val="SBC-BH_1923"/>
      <sheetName val="Rate_Analysis23"/>
      <sheetName val="Summary_050623"/>
      <sheetName val="Summary_0607-_31_MAR23"/>
      <sheetName val="Civil_Boq22"/>
      <sheetName val="Pile_cap22"/>
      <sheetName val="BH_12-11-10-1323"/>
      <sheetName val="BH_12-11-10-923"/>
      <sheetName val="BH_36-15-3723"/>
      <sheetName val="BH_16-35-25-1723"/>
      <sheetName val="BH_35-25-1723"/>
      <sheetName val="Sheet1_(2)23"/>
      <sheetName val="d-safe_DELUXE22"/>
      <sheetName val="PRECAST_lightconc-II22"/>
      <sheetName val="Legal_Risk_Analysis22"/>
      <sheetName val="Mix_Design22"/>
      <sheetName val="Form_623"/>
      <sheetName val="PointNo_522"/>
      <sheetName val="RCC,Ret__Wall22"/>
      <sheetName val="E_&amp;_R22"/>
      <sheetName val="Break_up_Sheet22"/>
      <sheetName val="TBAL9697_-group_wise__sdpl22"/>
      <sheetName val="Abstract_Sheet22"/>
      <sheetName val="V_O_4_-_PCC_Qty22"/>
      <sheetName val="Fill_this_out_first___22"/>
      <sheetName val="REVISED4A_PROG_PERF-SITE_122"/>
      <sheetName val="BOQ_Direct_selling_cost22"/>
      <sheetName val="BOQ_(2)22"/>
      <sheetName val="CABLE_DATA22"/>
      <sheetName val="Staff_Acco_22"/>
      <sheetName val="Pipe_Supports22"/>
      <sheetName val="final_abstract22"/>
      <sheetName val="Rev_S1_Abstract22"/>
      <sheetName val="Quantity_Abstract22"/>
      <sheetName val="M-Book_for_Conc22"/>
      <sheetName val="M-Book_for_FW22"/>
      <sheetName val="Load_Details-220kV22"/>
      <sheetName val="beam-reinft-IIInd_floor22"/>
      <sheetName val="INPUT_SHEET22"/>
      <sheetName val="Project_Budget_Worksheet22"/>
      <sheetName val="SANJAY_PAL22"/>
      <sheetName val="P_A_SELVAM22"/>
      <sheetName val="ANSARI_22"/>
      <sheetName val="abdesh_pal22"/>
      <sheetName val="sujay_bagchi22"/>
      <sheetName val="S_K_SINHA_BASU22"/>
      <sheetName val="KRISHNA_PRASAD22"/>
      <sheetName val="BARATH_&amp;_CO22"/>
      <sheetName val="L_B_YADAV22"/>
      <sheetName val="DEEPAK_KUMAR22"/>
      <sheetName val="MUKLAL_YADAV22"/>
      <sheetName val="MADHU_SUDHAN22"/>
      <sheetName val="SAUD_ALAM_22"/>
      <sheetName val="RAMESH_BABU22"/>
      <sheetName val="SAILEN_SARKAR22"/>
      <sheetName val="SANJAY_JENA122"/>
      <sheetName val="upendra_saw_22"/>
      <sheetName val="ALLOK_KUMAR_22"/>
      <sheetName val="except_wiring22"/>
      <sheetName val="BOQ_-II_ph_222"/>
      <sheetName val="STAFFSCHED_21"/>
      <sheetName val="Metso_-_Forth_&amp;_Slurry_11_02_31"/>
      <sheetName val="Fee_Rate_Summary21"/>
      <sheetName val="d-safe_specs21"/>
      <sheetName val="Quote_Sheet21"/>
      <sheetName val="class_&amp;_category21"/>
      <sheetName val="Rein-Final_(Ph_1+Ph2)21"/>
      <sheetName val="Materials_Cost(PCC)21"/>
      <sheetName val="220_11__BS_21"/>
      <sheetName val="SSR_&amp;_NSSR_Market_final21"/>
      <sheetName val="Site_wise_NADs21"/>
      <sheetName val="RA_RCC_F21"/>
      <sheetName val="India_F&amp;S_Template21"/>
      <sheetName val="Stress_Calculation21"/>
      <sheetName val="precast_RC_element21"/>
      <sheetName val="plinth_Beam_+_Stirrups_21"/>
      <sheetName val="GF_COLUMNS21"/>
      <sheetName val="G_F_ROOF_BEAM_21"/>
      <sheetName val="GF_SLAB_STEEL21"/>
      <sheetName val="GF_Lintel21"/>
      <sheetName val="GF_Stair21"/>
      <sheetName val="FF_COLUMNS21"/>
      <sheetName val="F_F__Steel_FINAL_(2)21"/>
      <sheetName val="FF_Lintel21"/>
      <sheetName val="FF_Stair21"/>
      <sheetName val="S_F__Steel_FINAL_21"/>
      <sheetName val="SF_Lintel21"/>
      <sheetName val="Debits_as_on_12_04_084"/>
      <sheetName val="PRRM_Dashboard4"/>
      <sheetName val="SPT_vs_PHI25"/>
      <sheetName val="glass_project_concrete25"/>
      <sheetName val="glass_project_reift25"/>
      <sheetName val="glass_project_indices25"/>
      <sheetName val="SBC-BH_1924"/>
      <sheetName val="Rate_Analysis24"/>
      <sheetName val="Summary_050624"/>
      <sheetName val="Summary_0607-_31_MAR24"/>
      <sheetName val="Civil_Boq23"/>
      <sheetName val="Pile_cap23"/>
      <sheetName val="BH_12-11-10-1324"/>
      <sheetName val="BH_12-11-10-924"/>
      <sheetName val="BH_36-15-3724"/>
      <sheetName val="BH_16-35-25-1724"/>
      <sheetName val="BH_35-25-1724"/>
      <sheetName val="Sheet1_(2)24"/>
      <sheetName val="d-safe_DELUXE23"/>
      <sheetName val="PRECAST_lightconc-II23"/>
      <sheetName val="Legal_Risk_Analysis23"/>
      <sheetName val="Mix_Design23"/>
      <sheetName val="Form_624"/>
      <sheetName val="PointNo_523"/>
      <sheetName val="RCC,Ret__Wall23"/>
      <sheetName val="E_&amp;_R23"/>
      <sheetName val="Break_up_Sheet23"/>
      <sheetName val="TBAL9697_-group_wise__sdpl23"/>
      <sheetName val="Abstract_Sheet23"/>
      <sheetName val="V_O_4_-_PCC_Qty23"/>
      <sheetName val="Fill_this_out_first___23"/>
      <sheetName val="REVISED4A_PROG_PERF-SITE_123"/>
      <sheetName val="BOQ_Direct_selling_cost23"/>
      <sheetName val="BOQ_(2)23"/>
      <sheetName val="CABLE_DATA23"/>
      <sheetName val="Staff_Acco_23"/>
      <sheetName val="Pipe_Supports23"/>
      <sheetName val="final_abstract23"/>
      <sheetName val="Rev_S1_Abstract23"/>
      <sheetName val="Quantity_Abstract23"/>
      <sheetName val="M-Book_for_Conc23"/>
      <sheetName val="M-Book_for_FW23"/>
      <sheetName val="Load_Details-220kV23"/>
      <sheetName val="beam-reinft-IIInd_floor23"/>
      <sheetName val="INPUT_SHEET23"/>
      <sheetName val="Project_Budget_Worksheet23"/>
      <sheetName val="SANJAY_PAL23"/>
      <sheetName val="P_A_SELVAM23"/>
      <sheetName val="ANSARI_23"/>
      <sheetName val="abdesh_pal23"/>
      <sheetName val="sujay_bagchi23"/>
      <sheetName val="S_K_SINHA_BASU23"/>
      <sheetName val="KRISHNA_PRASAD23"/>
      <sheetName val="BARATH_&amp;_CO23"/>
      <sheetName val="L_B_YADAV23"/>
      <sheetName val="DEEPAK_KUMAR23"/>
      <sheetName val="MUKLAL_YADAV23"/>
      <sheetName val="MADHU_SUDHAN23"/>
      <sheetName val="SAUD_ALAM_23"/>
      <sheetName val="RAMESH_BABU23"/>
      <sheetName val="SAILEN_SARKAR23"/>
      <sheetName val="SANJAY_JENA123"/>
      <sheetName val="upendra_saw_23"/>
      <sheetName val="ALLOK_KUMAR_23"/>
      <sheetName val="except_wiring23"/>
      <sheetName val="BOQ_-II_ph_223"/>
      <sheetName val="STAFFSCHED_22"/>
      <sheetName val="Metso_-_Forth_&amp;_Slurry_11_02_32"/>
      <sheetName val="Fee_Rate_Summary22"/>
      <sheetName val="d-safe_specs22"/>
      <sheetName val="Quote_Sheet22"/>
      <sheetName val="class_&amp;_category22"/>
      <sheetName val="Rein-Final_(Ph_1+Ph2)22"/>
      <sheetName val="Materials_Cost(PCC)22"/>
      <sheetName val="220_11__BS_22"/>
      <sheetName val="SSR_&amp;_NSSR_Market_final22"/>
      <sheetName val="Site_wise_NADs22"/>
      <sheetName val="RA_RCC_F22"/>
      <sheetName val="India_F&amp;S_Template22"/>
      <sheetName val="Stress_Calculation22"/>
      <sheetName val="precast_RC_element22"/>
      <sheetName val="plinth_Beam_+_Stirrups_22"/>
      <sheetName val="GF_COLUMNS22"/>
      <sheetName val="G_F_ROOF_BEAM_22"/>
      <sheetName val="GF_SLAB_STEEL22"/>
      <sheetName val="GF_Lintel22"/>
      <sheetName val="GF_Stair22"/>
      <sheetName val="FF_COLUMNS22"/>
      <sheetName val="F_F__Steel_FINAL_(2)22"/>
      <sheetName val="FF_Lintel22"/>
      <sheetName val="FF_Stair22"/>
      <sheetName val="S_F__Steel_FINAL_22"/>
      <sheetName val="SF_Lintel22"/>
      <sheetName val="Debits_as_on_12_04_085"/>
      <sheetName val="PRRM_Dashboard5"/>
      <sheetName val="Material "/>
      <sheetName val="Labour &amp; Plant"/>
      <sheetName val="Materials Cost"/>
      <sheetName val="Joints"/>
      <sheetName val="2.2 띠장의 설계"/>
      <sheetName val="HVAC"/>
      <sheetName val="Abstract_for_Variation"/>
      <sheetName val="LBD_VARIATION"/>
      <sheetName val="LT_Motor_catalog"/>
      <sheetName val="Cable_cat"/>
      <sheetName val="Tees"/>
      <sheetName val="TRF details"/>
      <sheetName val="TABLES"/>
      <sheetName val="Pipe_SupportÈ"/>
      <sheetName val="FT-05-02Is-_x0000_5y"/>
      <sheetName val="4NEXRA"/>
      <sheetName val=" "/>
      <sheetName val="B@___x005f_x005f_x005f_x005f_x005f_x005f_x005f_x0004_@_"/>
      <sheetName val="B@__x005f_x005f_x005f_x005f_x005f_x005f_x005f_x005f_x00"/>
      <sheetName val="Basicrates"/>
      <sheetName val="B@___x005f_x005f_x005f_x005f_x005f_x005f_x005f_x005f_x0"/>
      <sheetName val="PL Inst RA 12"/>
      <sheetName val="見積書"/>
      <sheetName val="bricks"/>
      <sheetName val="estimate"/>
      <sheetName val="Havells  LT (XLPE)"/>
      <sheetName val="database"/>
      <sheetName val="ISA"/>
      <sheetName val="Works - Quote Sheet"/>
      <sheetName val="PL-ST-6"/>
      <sheetName val="Coalmine"/>
      <sheetName val="PACK (B)"/>
      <sheetName val="IO List"/>
      <sheetName val="B@__x0000__x0004_@_x0000___$_x0"/>
      <sheetName val="B@__x005f_x005f_x005f_x0000__x0"/>
      <sheetName val="B@___x0004_@___$_"/>
      <sheetName val="measurement"/>
      <sheetName val="SPT_vs_PHI26"/>
      <sheetName val="glass_project_concrete26"/>
      <sheetName val="glass_project_reift26"/>
      <sheetName val="glass_project_indices26"/>
      <sheetName val="SBC-BH_1925"/>
      <sheetName val="Rate_Analysis25"/>
      <sheetName val="Summary_050625"/>
      <sheetName val="Summary_0607-_31_MAR25"/>
      <sheetName val="Civil_Boq24"/>
      <sheetName val="Pile_cap24"/>
      <sheetName val="BH_12-11-10-1325"/>
      <sheetName val="BH_12-11-10-925"/>
      <sheetName val="BH_36-15-3725"/>
      <sheetName val="BH_16-35-25-1725"/>
      <sheetName val="BH_35-25-1725"/>
      <sheetName val="Sheet1_(2)25"/>
      <sheetName val="d-safe_DELUXE24"/>
      <sheetName val="PRECAST_lightconc-II24"/>
      <sheetName val="Legal_Risk_Analysis24"/>
      <sheetName val="Mix_Design24"/>
      <sheetName val="Form_625"/>
      <sheetName val="PointNo_524"/>
      <sheetName val="RCC,Ret__Wall24"/>
      <sheetName val="E_&amp;_R24"/>
      <sheetName val="Break_up_Sheet24"/>
      <sheetName val="TBAL9697_-group_wise__sdpl24"/>
      <sheetName val="Abstract_Sheet24"/>
      <sheetName val="V_O_4_-_PCC_Qty24"/>
      <sheetName val="Fill_this_out_first___24"/>
      <sheetName val="REVISED4A_PROG_PERF-SITE_124"/>
      <sheetName val="BOQ_Direct_selling_cost24"/>
      <sheetName val="BOQ_(2)24"/>
      <sheetName val="CABLE_DATA24"/>
      <sheetName val="Staff_Acco_24"/>
      <sheetName val="Pipe_Supports24"/>
      <sheetName val="final_abstract24"/>
      <sheetName val="Rev_S1_Abstract24"/>
      <sheetName val="Quantity_Abstract24"/>
      <sheetName val="M-Book_for_Conc24"/>
      <sheetName val="M-Book_for_FW24"/>
      <sheetName val="Load_Details-220kV24"/>
      <sheetName val="beam-reinft-IIInd_floor24"/>
      <sheetName val="INPUT_SHEET24"/>
      <sheetName val="Project_Budget_Worksheet24"/>
      <sheetName val="SANJAY_PAL24"/>
      <sheetName val="P_A_SELVAM24"/>
      <sheetName val="ANSARI_24"/>
      <sheetName val="abdesh_pal24"/>
      <sheetName val="sujay_bagchi24"/>
      <sheetName val="S_K_SINHA_BASU24"/>
      <sheetName val="KRISHNA_PRASAD24"/>
      <sheetName val="BARATH_&amp;_CO24"/>
      <sheetName val="L_B_YADAV24"/>
      <sheetName val="DEEPAK_KUMAR24"/>
      <sheetName val="MUKLAL_YADAV24"/>
      <sheetName val="MADHU_SUDHAN24"/>
      <sheetName val="SAUD_ALAM_24"/>
      <sheetName val="RAMESH_BABU24"/>
      <sheetName val="SAILEN_SARKAR24"/>
      <sheetName val="SANJAY_JENA124"/>
      <sheetName val="upendra_saw_24"/>
      <sheetName val="ALLOK_KUMAR_24"/>
      <sheetName val="except_wiring24"/>
      <sheetName val="BOQ_-II_ph_224"/>
      <sheetName val="STAFFSCHED_23"/>
      <sheetName val="Metso_-_Forth_&amp;_Slurry_11_02_33"/>
      <sheetName val="Fee_Rate_Summary23"/>
      <sheetName val="d-safe_specs23"/>
      <sheetName val="Quote_Sheet23"/>
      <sheetName val="class_&amp;_category23"/>
      <sheetName val="Rein-Final_(Ph_1+Ph2)23"/>
      <sheetName val="Materials_Cost(PCC)23"/>
      <sheetName val="220_11__BS_23"/>
      <sheetName val="SSR_&amp;_NSSR_Market_final23"/>
      <sheetName val="Site_wise_NADs23"/>
      <sheetName val="RA_RCC_F23"/>
      <sheetName val="India_F&amp;S_Template23"/>
      <sheetName val="Stress_Calculation23"/>
      <sheetName val="precast_RC_element23"/>
      <sheetName val="plinth_Beam_+_Stirrups_23"/>
      <sheetName val="GF_COLUMNS23"/>
      <sheetName val="G_F_ROOF_BEAM_23"/>
      <sheetName val="GF_SLAB_STEEL23"/>
      <sheetName val="GF_Lintel23"/>
      <sheetName val="GF_Stair23"/>
      <sheetName val="FF_COLUMNS23"/>
      <sheetName val="F_F__Steel_FINAL_(2)23"/>
      <sheetName val="FF_Lintel23"/>
      <sheetName val="FF_Stair23"/>
      <sheetName val="S_F__Steel_FINAL_23"/>
      <sheetName val="SF_Lintel23"/>
      <sheetName val="Debits_as_on_12_04_086"/>
      <sheetName val="PRRM_Dashboard6"/>
      <sheetName val="SPT_vs_PHI27"/>
      <sheetName val="glass_project_concrete27"/>
      <sheetName val="glass_project_reift27"/>
      <sheetName val="glass_project_indices27"/>
      <sheetName val="SBC-BH_1926"/>
      <sheetName val="Rate_Analysis26"/>
      <sheetName val="Summary_050626"/>
      <sheetName val="Summary_0607-_31_MAR26"/>
      <sheetName val="Civil_Boq25"/>
      <sheetName val="Pile_cap25"/>
      <sheetName val="BH_12-11-10-1326"/>
      <sheetName val="BH_12-11-10-926"/>
      <sheetName val="BH_36-15-3726"/>
      <sheetName val="BH_16-35-25-1726"/>
      <sheetName val="BH_35-25-1726"/>
      <sheetName val="Sheet1_(2)26"/>
      <sheetName val="d-safe_DELUXE25"/>
      <sheetName val="PRECAST_lightconc-II25"/>
      <sheetName val="Legal_Risk_Analysis25"/>
      <sheetName val="Mix_Design25"/>
      <sheetName val="Form_626"/>
      <sheetName val="PointNo_525"/>
      <sheetName val="RCC,Ret__Wall25"/>
      <sheetName val="E_&amp;_R25"/>
      <sheetName val="Break_up_Sheet25"/>
      <sheetName val="TBAL9697_-group_wise__sdpl25"/>
      <sheetName val="Abstract_Sheet25"/>
      <sheetName val="V_O_4_-_PCC_Qty25"/>
      <sheetName val="Fill_this_out_first___25"/>
      <sheetName val="REVISED4A_PROG_PERF-SITE_125"/>
      <sheetName val="BOQ_Direct_selling_cost25"/>
      <sheetName val="BOQ_(2)25"/>
      <sheetName val="CABLE_DATA25"/>
      <sheetName val="Staff_Acco_25"/>
      <sheetName val="Pipe_Supports25"/>
      <sheetName val="final_abstract25"/>
      <sheetName val="Rev_S1_Abstract25"/>
      <sheetName val="Quantity_Abstract25"/>
      <sheetName val="M-Book_for_Conc25"/>
      <sheetName val="M-Book_for_FW25"/>
      <sheetName val="Load_Details-220kV25"/>
      <sheetName val="beam-reinft-IIInd_floor25"/>
      <sheetName val="INPUT_SHEET25"/>
      <sheetName val="Project_Budget_Worksheet25"/>
      <sheetName val="SANJAY_PAL25"/>
      <sheetName val="P_A_SELVAM25"/>
      <sheetName val="ANSARI_25"/>
      <sheetName val="abdesh_pal25"/>
      <sheetName val="sujay_bagchi25"/>
      <sheetName val="S_K_SINHA_BASU25"/>
      <sheetName val="KRISHNA_PRASAD25"/>
      <sheetName val="BARATH_&amp;_CO25"/>
      <sheetName val="L_B_YADAV25"/>
      <sheetName val="DEEPAK_KUMAR25"/>
      <sheetName val="MUKLAL_YADAV25"/>
      <sheetName val="MADHU_SUDHAN25"/>
      <sheetName val="SAUD_ALAM_25"/>
      <sheetName val="RAMESH_BABU25"/>
      <sheetName val="SAILEN_SARKAR25"/>
      <sheetName val="SANJAY_JENA125"/>
      <sheetName val="upendra_saw_25"/>
      <sheetName val="ALLOK_KUMAR_25"/>
      <sheetName val="except_wiring25"/>
      <sheetName val="BOQ_-II_ph_225"/>
      <sheetName val="STAFFSCHED_24"/>
      <sheetName val="Metso_-_Forth_&amp;_Slurry_11_02_34"/>
      <sheetName val="Fee_Rate_Summary24"/>
      <sheetName val="d-safe_specs24"/>
      <sheetName val="Quote_Sheet24"/>
      <sheetName val="class_&amp;_category24"/>
      <sheetName val="Rein-Final_(Ph_1+Ph2)24"/>
      <sheetName val="Materials_Cost(PCC)24"/>
      <sheetName val="220_11__BS_24"/>
      <sheetName val="SSR_&amp;_NSSR_Market_final24"/>
      <sheetName val="Site_wise_NADs24"/>
      <sheetName val="RA_RCC_F24"/>
      <sheetName val="India_F&amp;S_Template24"/>
      <sheetName val="Stress_Calculation24"/>
      <sheetName val="precast_RC_element24"/>
      <sheetName val="plinth_Beam_+_Stirrups_24"/>
      <sheetName val="GF_COLUMNS24"/>
      <sheetName val="G_F_ROOF_BEAM_24"/>
      <sheetName val="GF_SLAB_STEEL24"/>
      <sheetName val="GF_Lintel24"/>
      <sheetName val="GF_Stair24"/>
      <sheetName val="FF_COLUMNS24"/>
      <sheetName val="F_F__Steel_FINAL_(2)24"/>
      <sheetName val="FF_Lintel24"/>
      <sheetName val="FF_Stair24"/>
      <sheetName val="S_F__Steel_FINAL_24"/>
      <sheetName val="SF_Lintel24"/>
      <sheetName val="Debits_as_on_12_04_087"/>
      <sheetName val="PRRM_Dashboard7"/>
      <sheetName val="RCC-Rates"/>
      <sheetName val="매크로"/>
      <sheetName val="BPL"/>
      <sheetName val="MG"/>
      <sheetName val="02"/>
      <sheetName val="03"/>
      <sheetName val="04"/>
      <sheetName val="05"/>
      <sheetName val="Staff_Forecast_spread"/>
      <sheetName val="Direct_cost_shed_A-2_"/>
      <sheetName val="钢筋"/>
      <sheetName val="inter"/>
      <sheetName val="Ra  stair"/>
      <sheetName val="Rates"/>
      <sheetName val="Cost_of_O_&amp;_O"/>
      <sheetName val="pr_cal"/>
      <sheetName val="Inputs_&amp;_Summary_Output"/>
      <sheetName val="Broad_Refresher_Model"/>
      <sheetName val="B@__@___$_"/>
      <sheetName val="B@__x0000__x0004_@_"/>
      <sheetName val="SàQa_x0005_@"/>
      <sheetName val="B@__x005f_x0000__x0"/>
      <sheetName val="Measurements"/>
      <sheetName val="Flooring"/>
      <sheetName val="Ceilings"/>
      <sheetName val="ACAD Finishes"/>
      <sheetName val="Site Details"/>
      <sheetName val="Chair"/>
      <sheetName val="Site Area Statement"/>
      <sheetName val="Doors"/>
      <sheetName val="Page 1"/>
      <sheetName val="Page 2"/>
      <sheetName val="Page 3"/>
      <sheetName val="Page 4 Installed"/>
      <sheetName val="Page 4 Required"/>
      <sheetName val="Page 5a"/>
      <sheetName val="Page 5b"/>
      <sheetName val="Page 5c"/>
      <sheetName val="Page 5d"/>
      <sheetName val="Page 5e"/>
      <sheetName val="Page 5f"/>
      <sheetName val="Page 5f (2)"/>
      <sheetName val="Page 6a"/>
      <sheetName val="Page 6b"/>
      <sheetName val="Page 7-1"/>
      <sheetName val="Page 7-2a1-I"/>
      <sheetName val="Page 7-2a1-II"/>
      <sheetName val="Page 7-2a1-III"/>
      <sheetName val="Page 7-2a2"/>
      <sheetName val="Page 7-3"/>
      <sheetName val="Page 7-5a"/>
      <sheetName val="Page 7-5b1"/>
      <sheetName val="Page 7-5b2"/>
      <sheetName val="Page 7-5c"/>
      <sheetName val="Page 7-9a"/>
      <sheetName val="Page 7-9b1"/>
      <sheetName val="Page 7-9b2"/>
      <sheetName val="Page 7-9c"/>
      <sheetName val="Page 7-11a1-I"/>
      <sheetName val="Page 7-11a1-II"/>
      <sheetName val="Page 7-11a1-III"/>
      <sheetName val="Page 7-11a2"/>
      <sheetName val="Page 7-15"/>
      <sheetName val="Page 7-16a"/>
      <sheetName val="Page 7-16b"/>
      <sheetName val="Page 8"/>
      <sheetName val="Macros"/>
      <sheetName val="Basic Rate"/>
      <sheetName val="INFLUENCES ON GM"/>
      <sheetName val="Ins &amp; Bonds"/>
      <sheetName val="Site facilities"/>
      <sheetName val="Clients Requirements"/>
      <sheetName val="Legend"/>
      <sheetName val="B@___x005f_x005f_x005f_x0004_@_"/>
      <sheetName val="B@__x005f_x005f_x005f_x005f_x00"/>
      <sheetName val="SàQa_x0005_@_x0000__x0000__x000"/>
      <sheetName val="B@___x005f_x005f_x005f_x005f_x0"/>
      <sheetName val="MASTER_RATE ANALYSIS"/>
      <sheetName val="Steel Payment Doc"/>
      <sheetName val="foot-slab reinft"/>
      <sheetName val="2 BHK"/>
      <sheetName val="BALANCE-IOTL "/>
      <sheetName val="Steel-Circular"/>
      <sheetName val="SàQa_x005f_x0005_@_x005f_x0000__x005f_x0000__x000"/>
      <sheetName val="conc-foot-gradeslab"/>
      <sheetName val="Schedule(4)"/>
      <sheetName val="1010"/>
      <sheetName val="1020"/>
      <sheetName val="1090"/>
      <sheetName val="Camp Power Cost"/>
      <sheetName val="2_2_띠장의_설계"/>
      <sheetName val="Camp_Power_Cost"/>
      <sheetName val="1.01 (a)"/>
      <sheetName val="SPT_vs_PHI28"/>
      <sheetName val="glass_project_concrete28"/>
      <sheetName val="glass_project_reift28"/>
      <sheetName val="glass_project_indices28"/>
      <sheetName val="Summary_050627"/>
      <sheetName val="Summary_0607-_31_MAR27"/>
      <sheetName val="Civil_Boq26"/>
      <sheetName val="Break_up_Sheet26"/>
      <sheetName val="SBC-BH_1927"/>
      <sheetName val="Rate_Analysis27"/>
      <sheetName val="TBAL9697_-group_wise__sdpl26"/>
      <sheetName val="Abstract_Sheet26"/>
      <sheetName val="Pile_cap26"/>
      <sheetName val="V_O_4_-_PCC_Qty26"/>
      <sheetName val="Legal_Risk_Analysis26"/>
      <sheetName val="BH_12-11-10-1327"/>
      <sheetName val="BH_12-11-10-927"/>
      <sheetName val="BH_36-15-3727"/>
      <sheetName val="BH_16-35-25-1727"/>
      <sheetName val="BH_35-25-1727"/>
      <sheetName val="Sheet1_(2)27"/>
      <sheetName val="d-safe_DELUXE26"/>
      <sheetName val="PRECAST_lightconc-II26"/>
      <sheetName val="RCC,Ret__Wall26"/>
      <sheetName val="Form_627"/>
      <sheetName val="PointNo_526"/>
      <sheetName val="E_&amp;_R26"/>
      <sheetName val="Mix_Design26"/>
      <sheetName val="CABLE_DATA26"/>
      <sheetName val="Fill_this_out_first___26"/>
      <sheetName val="REVISED4A_PROG_PERF-SITE_126"/>
      <sheetName val="BOQ_Direct_selling_cost26"/>
      <sheetName val="BOQ_(2)26"/>
      <sheetName val="final_abstract26"/>
      <sheetName val="Rev_S1_Abstract26"/>
      <sheetName val="Quantity_Abstract26"/>
      <sheetName val="Staff_Acco_26"/>
      <sheetName val="Pipe_Supports26"/>
      <sheetName val="M-Book_for_Conc26"/>
      <sheetName val="M-Book_for_FW26"/>
      <sheetName val="beam-reinft-IIInd_floor26"/>
      <sheetName val="INPUT_SHEET26"/>
      <sheetName val="Load_Details-220kV26"/>
      <sheetName val="Project_Budget_Worksheet26"/>
      <sheetName val="SANJAY_PAL26"/>
      <sheetName val="P_A_SELVAM26"/>
      <sheetName val="ANSARI_26"/>
      <sheetName val="abdesh_pal26"/>
      <sheetName val="sujay_bagchi26"/>
      <sheetName val="S_K_SINHA_BASU26"/>
      <sheetName val="KRISHNA_PRASAD26"/>
      <sheetName val="BARATH_&amp;_CO26"/>
      <sheetName val="L_B_YADAV26"/>
      <sheetName val="DEEPAK_KUMAR26"/>
      <sheetName val="MUKLAL_YADAV26"/>
      <sheetName val="MADHU_SUDHAN26"/>
      <sheetName val="SAUD_ALAM_26"/>
      <sheetName val="RAMESH_BABU26"/>
      <sheetName val="SAILEN_SARKAR26"/>
      <sheetName val="SANJAY_JENA126"/>
      <sheetName val="upendra_saw_26"/>
      <sheetName val="ALLOK_KUMAR_26"/>
      <sheetName val="except_wiring26"/>
      <sheetName val="BOQ_-II_ph_226"/>
      <sheetName val="STAFFSCHED_25"/>
      <sheetName val="Fee_Rate_Summary25"/>
      <sheetName val="d-safe_specs25"/>
      <sheetName val="Metso_-_Forth_&amp;_Slurry_11_02_35"/>
      <sheetName val="Site_wise_NADs25"/>
      <sheetName val="class_&amp;_category25"/>
      <sheetName val="Quote_Sheet25"/>
      <sheetName val="220_11__BS_25"/>
      <sheetName val="Rein-Final_(Ph_1+Ph2)25"/>
      <sheetName val="Materials_Cost(PCC)25"/>
      <sheetName val="SSR_&amp;_NSSR_Market_final25"/>
      <sheetName val="Debits_as_on_12_04_088"/>
      <sheetName val="India_F&amp;S_Template25"/>
      <sheetName val="PRRM_Dashboard8"/>
      <sheetName val="Stress_Calculation25"/>
      <sheetName val="precast_RC_element25"/>
      <sheetName val="RA_RCC_F25"/>
      <sheetName val="plinth_Beam_+_Stirrups_25"/>
      <sheetName val="GF_COLUMNS25"/>
      <sheetName val="G_F_ROOF_BEAM_25"/>
      <sheetName val="GF_SLAB_STEEL25"/>
      <sheetName val="GF_Lintel25"/>
      <sheetName val="GF_Stair25"/>
      <sheetName val="FF_COLUMNS25"/>
      <sheetName val="F_F__Steel_FINAL_(2)25"/>
      <sheetName val="FF_Lintel25"/>
      <sheetName val="FF_Stair25"/>
      <sheetName val="S_F__Steel_FINAL_25"/>
      <sheetName val="SF_Lintel25"/>
      <sheetName val="Material_List_"/>
      <sheetName val="B@_@_x0000"/>
      <sheetName val="SPT_vs_PHI29"/>
      <sheetName val="glass_project_concrete29"/>
      <sheetName val="glass_project_reift29"/>
      <sheetName val="glass_project_indices29"/>
      <sheetName val="Summary_050628"/>
      <sheetName val="Summary_0607-_31_MAR28"/>
      <sheetName val="Civil_Boq27"/>
      <sheetName val="Break_up_Sheet27"/>
      <sheetName val="SBC-BH_1928"/>
      <sheetName val="Rate_Analysis28"/>
      <sheetName val="TBAL9697_-group_wise__sdpl27"/>
      <sheetName val="Abstract_Sheet27"/>
      <sheetName val="Pile_cap27"/>
      <sheetName val="V_O_4_-_PCC_Qty27"/>
      <sheetName val="Legal_Risk_Analysis27"/>
      <sheetName val="BH_12-11-10-1328"/>
      <sheetName val="BH_12-11-10-928"/>
      <sheetName val="BH_36-15-3728"/>
      <sheetName val="BH_16-35-25-1728"/>
      <sheetName val="BH_35-25-1728"/>
      <sheetName val="Sheet1_(2)28"/>
      <sheetName val="d-safe_DELUXE27"/>
      <sheetName val="PRECAST_lightconc-II27"/>
      <sheetName val="RCC,Ret__Wall27"/>
      <sheetName val="Form_628"/>
      <sheetName val="PointNo_527"/>
      <sheetName val="E_&amp;_R27"/>
      <sheetName val="Mix_Design27"/>
      <sheetName val="CABLE_DATA27"/>
      <sheetName val="Fill_this_out_first___27"/>
      <sheetName val="REVISED4A_PROG_PERF-SITE_127"/>
      <sheetName val="BOQ_Direct_selling_cost27"/>
      <sheetName val="BOQ_(2)27"/>
      <sheetName val="final_abstract27"/>
      <sheetName val="Rev_S1_Abstract27"/>
      <sheetName val="Quantity_Abstract27"/>
      <sheetName val="Staff_Acco_27"/>
      <sheetName val="Pipe_Supports27"/>
      <sheetName val="M-Book_for_Conc27"/>
      <sheetName val="M-Book_for_FW27"/>
      <sheetName val="beam-reinft-IIInd_floor27"/>
      <sheetName val="INPUT_SHEET27"/>
      <sheetName val="Load_Details-220kV27"/>
      <sheetName val="Project_Budget_Worksheet27"/>
      <sheetName val="SANJAY_PAL27"/>
      <sheetName val="P_A_SELVAM27"/>
      <sheetName val="ANSARI_27"/>
      <sheetName val="abdesh_pal27"/>
      <sheetName val="sujay_bagchi27"/>
      <sheetName val="S_K_SINHA_BASU27"/>
      <sheetName val="KRISHNA_PRASAD27"/>
      <sheetName val="BARATH_&amp;_CO27"/>
      <sheetName val="L_B_YADAV27"/>
      <sheetName val="DEEPAK_KUMAR27"/>
      <sheetName val="MUKLAL_YADAV27"/>
      <sheetName val="MADHU_SUDHAN27"/>
      <sheetName val="SAUD_ALAM_27"/>
      <sheetName val="RAMESH_BABU27"/>
      <sheetName val="SAILEN_SARKAR27"/>
      <sheetName val="SANJAY_JENA127"/>
      <sheetName val="upendra_saw_27"/>
      <sheetName val="ALLOK_KUMAR_27"/>
      <sheetName val="except_wiring27"/>
      <sheetName val="BOQ_-II_ph_227"/>
      <sheetName val="STAFFSCHED_26"/>
      <sheetName val="Fee_Rate_Summary26"/>
      <sheetName val="d-safe_specs26"/>
      <sheetName val="Metso_-_Forth_&amp;_Slurry_11_02_36"/>
      <sheetName val="Site_wise_NADs26"/>
      <sheetName val="class_&amp;_category26"/>
      <sheetName val="Quote_Sheet26"/>
      <sheetName val="220_11__BS_26"/>
      <sheetName val="Rein-Final_(Ph_1+Ph2)26"/>
      <sheetName val="Materials_Cost(PCC)26"/>
      <sheetName val="SSR_&amp;_NSSR_Market_final26"/>
      <sheetName val="Debits_as_on_12_04_089"/>
      <sheetName val="India_F&amp;S_Template26"/>
      <sheetName val="PRRM_Dashboard9"/>
      <sheetName val="Stress_Calculation26"/>
      <sheetName val="precast_RC_element26"/>
      <sheetName val="RA_RCC_F26"/>
      <sheetName val="plinth_Beam_+_Stirrups_26"/>
      <sheetName val="GF_COLUMNS26"/>
      <sheetName val="G_F_ROOF_BEAM_26"/>
      <sheetName val="GF_SLAB_STEEL26"/>
      <sheetName val="GF_Lintel26"/>
      <sheetName val="GF_Stair26"/>
      <sheetName val="FF_COLUMNS26"/>
      <sheetName val="F_F__Steel_FINAL_(2)26"/>
      <sheetName val="FF_Lintel26"/>
      <sheetName val="FF_Stair26"/>
      <sheetName val="S_F__Steel_FINAL_26"/>
      <sheetName val="SF_Lintel26"/>
      <sheetName val="Inputs_&amp;_Summary_Output1"/>
      <sheetName val="Broad_Refresher_Model1"/>
      <sheetName val="Assumption Inputs"/>
      <sheetName val="Break_Up (bc)"/>
      <sheetName val="Break_Up (bc1)"/>
      <sheetName val="Break_Up (bc2)"/>
      <sheetName val="FT-05-02Is-5y"/>
      <sheetName val="[Spt-BH.xls][Spt-BH.xls]B@[_x0000__x0004_@_x0000_"/>
      <sheetName val="[Spt-BH.xls][Spt-BH.xls]B@[?_x0004_@?"/>
      <sheetName val="[Spt-BH.xls][Spt-BH.xls]B@[?@??"/>
      <sheetName val="LIST-SUB-CON"/>
      <sheetName val="BTB"/>
      <sheetName val="cf"/>
      <sheetName val="orders"/>
      <sheetName val="Vind - BtB"/>
      <sheetName val="R2"/>
      <sheetName val="[Spt-BH.xls]B____x005f_x0004________2"/>
      <sheetName val="[Spt-BH.xls]B___x005f_x0000__x005f_x0004__2"/>
      <sheetName val="FT-05-02Is-"/>
      <sheetName val="[Spt-BH.xls]B@["/>
      <sheetName val="[Spt-BH.xls][Spt-BH.xls]B_____2"/>
      <sheetName val="[Spt-BH.xls][Spt-BH.xls]B_____3"/>
      <sheetName val="[Spt-BH.xls][Spt-BH.xls]B@["/>
      <sheetName val="[Spt-BH.xls][Spt-BH.xls]_Spt__2"/>
      <sheetName val="beam-reinft-machine rm"/>
      <sheetName val="Data sheet"/>
      <sheetName val="DB_ET200(R. A)"/>
      <sheetName val="石炭性状"/>
      <sheetName val="SP&amp;ST 제출가"/>
      <sheetName val="산업"/>
      <sheetName val="제출계산서"/>
      <sheetName val="공사내역"/>
      <sheetName val="eq_data"/>
      <sheetName val="가격분석@1100(990104)"/>
      <sheetName val="Escalation"/>
      <sheetName val="예가표"/>
      <sheetName val="TASKRSRC"/>
      <sheetName val="Pay_Sep06"/>
      <sheetName val="Basic Rates"/>
      <sheetName val="activit-graph  "/>
      <sheetName val="電気設備表"/>
      <sheetName val="Mat.Cost"/>
      <sheetName val="LTG-STG"/>
      <sheetName val="para"/>
      <sheetName val="kppl pl"/>
      <sheetName val="SPT_vs_PHI30"/>
      <sheetName val="glass_project_concrete30"/>
      <sheetName val="glass_project_reift30"/>
      <sheetName val="glass_project_indices30"/>
      <sheetName val="SBC-BH_1929"/>
      <sheetName val="BH_12-11-10-1329"/>
      <sheetName val="BH_12-11-10-929"/>
      <sheetName val="BH_36-15-3729"/>
      <sheetName val="BH_16-35-25-1729"/>
      <sheetName val="BH_35-25-1729"/>
      <sheetName val="Sheet1_(2)29"/>
      <sheetName val="Rate_Analysis29"/>
      <sheetName val="Summary_050629"/>
      <sheetName val="Summary_0607-_31_MAR29"/>
      <sheetName val="Civil_Boq28"/>
      <sheetName val="Pile_cap28"/>
      <sheetName val="PRECAST_lightconc-II28"/>
      <sheetName val="d-safe_DELUXE28"/>
      <sheetName val="Legal_Risk_Analysis28"/>
      <sheetName val="Mix_Design28"/>
      <sheetName val="Form_629"/>
      <sheetName val="PointNo_528"/>
      <sheetName val="RCC,Ret__Wall28"/>
      <sheetName val="E_&amp;_R28"/>
      <sheetName val="Break_up_Sheet28"/>
      <sheetName val="TBAL9697_-group_wise__sdpl28"/>
      <sheetName val="Abstract_Sheet28"/>
      <sheetName val="V_O_4_-_PCC_Qty28"/>
      <sheetName val="Fill_this_out_first___28"/>
      <sheetName val="REVISED4A_PROG_PERF-SITE_128"/>
      <sheetName val="BOQ_(2)28"/>
      <sheetName val="BOQ_Direct_selling_cost28"/>
      <sheetName val="CABLE_DATA28"/>
      <sheetName val="final_abstract28"/>
      <sheetName val="INPUT_SHEET28"/>
      <sheetName val="Rev_S1_Abstract28"/>
      <sheetName val="Quantity_Abstract28"/>
      <sheetName val="Staff_Acco_28"/>
      <sheetName val="Pipe_Supports28"/>
      <sheetName val="M-Book_for_Conc28"/>
      <sheetName val="M-Book_for_FW28"/>
      <sheetName val="Load_Details-220kV28"/>
      <sheetName val="beam-reinft-IIInd_floor28"/>
      <sheetName val="Project_Budget_Worksheet28"/>
      <sheetName val="SANJAY_PAL28"/>
      <sheetName val="P_A_SELVAM28"/>
      <sheetName val="ANSARI_28"/>
      <sheetName val="abdesh_pal28"/>
      <sheetName val="sujay_bagchi28"/>
      <sheetName val="S_K_SINHA_BASU28"/>
      <sheetName val="KRISHNA_PRASAD28"/>
      <sheetName val="BARATH_&amp;_CO28"/>
      <sheetName val="L_B_YADAV28"/>
      <sheetName val="DEEPAK_KUMAR28"/>
      <sheetName val="MUKLAL_YADAV28"/>
      <sheetName val="MADHU_SUDHAN28"/>
      <sheetName val="SAUD_ALAM_28"/>
      <sheetName val="RAMESH_BABU28"/>
      <sheetName val="SAILEN_SARKAR28"/>
      <sheetName val="SANJAY_JENA128"/>
      <sheetName val="upendra_saw_28"/>
      <sheetName val="ALLOK_KUMAR_28"/>
      <sheetName val="except_wiring28"/>
      <sheetName val="BOQ_-II_ph_228"/>
      <sheetName val="d-safe_specs27"/>
      <sheetName val="Metso_-_Forth_&amp;_Slurry_11_02_37"/>
      <sheetName val="STAFFSCHED_27"/>
      <sheetName val="Fee_Rate_Summary27"/>
      <sheetName val="class_&amp;_category27"/>
      <sheetName val="Rein-Final_(Ph_1+Ph2)27"/>
      <sheetName val="220_11__BS_27"/>
      <sheetName val="SSR_&amp;_NSSR_Market_final27"/>
      <sheetName val="India_F&amp;S_Template27"/>
      <sheetName val="Quote_Sheet27"/>
      <sheetName val="Site_wise_NADs27"/>
      <sheetName val="RA_RCC_F27"/>
      <sheetName val="Materials_Cost(PCC)27"/>
      <sheetName val="precast_RC_element27"/>
      <sheetName val="Stress_Calculation27"/>
      <sheetName val="Debits_as_on_12_04_0810"/>
      <sheetName val="Staff_Forecast_spread1"/>
      <sheetName val="Direct_cost_shed_A-2_1"/>
      <sheetName val="Abstract_for_Variation1"/>
      <sheetName val="LBD_VARIATION1"/>
      <sheetName val="PRRM_Dashboard10"/>
      <sheetName val="Fin_Sum"/>
      <sheetName val="Cost_of_O_&amp;_O1"/>
      <sheetName val="plinth_Beam_+_Stirrups_27"/>
      <sheetName val="GF_COLUMNS27"/>
      <sheetName val="G_F_ROOF_BEAM_27"/>
      <sheetName val="GF_SLAB_STEEL27"/>
      <sheetName val="GF_Lintel27"/>
      <sheetName val="GF_Stair27"/>
      <sheetName val="FF_COLUMNS27"/>
      <sheetName val="F_F__Steel_FINAL_(2)27"/>
      <sheetName val="FF_Lintel27"/>
      <sheetName val="FF_Stair27"/>
      <sheetName val="S_F__Steel_FINAL_27"/>
      <sheetName val="SF_Lintel27"/>
      <sheetName val="Material_List_1"/>
      <sheetName val="LT_Motor_catalog1"/>
      <sheetName val="Cable_cat1"/>
      <sheetName val="Inputs_&amp;_Summary_Output2"/>
      <sheetName val="Broad_Refresher_Model2"/>
      <sheetName val="Index_"/>
      <sheetName val="Email_Approval_Template"/>
      <sheetName val="1_Executive_Summary"/>
      <sheetName val="2_Risk_Assessment_Analysis"/>
      <sheetName val="3_Pre-Approval"/>
      <sheetName val="4_CIS"/>
      <sheetName val="5_Change_Order"/>
      <sheetName val="5_1__Re-book_De-book_order"/>
      <sheetName val="6_Contract_Re-estimates"/>
      <sheetName val="7a_BG_Approval_Form"/>
      <sheetName val="7b_BG_Email_Approval_Template"/>
      <sheetName val="8_LAD_Approval_Form"/>
      <sheetName val="9_LOI_Checklist"/>
      <sheetName val="10_RPS_Information_Form"/>
      <sheetName val="11_Proj_Cashflow_"/>
      <sheetName val="11_1_Cash-flow_Chart"/>
      <sheetName val="Threshold_Calculator"/>
      <sheetName val="Version_Control"/>
      <sheetName val="Prebid_Review"/>
      <sheetName val="DJC_Parameters"/>
      <sheetName val="Selling_Summary"/>
      <sheetName val="1-BAS_(cost)"/>
      <sheetName val="Controller_Configuration"/>
      <sheetName val="IO_Summary"/>
      <sheetName val="2-FAS_(cost)"/>
      <sheetName val="Cost_Summary"/>
      <sheetName val="3-PA_(cost)"/>
      <sheetName val="Approved_Make"/>
      <sheetName val="Basis_of_offer"/>
      <sheetName val="High_Level_Summary"/>
      <sheetName val="4-ACS__(cost)"/>
      <sheetName val="5-CCTV__(cost)"/>
      <sheetName val="6-FFT__(cost)"/>
      <sheetName val="7-_Service_Retrofit__(cost)"/>
      <sheetName val="8-Service_PSA,O&amp;M__(cost)"/>
      <sheetName val="9-_Service_L&amp;M__(cost)"/>
      <sheetName val="non_fixed_DJC_"/>
      <sheetName val="10-UPG_(cost)"/>
      <sheetName val="11-ESG__(cost)"/>
      <sheetName val="12-Products_(cost)"/>
      <sheetName val="13-VAV__(cost)"/>
      <sheetName val="14-REF_(cost)"/>
      <sheetName val="15_-_Local_Chiller_(cost)"/>
      <sheetName val="Selling-Local_Chiller"/>
      <sheetName val="Material_Cost_JCS"/>
      <sheetName val="Costing_USD_Chiller"/>
      <sheetName val="Selling-USD_Chiller"/>
      <sheetName val="PRICE_MATRIX_-JCIPL"/>
      <sheetName val="COST_SUMMARY-_JCIPL"/>
      <sheetName val="6_-FFT-JCIPL"/>
      <sheetName val="7-Ser_Retro_-JCIPL"/>
      <sheetName val="8-Ser_PSA,_O&amp;M_-JCIPL"/>
      <sheetName val="9-Ser_L&amp;M_-JCIPL"/>
      <sheetName val="10-UPG_JCIPL"/>
      <sheetName val="11-ESG_JCIPL"/>
      <sheetName val="12-Products_JCIPL"/>
      <sheetName val="13-VAV_JCIPL"/>
      <sheetName val="14-REF_JCMRL_"/>
      <sheetName val="Proj__DJC-JCIPL"/>
      <sheetName val="_L0_DDC_1"/>
      <sheetName val="L0_DDC-2"/>
      <sheetName val="L16_DDC-3"/>
      <sheetName val="L16_DDC-5"/>
      <sheetName val="L17_DDC-6"/>
      <sheetName val="L17_DDC-7_"/>
      <sheetName val="L18_DDC-8"/>
      <sheetName val="2-AutoDialer_Sys"/>
      <sheetName val="1-BAS1_(cost)"/>
      <sheetName val="2-BAS2_(cost)"/>
      <sheetName val="Deviations-Project_Risks"/>
      <sheetName val="IO_Schedule"/>
      <sheetName val="SàQa@²"/>
      <sheetName val="syndicate_codes"/>
      <sheetName val="PL_Inst_RA_12"/>
      <sheetName val="_AT-1-220_"/>
      <sheetName val="_BC-220"/>
      <sheetName val="DETAILED__BOQ"/>
      <sheetName val="Material_"/>
      <sheetName val="Labour_&amp;_Plant"/>
      <sheetName val="Materials_Cost"/>
      <sheetName val="TRF_details"/>
      <sheetName val="_"/>
      <sheetName val="IO_List"/>
      <sheetName val="B@_@__$_x0"/>
      <sheetName val="1_01_(a)"/>
      <sheetName val="Works_-_Quote_Sheet"/>
      <sheetName val="Assumption_Inputs"/>
      <sheetName val="Break_Up_(bc)"/>
      <sheetName val="Break_Up_(bc1)"/>
      <sheetName val="Break_Up_(bc2)"/>
      <sheetName val="Havells__LT_(XLPE)"/>
      <sheetName val="PACK_(B)"/>
      <sheetName val="Page_1"/>
      <sheetName val="Page_2"/>
      <sheetName val="Page_3"/>
      <sheetName val="Page_4_Installed"/>
      <sheetName val="Page_4_Required"/>
      <sheetName val="Page_5a"/>
      <sheetName val="Page_5b"/>
      <sheetName val="Page_5c"/>
      <sheetName val="Page_5d"/>
      <sheetName val="Page_5e"/>
      <sheetName val="Page_5f"/>
      <sheetName val="Page_5f_(2)"/>
      <sheetName val="Page_6a"/>
      <sheetName val="Page_6b"/>
      <sheetName val="Page_7-1"/>
      <sheetName val="Page_7-2a1-I"/>
      <sheetName val="Page_7-2a1-II"/>
      <sheetName val="Page_7-2a1-III"/>
      <sheetName val="Page_7-2a2"/>
      <sheetName val="Page_7-3"/>
      <sheetName val="Page_7-5a"/>
      <sheetName val="Page_7-5b1"/>
      <sheetName val="Page_7-5b2"/>
      <sheetName val="Page_7-5c"/>
      <sheetName val="Page_7-9a"/>
      <sheetName val="Page_7-9b1"/>
      <sheetName val="Page_7-9b2"/>
      <sheetName val="Page_7-9c"/>
      <sheetName val="Page_7-11a1-I"/>
      <sheetName val="Page_7-11a1-II"/>
      <sheetName val="Page_7-11a1-III"/>
      <sheetName val="Page_7-11a2"/>
      <sheetName val="Page_7-15"/>
      <sheetName val="Page_7-16a"/>
      <sheetName val="Page_7-16b"/>
      <sheetName val="Page_8"/>
      <sheetName val="Data_sheet"/>
      <sheetName val="Ra__stair"/>
      <sheetName val="beam-reinft-machine_rm"/>
      <sheetName val="Vind_-_BtB"/>
      <sheetName val="Steel_Payment_Doc"/>
      <sheetName val="Basic_Rate"/>
      <sheetName val="INFLUENCES_ON_GM"/>
      <sheetName val="2_BHK"/>
      <sheetName val="BALANCE-IOTL_"/>
      <sheetName val="DB_ET200(R__A)"/>
      <sheetName val="SP&amp;ST_제출가"/>
      <sheetName val="Basic_Rates"/>
      <sheetName val="activit-graph__"/>
      <sheetName val="SàQa@"/>
      <sheetName val="Mat_Cost"/>
      <sheetName val="Ins_&amp;_Bonds"/>
      <sheetName val="Site_facilities"/>
      <sheetName val="Clients_Requirements"/>
      <sheetName val="kppl_pl"/>
      <sheetName val="SPT_vs_PHI31"/>
      <sheetName val="glass_project_concrete31"/>
      <sheetName val="glass_project_reift31"/>
      <sheetName val="glass_project_indices31"/>
      <sheetName val="SBC-BH_1930"/>
      <sheetName val="BH_12-11-10-1330"/>
      <sheetName val="BH_12-11-10-930"/>
      <sheetName val="BH_36-15-3730"/>
      <sheetName val="BH_16-35-25-1730"/>
      <sheetName val="BH_35-25-1730"/>
      <sheetName val="Sheet1_(2)30"/>
      <sheetName val="Rate_Analysis30"/>
      <sheetName val="Summary_050630"/>
      <sheetName val="Summary_0607-_31_MAR30"/>
      <sheetName val="Civil_Boq29"/>
      <sheetName val="Pile_cap29"/>
      <sheetName val="PRECAST_lightconc-II29"/>
      <sheetName val="d-safe_DELUXE29"/>
      <sheetName val="Legal_Risk_Analysis29"/>
      <sheetName val="Mix_Design29"/>
      <sheetName val="Form_630"/>
      <sheetName val="PointNo_529"/>
      <sheetName val="RCC,Ret__Wall29"/>
      <sheetName val="E_&amp;_R29"/>
      <sheetName val="Break_up_Sheet29"/>
      <sheetName val="TBAL9697_-group_wise__sdpl29"/>
      <sheetName val="Abstract_Sheet29"/>
      <sheetName val="V_O_4_-_PCC_Qty29"/>
      <sheetName val="Fill_this_out_first___29"/>
      <sheetName val="REVISED4A_PROG_PERF-SITE_129"/>
      <sheetName val="BOQ_(2)29"/>
      <sheetName val="BOQ_Direct_selling_cost29"/>
      <sheetName val="CABLE_DATA29"/>
      <sheetName val="final_abstract29"/>
      <sheetName val="INPUT_SHEET29"/>
      <sheetName val="Rev_S1_Abstract29"/>
      <sheetName val="Quantity_Abstract29"/>
      <sheetName val="Staff_Acco_29"/>
      <sheetName val="Pipe_Supports29"/>
      <sheetName val="M-Book_for_Conc29"/>
      <sheetName val="M-Book_for_FW29"/>
      <sheetName val="Load_Details-220kV29"/>
      <sheetName val="beam-reinft-IIInd_floor29"/>
      <sheetName val="Project_Budget_Worksheet29"/>
      <sheetName val="SANJAY_PAL29"/>
      <sheetName val="P_A_SELVAM29"/>
      <sheetName val="ANSARI_29"/>
      <sheetName val="abdesh_pal29"/>
      <sheetName val="sujay_bagchi29"/>
      <sheetName val="S_K_SINHA_BASU29"/>
      <sheetName val="KRISHNA_PRASAD29"/>
      <sheetName val="BARATH_&amp;_CO29"/>
      <sheetName val="L_B_YADAV29"/>
      <sheetName val="DEEPAK_KUMAR29"/>
      <sheetName val="MUKLAL_YADAV29"/>
      <sheetName val="MADHU_SUDHAN29"/>
      <sheetName val="SAUD_ALAM_29"/>
      <sheetName val="RAMESH_BABU29"/>
      <sheetName val="SAILEN_SARKAR29"/>
      <sheetName val="SANJAY_JENA129"/>
      <sheetName val="upendra_saw_29"/>
      <sheetName val="ALLOK_KUMAR_29"/>
      <sheetName val="except_wiring29"/>
      <sheetName val="BOQ_-II_ph_229"/>
      <sheetName val="d-safe_specs28"/>
      <sheetName val="Metso_-_Forth_&amp;_Slurry_11_02_38"/>
      <sheetName val="STAFFSCHED_28"/>
      <sheetName val="Fee_Rate_Summary28"/>
      <sheetName val="class_&amp;_category28"/>
      <sheetName val="Rein-Final_(Ph_1+Ph2)28"/>
      <sheetName val="220_11__BS_28"/>
      <sheetName val="SSR_&amp;_NSSR_Market_final28"/>
      <sheetName val="India_F&amp;S_Template28"/>
      <sheetName val="Quote_Sheet28"/>
      <sheetName val="Site_wise_NADs28"/>
      <sheetName val="RA_RCC_F28"/>
      <sheetName val="Materials_Cost(PCC)28"/>
      <sheetName val="precast_RC_element28"/>
      <sheetName val="Stress_Calculation28"/>
      <sheetName val="Debits_as_on_12_04_0811"/>
      <sheetName val="Staff_Forecast_spread2"/>
      <sheetName val="Direct_cost_shed_A-2_2"/>
      <sheetName val="Abstract_for_Variation2"/>
      <sheetName val="LBD_VARIATION2"/>
      <sheetName val="PRRM_Dashboard11"/>
      <sheetName val="Fin_Sum1"/>
      <sheetName val="Cost_of_O_&amp;_O2"/>
      <sheetName val="plinth_Beam_+_Stirrups_28"/>
      <sheetName val="GF_COLUMNS28"/>
      <sheetName val="G_F_ROOF_BEAM_28"/>
      <sheetName val="GF_SLAB_STEEL28"/>
      <sheetName val="GF_Lintel28"/>
      <sheetName val="GF_Stair28"/>
      <sheetName val="FF_COLUMNS28"/>
      <sheetName val="F_F__Steel_FINAL_(2)28"/>
      <sheetName val="FF_Lintel28"/>
      <sheetName val="FF_Stair28"/>
      <sheetName val="S_F__Steel_FINAL_28"/>
      <sheetName val="SF_Lintel28"/>
      <sheetName val="Material_List_2"/>
      <sheetName val="LT_Motor_catalog2"/>
      <sheetName val="Cable_cat2"/>
      <sheetName val="Inputs_&amp;_Summary_Output3"/>
      <sheetName val="Broad_Refresher_Model3"/>
      <sheetName val="Index_1"/>
      <sheetName val="Email_Approval_Template1"/>
      <sheetName val="1_Executive_Summary1"/>
      <sheetName val="2_Risk_Assessment_Analysis1"/>
      <sheetName val="3_Pre-Approval1"/>
      <sheetName val="4_CIS1"/>
      <sheetName val="5_Change_Order1"/>
      <sheetName val="5_1__Re-book_De-book_order1"/>
      <sheetName val="6_Contract_Re-estimates1"/>
      <sheetName val="7a_BG_Approval_Form1"/>
      <sheetName val="7b_BG_Email_Approval_Template1"/>
      <sheetName val="8_LAD_Approval_Form1"/>
      <sheetName val="9_LOI_Checklist1"/>
      <sheetName val="10_RPS_Information_Form1"/>
      <sheetName val="11_Proj_Cashflow_1"/>
      <sheetName val="11_1_Cash-flow_Chart1"/>
      <sheetName val="Threshold_Calculator1"/>
      <sheetName val="Version_Control1"/>
      <sheetName val="Prebid_Review1"/>
      <sheetName val="DJC_Parameters1"/>
      <sheetName val="Selling_Summary1"/>
      <sheetName val="1-BAS_(cost)1"/>
      <sheetName val="Controller_Configuration1"/>
      <sheetName val="IO_Summary1"/>
      <sheetName val="2-FAS_(cost)1"/>
      <sheetName val="Cost_Summary1"/>
      <sheetName val="3-PA_(cost)1"/>
      <sheetName val="Approved_Make1"/>
      <sheetName val="Basis_of_offer1"/>
      <sheetName val="High_Level_Summary1"/>
      <sheetName val="4-ACS__(cost)1"/>
      <sheetName val="5-CCTV__(cost)1"/>
      <sheetName val="6-FFT__(cost)1"/>
      <sheetName val="7-_Service_Retrofit__(cost)1"/>
      <sheetName val="8-Service_PSA,O&amp;M__(cost)1"/>
      <sheetName val="9-_Service_L&amp;M__(cost)1"/>
      <sheetName val="non_fixed_DJC_1"/>
      <sheetName val="10-UPG_(cost)1"/>
      <sheetName val="11-ESG__(cost)1"/>
      <sheetName val="12-Products_(cost)1"/>
      <sheetName val="13-VAV__(cost)1"/>
      <sheetName val="14-REF_(cost)1"/>
      <sheetName val="15_-_Local_Chiller_(cost)1"/>
      <sheetName val="Selling-Local_Chiller1"/>
      <sheetName val="Material_Cost_JCS1"/>
      <sheetName val="Costing_USD_Chiller1"/>
      <sheetName val="Selling-USD_Chiller1"/>
      <sheetName val="PRICE_MATRIX_-JCIPL1"/>
      <sheetName val="COST_SUMMARY-_JCIPL1"/>
      <sheetName val="6_-FFT-JCIPL1"/>
      <sheetName val="7-Ser_Retro_-JCIPL1"/>
      <sheetName val="8-Ser_PSA,_O&amp;M_-JCIPL1"/>
      <sheetName val="9-Ser_L&amp;M_-JCIPL1"/>
      <sheetName val="10-UPG_JCIPL1"/>
      <sheetName val="11-ESG_JCIPL1"/>
      <sheetName val="12-Products_JCIPL1"/>
      <sheetName val="13-VAV_JCIPL1"/>
      <sheetName val="14-REF_JCMRL_1"/>
      <sheetName val="Proj__DJC-JCIPL1"/>
      <sheetName val="_L0_DDC_11"/>
      <sheetName val="L0_DDC-21"/>
      <sheetName val="L16_DDC-31"/>
      <sheetName val="L16_DDC-51"/>
      <sheetName val="L17_DDC-61"/>
      <sheetName val="L17_DDC-7_1"/>
      <sheetName val="L18_DDC-81"/>
      <sheetName val="2-AutoDialer_Sys1"/>
      <sheetName val="1-BAS1_(cost)1"/>
      <sheetName val="2-BAS2_(cost)1"/>
      <sheetName val="Deviations-Project_Risks1"/>
      <sheetName val="IO_Schedule1"/>
      <sheetName val="pr_cal1"/>
      <sheetName val="syndicate_codes1"/>
      <sheetName val="PL_Inst_RA_121"/>
      <sheetName val="_AT-1-220_1"/>
      <sheetName val="_BC-2201"/>
      <sheetName val="DETAILED__BOQ1"/>
      <sheetName val="Material_1"/>
      <sheetName val="Labour_&amp;_Plant1"/>
      <sheetName val="Materials_Cost1"/>
      <sheetName val="2_2_띠장의_설계1"/>
      <sheetName val="TRF_details1"/>
      <sheetName val="_1"/>
      <sheetName val="IO_List1"/>
      <sheetName val="1_01_(a)1"/>
      <sheetName val="Works_-_Quote_Sheet1"/>
      <sheetName val="Assumption_Inputs1"/>
      <sheetName val="Break_Up_(bc)1"/>
      <sheetName val="Break_Up_(bc1)1"/>
      <sheetName val="Break_Up_(bc2)1"/>
      <sheetName val="Havells__LT_(XLPE)1"/>
      <sheetName val="PACK_(B)1"/>
      <sheetName val="Page_11"/>
      <sheetName val="Page_21"/>
      <sheetName val="Page_31"/>
      <sheetName val="Page_4_Installed1"/>
      <sheetName val="Page_4_Required1"/>
      <sheetName val="Page_5a1"/>
      <sheetName val="Page_5b1"/>
      <sheetName val="Page_5c1"/>
      <sheetName val="Page_5d1"/>
      <sheetName val="Page_5e1"/>
      <sheetName val="Page_5f1"/>
      <sheetName val="Page_5f_(2)1"/>
      <sheetName val="Page_6a1"/>
      <sheetName val="Page_6b1"/>
      <sheetName val="Page_7-11"/>
      <sheetName val="Page_7-2a1-I1"/>
      <sheetName val="Page_7-2a1-II1"/>
      <sheetName val="Page_7-2a1-III1"/>
      <sheetName val="Page_7-2a21"/>
      <sheetName val="Page_7-31"/>
      <sheetName val="Page_7-5a1"/>
      <sheetName val="Page_7-5b11"/>
      <sheetName val="Page_7-5b21"/>
      <sheetName val="Page_7-5c1"/>
      <sheetName val="Page_7-9a1"/>
      <sheetName val="Page_7-9b11"/>
      <sheetName val="Page_7-9b21"/>
      <sheetName val="Page_7-9c1"/>
      <sheetName val="Page_7-11a1-I1"/>
      <sheetName val="Page_7-11a1-II1"/>
      <sheetName val="Page_7-11a1-III1"/>
      <sheetName val="Page_7-11a21"/>
      <sheetName val="Page_7-151"/>
      <sheetName val="Page_7-16a1"/>
      <sheetName val="Page_7-16b1"/>
      <sheetName val="Page_81"/>
      <sheetName val="Data_sheet1"/>
      <sheetName val="Ra__stair1"/>
      <sheetName val="beam-reinft-machine_rm1"/>
      <sheetName val="Vind_-_BtB1"/>
      <sheetName val="Steel_Payment_Doc1"/>
      <sheetName val="Basic_Rate1"/>
      <sheetName val="INFLUENCES_ON_GM1"/>
      <sheetName val="2_BHK1"/>
      <sheetName val="BALANCE-IOTL_1"/>
      <sheetName val="DB_ET200(R__A)1"/>
      <sheetName val="SP&amp;ST_제출가1"/>
      <sheetName val="Basic_Rates1"/>
      <sheetName val="activit-graph__1"/>
      <sheetName val="Mat_Cost1"/>
      <sheetName val="Ins_&amp;_Bonds1"/>
      <sheetName val="Site_facilities1"/>
      <sheetName val="Clients_Requirements1"/>
      <sheetName val="kppl_pl1"/>
      <sheetName val="[Spt-BH.xls][Spt-BH.xls][Spt-BH"/>
      <sheetName val="Calculation Sheet"/>
      <sheetName val="Labour Rate "/>
      <sheetName val="(M+L)"/>
      <sheetName val="LANGUAGE"/>
      <sheetName val="HDPE"/>
      <sheetName val="DI"/>
      <sheetName val="pvc"/>
      <sheetName val="commercial"/>
      <sheetName val="Tender Appraisal"/>
      <sheetName val="Abstract_for_Variation3"/>
      <sheetName val="LBD_VARIATION3"/>
      <sheetName val="2_2_띠장의_설계3"/>
      <sheetName val="LT_Motor_catalog3"/>
      <sheetName val="Cable_cat3"/>
      <sheetName val="2_2_띠장의_설계2"/>
      <sheetName val="Abstract_for_Variation4"/>
      <sheetName val="LBD_VARIATION4"/>
      <sheetName val="2_2_띠장의_설계4"/>
      <sheetName val="LT_Motor_catalog4"/>
      <sheetName val="Cable_cat4"/>
      <sheetName val="HOSPI-01"/>
      <sheetName val="st"/>
      <sheetName val="_Spt-BH.xls__Spt-BH.xls_B@_"/>
      <sheetName val="_Spt-BH.xls__Spt-BH.xls_B@___x0004_@_"/>
      <sheetName val="_Spt-BH.xls__Spt-BH.xls__Spt-BH"/>
      <sheetName val="_Spt-BH.xls__Spt-BH.xls_B@__@__"/>
      <sheetName val="SP Break Up"/>
      <sheetName val="ALL"/>
      <sheetName val="CGL"/>
      <sheetName val="DM tANK Allow"/>
      <sheetName val="PG-DIA.SEA"/>
      <sheetName val="[Spt-BH.xls][Spt-BH.xls]B_____8"/>
      <sheetName val="[Spt-BH.xls][Spt-BH.xls]B_____9"/>
      <sheetName val="[Spt-BH.xls][Spt-BH.xls]_Spt__9"/>
      <sheetName val="[Spt-BH.xls][Spt-BH.xls]B____10"/>
      <sheetName val="[Spt-BH.xls][Spt-BH.xls]B____11"/>
      <sheetName val="[Spt-BH.xls][Spt-BH.xls]B____12"/>
      <sheetName val="[Spt-BH.xls][Spt-BH.xls]B____13"/>
      <sheetName val="[Spt-BH.xls][Spt-BH.xls]_Spt__4"/>
      <sheetName val="[Spt-BH.xls][Spt-BH.xls]B_____4"/>
      <sheetName val="[Spt-BH.xls][Spt-BH.xls]B_____5"/>
      <sheetName val="[Spt-BH.xls][Spt-BH.xls]B_____6"/>
      <sheetName val="[Spt-BH.xls][Spt-BH.xls]B_____7"/>
      <sheetName val="[Spt-BH.xls][Spt-BH.xls]_Spt__5"/>
      <sheetName val="[Spt-BH.xls][Spt-BH_xls]B_____2"/>
      <sheetName val="[Spt-BH.xls][Spt-BH_xls]B_____3"/>
      <sheetName val="[Spt-BH.xls][Spt-BH_xls]_Spt__2"/>
      <sheetName val="[Spt-BH.xls][Spt-BH_xls]B_____4"/>
      <sheetName val="[Spt-BH.xls][Spt-BH_xls]B_____5"/>
      <sheetName val="[Spt-BH.xls][Spt-BH_xls]B_____6"/>
      <sheetName val="[Spt-BH.xls][Spt-BH_xls]_Spt__3"/>
      <sheetName val="[Spt-BH.xls][Spt-BH.xls]_Spt__3"/>
      <sheetName val="[Spt-BH.xls][Spt-BH.xls]B____14"/>
      <sheetName val="[Spt-BH.xls][Spt-BH.xls]B____15"/>
      <sheetName val="[Spt-BH.xls][Spt-BH.xls]_Spt__7"/>
      <sheetName val="[Spt-BH.xls][Spt-BH.xls]B____16"/>
      <sheetName val="[Spt-BH.xls][Spt-BH.xls]B____17"/>
      <sheetName val="[Spt-BH.xls]B____x005f_x0004________3"/>
      <sheetName val="[Spt-BH.xls]B___x005f_x0000__x005f_x0004__3"/>
      <sheetName val="[Spt-BH.xls][Spt-BH.xls]B____18"/>
      <sheetName val="[Spt-BH.xls][Spt-BH.xls]_Spt__6"/>
      <sheetName val="[Spt-BH.xls][Spt-BH.xls]B____19"/>
      <sheetName val="[Spt-BH.xls][Spt-BH.xls]B____30"/>
      <sheetName val="[Spt-BH.xls][Spt-BH.xls]B____31"/>
      <sheetName val="[Spt-BH.xls][Spt-BH.xls]_Spt_15"/>
      <sheetName val="[Spt-BH.xls][Spt-BH.xls]B____32"/>
      <sheetName val="[Spt-BH.xls][Spt-BH.xls]B____33"/>
      <sheetName val="[Spt-BH.xls]B____x005f_x0004________5"/>
      <sheetName val="[Spt-BH.xls]B___x005f_x0000__x005f_x0004__5"/>
      <sheetName val="[Spt-BH.xls][Spt-BH.xls]B____34"/>
      <sheetName val="[Spt-BH.xls][Spt-BH.xls]B____25"/>
      <sheetName val="[Spt-BH.xls][Spt-BH.xls]B____26"/>
      <sheetName val="[Spt-BH.xls][Spt-BH.xls]_Spt_10"/>
      <sheetName val="[Spt-BH.xls][Spt-BH.xls]B____27"/>
      <sheetName val="[Spt-BH.xls][Spt-BH.xls]B____28"/>
      <sheetName val="[Spt-BH.xls][Spt-BH.xls]B____29"/>
      <sheetName val="[Spt-BH.xls][Spt-BH.xls]_Spt__8"/>
      <sheetName val="[Spt-BH.xls]B____x005f_x0004________4"/>
      <sheetName val="[Spt-BH.xls]B___x005f_x0000__x005f_x0004__4"/>
      <sheetName val="[Spt-BH.xls][Spt-BH.xls]B____20"/>
      <sheetName val="[Spt-BH.xls][Spt-BH.xls]B____21"/>
      <sheetName val="[Spt-BH.xls][Spt-BH.xls]B____22"/>
      <sheetName val="[Spt-BH.xls][Spt-BH.xls]B____23"/>
      <sheetName val="[Spt-BH.xls][Spt-BH.xls]B____24"/>
      <sheetName val="[Spt-BH.xls][Spt-BH.xls]B____41"/>
      <sheetName val="[Spt-BH.xls][Spt-BH.xls]B____42"/>
      <sheetName val="[Spt-BH.xls][Spt-BH.xls]_Spt_16"/>
      <sheetName val="[Spt-BH.xls][Spt-BH.xls]B____43"/>
      <sheetName val="[Spt-BH.xls][Spt-BH.xls]B____44"/>
      <sheetName val="[Spt-BH.xls][Spt-BH.xls]B____45"/>
      <sheetName val="[Spt-BH.xls][Spt-BH.xls]B____46"/>
      <sheetName val="[Spt-BH.xls][Spt-BH.xls]_Spt_11"/>
      <sheetName val="[Spt-BH.xls][Spt-BH.xls]B____35"/>
      <sheetName val="[Spt-BH.xls][Spt-BH.xls]B____36"/>
      <sheetName val="[Spt-BH.xls][Spt-BH.xls]B____37"/>
      <sheetName val="[Spt-BH.xls][Spt-BH.xls]B____38"/>
      <sheetName val="[Spt-BH.xls][Spt-BH.xls]B____39"/>
      <sheetName val="[Spt-BH.xls][Spt-BH.xls]B____40"/>
      <sheetName val="[Spt-BH.xls][Spt-BH.xls]_Spt_12"/>
      <sheetName val="[Spt-BH.xls][Spt-BH.xls]_Spt_13"/>
      <sheetName val="[Spt-BH.xls][Spt-BH.xls]_Spt_14"/>
      <sheetName val="[Spt-BH.xls][Spt-BH.xls]_Spt_17"/>
      <sheetName val="[Spt-BH.xls][Spt-BH.xls]_Spt_18"/>
      <sheetName val="[Spt-BH.xls][Spt-BH.xls]_Spt_19"/>
      <sheetName val="[Spt-BH.xls][Spt-BH.xls]B____47"/>
      <sheetName val="[Spt-BH.xls][Spt-BH.xls]B____48"/>
      <sheetName val="[Spt-BH.xls][Spt-BH.xls]_Spt_21"/>
      <sheetName val="[Spt-BH.xls][Spt-BH.xls]B____49"/>
      <sheetName val="[Spt-BH.xls][Spt-BH.xls]B____50"/>
      <sheetName val="[Spt-BH.xls][Spt-BH.xls]B____51"/>
      <sheetName val="[Spt-BH.xls][Spt-BH.xls]_Spt_20"/>
      <sheetName val="[Spt-BH.xls][Spt-BH.xls]B____52"/>
      <sheetName val="[Spt-BH.xls][Spt-BH.xls]B____59"/>
      <sheetName val="[Spt-BH.xls][Spt-BH.xls]B____60"/>
      <sheetName val="[Spt-BH.xls][Spt-BH.xls]_Spt_25"/>
      <sheetName val="[Spt-BH.xls][Spt-BH.xls]B____61"/>
      <sheetName val="[Spt-BH.xls][Spt-BH.xls]B____62"/>
      <sheetName val="[Spt-BH.xls][Spt-BH.xls]B____63"/>
      <sheetName val="[Spt-BH.xls]B____x005f_x0004________6"/>
      <sheetName val="[Spt-BH.xls]B___x005f_x0000__x005f_x0004__6"/>
      <sheetName val="[Spt-BH.xls][Spt-BH.xls]B____64"/>
      <sheetName val="[Spt-BH.xls][Spt-BH.xls]B____53"/>
      <sheetName val="[Spt-BH.xls][Spt-BH.xls]B____54"/>
      <sheetName val="[Spt-BH.xls][Spt-BH.xls]_Spt_23"/>
      <sheetName val="[Spt-BH.xls][Spt-BH.xls]B____55"/>
      <sheetName val="[Spt-BH.xls][Spt-BH.xls]B____56"/>
      <sheetName val="[Spt-BH.xls][Spt-BH.xls]B____57"/>
      <sheetName val="[Spt-BH.xls][Spt-BH.xls]B____58"/>
      <sheetName val="[Spt-BH.xls][Spt-BH.xls]_Spt_22"/>
      <sheetName val="[Spt-BH.xls][Spt-BH.xls]_Spt_24"/>
      <sheetName val="[Spt-BH.xls][Spt-BH_xls]B_____7"/>
      <sheetName val="[Spt-BH.xls][Spt-BH_xls]B_____8"/>
      <sheetName val="[Spt-BH.xls][Spt-BH_xls]_Spt__4"/>
      <sheetName val="[Spt-BH.xls][Spt-BH_xls]B_____9"/>
      <sheetName val="[Spt-BH.xls][Spt-BH_xls]B____10"/>
      <sheetName val="[Spt-BH.xls][Spt-BH_xls]B____11"/>
      <sheetName val="[Spt-BH.xls][Spt-BH_xls]_Spt__5"/>
      <sheetName val="[Spt-BH.xls][Spt-BH.xls]_Spt_26"/>
      <sheetName val="[Spt-BH.xls][Spt-BH.xls]B____65"/>
      <sheetName val="[Spt-BH.xls][Spt-BH.xls]B____66"/>
      <sheetName val="[Spt-BH.xls][Spt-BH.xls]_Spt_27"/>
      <sheetName val="[Spt-BH.xls][Spt-BH.xls]B____67"/>
      <sheetName val="[Spt-BH.xls][Spt-BH.xls]B____68"/>
      <sheetName val="[Spt-BH.xls][Spt-BH.xls]B____69"/>
      <sheetName val="[Spt-BH.xls][Spt-BH.xls]B____70"/>
      <sheetName val="[Spt-BH.xls][Spt-BH.xls]_Spt_29"/>
      <sheetName val="[Spt-BH.xls][Spt-BH.xls]_Spt_28"/>
      <sheetName val="[Spt-BH.xls][Spt-BH.xls]B____71"/>
      <sheetName val="[Spt-BH.xls][Spt-BH.xls]B____72"/>
      <sheetName val="[Spt-BH.xls][Spt-BH.xls]_Spt_31"/>
      <sheetName val="[Spt-BH.xls][Spt-BH.xls]B____73"/>
      <sheetName val="[Spt-BH.xls][Spt-BH.xls]B____74"/>
      <sheetName val="[Spt-BH.xls][Spt-BH.xls]B____75"/>
      <sheetName val="[Spt-BH.xls][Spt-BH.xls]_Spt_30"/>
      <sheetName val="[Spt-BH.xls][Spt-BH.xls]B____76"/>
      <sheetName val="[Spt-BH.xls][Spt-BH.xls]B____77"/>
      <sheetName val="[Spt-BH.xls][Spt-BH.xls]B____78"/>
      <sheetName val="[Spt-BH.xls][Spt-BH.xls]_Spt_32"/>
      <sheetName val="[Spt-BH.xls][Spt-BH.xls]B____79"/>
      <sheetName val="[Spt-BH.xls][Spt-BH.xls]B____80"/>
      <sheetName val="[Spt-BH.xls][Spt-BH.xls]B____81"/>
      <sheetName val="[Spt-BH.xls][Spt-BH.xls]B____82"/>
      <sheetName val="[Spt-BH.xls][Spt-BH.xls]B____83"/>
      <sheetName val="[Spt-BH.xls][Spt-BH.xls]B____84"/>
      <sheetName val="[Spt-BH.xls][Spt-BH.xls]_Spt_34"/>
      <sheetName val="[Spt-BH.xls][Spt-BH.xls]B____85"/>
      <sheetName val="[Spt-BH.xls][Spt-BH.xls]B____86"/>
      <sheetName val="[Spt-BH.xls][Spt-BH.xls]B____87"/>
      <sheetName val="[Spt-BH.xls][Spt-BH.xls]_Spt_33"/>
      <sheetName val="[Spt-BH.xls][Spt-BH.xls]B___103"/>
      <sheetName val="[Spt-BH.xls][Spt-BH.xls]B___104"/>
      <sheetName val="[Spt-BH.xls][Spt-BH.xls]_Spt_39"/>
      <sheetName val="[Spt-BH.xls][Spt-BH.xls]B___105"/>
      <sheetName val="[Spt-BH.xls][Spt-BH.xls]B___106"/>
      <sheetName val="[Spt-BH.xls]B____x005f_x0004________8"/>
      <sheetName val="[Spt-BH.xls]B___x005f_x0000__x005f_x0004__8"/>
      <sheetName val="[Spt-BH.xls][Spt-BH.xls]B___107"/>
      <sheetName val="[Spt-BH.xls][Spt-BH.xls]B____93"/>
      <sheetName val="[Spt-BH.xls][Spt-BH.xls]B____94"/>
      <sheetName val="[Spt-BH.xls][Spt-BH.xls]_Spt_38"/>
      <sheetName val="[Spt-BH.xls][Spt-BH.xls]B____95"/>
      <sheetName val="[Spt-BH.xls][Spt-BH.xls]B____96"/>
      <sheetName val="[Spt-BH.xls][Spt-BH.xls]B____97"/>
      <sheetName val="[Spt-BH.xls][Spt-BH.xls]_Spt_36"/>
      <sheetName val="[Spt-BH.xls]B____x005f_x0004________7"/>
      <sheetName val="[Spt-BH.xls]B___x005f_x0000__x005f_x0004__7"/>
      <sheetName val="[Spt-BH.xls][Spt-BH.xls]B____88"/>
      <sheetName val="[Spt-BH.xls][Spt-BH.xls]B____89"/>
      <sheetName val="[Spt-BH.xls][Spt-BH.xls]B____90"/>
      <sheetName val="[Spt-BH.xls][Spt-BH.xls]B____91"/>
      <sheetName val="[Spt-BH.xls][Spt-BH.xls]B____92"/>
      <sheetName val="[Spt-BH.xls][Spt-BH.xls]_Spt_35"/>
      <sheetName val="[Spt-BH.xls][Spt-BH.xls]B____98"/>
      <sheetName val="[Spt-BH.xls][Spt-BH.xls]B____99"/>
      <sheetName val="[Spt-BH.xls][Spt-BH.xls]B___100"/>
      <sheetName val="[Spt-BH.xls][Spt-BH.xls]B___101"/>
      <sheetName val="[Spt-BH.xls][Spt-BH.xls]B___102"/>
      <sheetName val="[Spt-BH.xls][Spt-BH.xls]_Spt_37"/>
      <sheetName val="[Spt-BH.xls][Spt-BH.xls]B___108"/>
      <sheetName val="[Spt-BH.xls][Spt-BH.xls]B___109"/>
      <sheetName val="[Spt-BH.xls][Spt-BH.xls]_Spt_40"/>
      <sheetName val="[Spt-BH.xls][Spt-BH.xls]B___110"/>
      <sheetName val="[Spt-BH.xls][Spt-BH.xls]B___111"/>
      <sheetName val="[Spt-BH.xls]B____x005f_x0004________9"/>
      <sheetName val="[Spt-BH.xls]B___x005f_x0000__x005f_x0004__9"/>
      <sheetName val="[Spt-BH.xls][Spt-BH.xls]B___112"/>
      <sheetName val="[Spt-BH.xls][Spt-BH.xls]_Spt_42"/>
      <sheetName val="[Spt-BH.xls][Spt-BH.xls]B___118"/>
      <sheetName val="[Spt-BH.xls][Spt-BH.xls]B___119"/>
      <sheetName val="[Spt-BH.xls][Spt-BH.xls]_Spt_43"/>
      <sheetName val="[Spt-BH.xls][Spt-BH.xls]B___120"/>
      <sheetName val="[Spt-BH.xls][Spt-BH.xls]B___121"/>
      <sheetName val="[Spt-BH.xls][Spt-BH.xls]B___122"/>
      <sheetName val="[Spt-BH.xls][Spt-BH.xls]_Spt_41"/>
      <sheetName val="[Spt-BH.xls][Spt-BH.xls]B___113"/>
      <sheetName val="[Spt-BH.xls][Spt-BH.xls]B___114"/>
      <sheetName val="[Spt-BH.xls][Spt-BH.xls]B___115"/>
      <sheetName val="[Spt-BH.xls][Spt-BH.xls]B___116"/>
      <sheetName val="[Spt-BH.xls][Spt-BH.xls]B___117"/>
      <sheetName val="[Spt-BH.xls][Spt-BH.xls]B___123"/>
      <sheetName val="[Spt-BH.xls][Spt-BH.xls]B___124"/>
      <sheetName val="[Spt-BH.xls][Spt-BH.xls]B___125"/>
      <sheetName val="[Spt-BH.xls][Spt-BH.xls]_Spt_44"/>
      <sheetName val="[Spt-BH.xls][Spt-BH.xls]B___126"/>
      <sheetName val="[Spt-BH.xls][Spt-BH.xls]B___127"/>
      <sheetName val="[Spt-BH.xls][Spt-BH.xls]B___128"/>
      <sheetName val="[Spt-BH.xls][Spt-BH.xls]B___129"/>
      <sheetName val="[Spt-BH.xls][Spt-BH.xls]B___130"/>
      <sheetName val="[Spt-BH.xls][Spt-BH.xls]_Spt_45"/>
      <sheetName val="[Spt-BH.xls][Spt-BH.xls]B___131"/>
      <sheetName val="[Spt-BH.xls][Spt-BH.xls]B___132"/>
      <sheetName val="[Spt-BH.xls]B____x005f_x0004_______10"/>
      <sheetName val="[Spt-BH.xls]B___x005f_x0000__x005f_x0004_10"/>
      <sheetName val="[Spt-BH.xls][Spt-BH.xls]B___133"/>
      <sheetName val="[Spt-BH.xls][Spt-BH.xls]B___134"/>
      <sheetName val="[Spt-BH.xls][Spt-BH.xls]B___135"/>
      <sheetName val="[Spt-BH.xls][Spt-BH.xls]_Spt_46"/>
      <sheetName val="[Spt-BH.xls][Spt-BH.xls]B___136"/>
      <sheetName val="[Spt-BH.xls][Spt-BH.xls]B___137"/>
      <sheetName val="[Spt-BH.xls]B____x005f_x0004_______11"/>
      <sheetName val="[Spt-BH.xls]B___x005f_x0000__x005f_x0004_11"/>
      <sheetName val="[Spt-BH.xls][Spt-BH.xls]B___138"/>
      <sheetName val="[Spt-BH.xls][Spt-BH.xls]_Spt_47"/>
      <sheetName val="[Spt-BH.xls][Spt-BH.xls]B___139"/>
      <sheetName val="[Spt-BH.xls][Spt-BH.xls]B___140"/>
      <sheetName val="[Spt-BH.xls][Spt-BH.xls]_Spt_50"/>
      <sheetName val="[Spt-BH.xls][Spt-BH.xls]B___141"/>
      <sheetName val="[Spt-BH.xls][Spt-BH.xls]B___142"/>
      <sheetName val="[Spt-BH.xls][Spt-BH.xls]B___143"/>
      <sheetName val="[Spt-BH.xls][Spt-BH.xls]B___144"/>
      <sheetName val="[Spt-BH.xls][Spt-BH.xls]_Spt_48"/>
      <sheetName val="[Spt-BH.xls][Spt-BH.xls]_Spt_49"/>
      <sheetName val="[Spt-BH.xls][Spt-BH.xls]B___145"/>
      <sheetName val="[Spt-BH.xls][Spt-BH.xls]B___146"/>
      <sheetName val="[Spt-BH.xls][Spt-BH.xls]_Spt_53"/>
      <sheetName val="[Spt-BH.xls][Spt-BH.xls]B___147"/>
      <sheetName val="[Spt-BH.xls][Spt-BH.xls]B___148"/>
      <sheetName val="[Spt-BH.xls][Spt-BH.xls]B___149"/>
      <sheetName val="[Spt-BH.xls][Spt-BH.xls]_Spt_51"/>
      <sheetName val="[Spt-BH.xls][Spt-BH.xls]B___150"/>
      <sheetName val="[Spt-BH.xls][Spt-BH.xls]_Spt_52"/>
      <sheetName val="[Spt-BH.xls][Spt-BH.xls]B___169"/>
      <sheetName val="[Spt-BH.xls][Spt-BH.xls]B___170"/>
      <sheetName val="[Spt-BH.xls][Spt-BH.xls]_Spt_58"/>
      <sheetName val="[Spt-BH.xls][Spt-BH.xls]B___171"/>
      <sheetName val="[Spt-BH.xls][Spt-BH.xls]B___172"/>
      <sheetName val="[Spt-BH.xls][Spt-BH.xls]B___173"/>
      <sheetName val="[Spt-BH.xls][Spt-BH.xls]B___174"/>
      <sheetName val="[Spt-BH.xls][Spt-BH.xls]_Spt_56"/>
      <sheetName val="[Spt-BH.xls][Spt-BH.xls]_Spt_57"/>
      <sheetName val="[Spt-BH.xls][Spt-BH.xls]B___175"/>
      <sheetName val="[Spt-BH.xls][Spt-BH.xls]B___176"/>
      <sheetName val="[Spt-BH.xls][Spt-BH.xls]_Spt_60"/>
      <sheetName val="[Spt-BH.xls][Spt-BH.xls]B___177"/>
      <sheetName val="[Spt-BH.xls][Spt-BH.xls]B___178"/>
      <sheetName val="[Spt-BH.xls][Spt-BH.xls]B___179"/>
      <sheetName val="[Spt-BH.xls]B____x005f_x0004_______16"/>
      <sheetName val="[Spt-BH.xls]B___x005f_x0000__x005f_x0004_16"/>
      <sheetName val="[Spt-BH.xls][Spt-BH.xls]B___180"/>
      <sheetName val="[Spt-BH.xls][Spt-BH.xls]_Spt_59"/>
      <sheetName val="[Spt-BH.xls][Spt-BH_xls]B____17"/>
      <sheetName val="[Spt-BH.xls][Spt-BH_xls]B____18"/>
      <sheetName val="[Spt-BH.xls][Spt-BH_xls]_Spt__8"/>
      <sheetName val="[Spt-BH.xls][Spt-BH_xls]B____19"/>
      <sheetName val="[Spt-BH.xls][Spt-BH_xls]B____20"/>
      <sheetName val="[Spt-BH.xls][Spt-BH_xls]B____21"/>
      <sheetName val="[Spt-BH.xls][Spt-BH_xls]_Spt__9"/>
      <sheetName val="[Spt-BH.xls][Spt-BH_xls]B____12"/>
      <sheetName val="[Spt-BH.xls][Spt-BH_xls]B____13"/>
      <sheetName val="[Spt-BH.xls][Spt-BH_xls]_Spt__6"/>
      <sheetName val="[Spt-BH.xls][Spt-BH_xls]B____14"/>
      <sheetName val="[Spt-BH.xls][Spt-BH_xls]B____15"/>
      <sheetName val="[Spt-BH.xls][Spt-BH_xls]B____16"/>
      <sheetName val="[Spt-BH.xls][Spt-BH_xls]_Spt__7"/>
      <sheetName val="[Spt-BH.xls]B____x005f_x0004_______12"/>
      <sheetName val="[Spt-BH.xls]B___x005f_x0000__x005f_x0004_12"/>
      <sheetName val="[Spt-BH.xls][Spt-BH.xls]B___151"/>
      <sheetName val="[Spt-BH.xls][Spt-BH.xls]B___152"/>
      <sheetName val="[Spt-BH.xls][Spt-BH.xls]B___153"/>
      <sheetName val="[Spt-BH.xls][Spt-BH.xls]B___154"/>
      <sheetName val="[Spt-BH.xls][Spt-BH.xls]B___155"/>
      <sheetName val="[Spt-BH.xls][Spt-BH.xls]B___156"/>
      <sheetName val="[Spt-BH.xls][Spt-BH.xls]B___163"/>
      <sheetName val="[Spt-BH.xls][Spt-BH.xls]B___164"/>
      <sheetName val="[Spt-BH.xls][Spt-BH.xls]B___165"/>
      <sheetName val="[Spt-BH.xls][Spt-BH.xls]B___166"/>
      <sheetName val="[Spt-BH.xls][Spt-BH.xls]B___167"/>
      <sheetName val="[Spt-BH.xls][Spt-BH.xls]B___168"/>
      <sheetName val="[Spt-BH.xls][Spt-BH.xls]_Spt_55"/>
      <sheetName val="[Spt-BH.xls][Spt-BH.xls]B___157"/>
      <sheetName val="[Spt-BH.xls][Spt-BH.xls]B___158"/>
      <sheetName val="[Spt-BH.xls][Spt-BH.xls]B___159"/>
      <sheetName val="[Spt-BH.xls][Spt-BH.xls]B___160"/>
      <sheetName val="[Spt-BH.xls][Spt-BH.xls]B___161"/>
      <sheetName val="[Spt-BH.xls][Spt-BH.xls]B___162"/>
      <sheetName val="[Spt-BH.xls][Spt-BH.xls]_Spt_54"/>
      <sheetName val="[Spt-BH.xls][Spt-BH.xls]B@[?_x0"/>
      <sheetName val="[Spt-BH.xls]B@[_x005f_x0000__x005f_x0004_@_"/>
      <sheetName val="[Spt-BH.xls]B____x005f_x0004_______13"/>
      <sheetName val="[Spt-BH.xls]B___x005f_x0000__x005f_x0004_13"/>
      <sheetName val="[Spt-BH.xls]B____x005f_x0004_______14"/>
      <sheetName val="[Spt-BH.xls]B___x005f_x0000__x005f_x0004_14"/>
      <sheetName val="[Spt-BH.xls]B____x005f_x0004_______15"/>
      <sheetName val="[Spt-BH.xls]B___x005f_x0000__x005f_x0004_15"/>
      <sheetName val="[Spt-BH.xls][Spt-BH.xls]B___181"/>
      <sheetName val="[Spt-BH.xls][Spt-BH.xls]B___182"/>
      <sheetName val="[Spt-BH.xls][Spt-BH.xls]_Spt_62"/>
      <sheetName val="[Spt-BH.xls][Spt-BH.xls]B___183"/>
      <sheetName val="[Spt-BH.xls][Spt-BH.xls]B___184"/>
      <sheetName val="[Spt-BH.xls][Spt-BH.xls]B___185"/>
      <sheetName val="[Spt-BH.xls][Spt-BH.xls]B___186"/>
      <sheetName val="[Spt-BH.xls][Spt-BH.xls]_Spt_61"/>
      <sheetName val="[Spt-BH.xls][Spt-BH.xls]B___187"/>
      <sheetName val="[Spt-BH.xls][Spt-BH.xls]B___188"/>
      <sheetName val="[Spt-BH.xls][Spt-BH.xls]_Spt_64"/>
      <sheetName val="[Spt-BH.xls][Spt-BH.xls]B___189"/>
      <sheetName val="[Spt-BH.xls][Spt-BH.xls]B___190"/>
      <sheetName val="[Spt-BH.xls][Spt-BH.xls]B___191"/>
      <sheetName val="[Spt-BH.xls]B____x005f_x0004_______17"/>
      <sheetName val="[Spt-BH.xls]B___x005f_x0000__x005f_x0004_17"/>
      <sheetName val="[Spt-BH.xls][Spt-BH.xls]B___192"/>
      <sheetName val="[Spt-BH.xls][Spt-BH.xls]_Spt_63"/>
      <sheetName val="[Spt-BH.xls][Spt-BH_xls]B____22"/>
      <sheetName val="[Spt-BH.xls][Spt-BH_xls]B____23"/>
      <sheetName val="[Spt-BH.xls][Spt-BH_xls]_Spt_10"/>
      <sheetName val="[Spt-BH.xls][Spt-BH_xls]B____24"/>
      <sheetName val="[Spt-BH.xls][Spt-BH_xls]B____25"/>
      <sheetName val="[Spt-BH.xls][Spt-BH_xls]B____26"/>
      <sheetName val="[Spt-BH.xls][Spt-BH_xls]_Spt_11"/>
      <sheetName val="[Spt-BH.xls][Spt-BH.xls]B___198"/>
      <sheetName val="[Spt-BH.xls][Spt-BH.xls]B___199"/>
      <sheetName val="[Spt-BH.xls][Spt-BH.xls]_Spt_68"/>
      <sheetName val="[Spt-BH.xls][Spt-BH.xls]B___200"/>
      <sheetName val="[Spt-BH.xls][Spt-BH.xls]B___201"/>
      <sheetName val="[Spt-BH.xls]B____x005f_x0004_______18"/>
      <sheetName val="[Spt-BH.xls]B___x005f_x0000__x005f_x0004_18"/>
      <sheetName val="[Spt-BH.xls][Spt-BH.xls]B___202"/>
      <sheetName val="[Spt-BH.xls][Spt-BH.xls]B___193"/>
      <sheetName val="[Spt-BH.xls][Spt-BH.xls]B___194"/>
      <sheetName val="[Spt-BH.xls][Spt-BH.xls]_Spt_66"/>
      <sheetName val="[Spt-BH.xls][Spt-BH.xls]B___195"/>
      <sheetName val="[Spt-BH.xls][Spt-BH.xls]B___196"/>
      <sheetName val="[Spt-BH.xls][Spt-BH.xls]B___197"/>
      <sheetName val="[Spt-BH.xls][Spt-BH.xls]_Spt_65"/>
      <sheetName val="[Spt-BH.xls][Spt-BH.xls]B___204"/>
      <sheetName val="[Spt-BH.xls][Spt-BH.xls]B___205"/>
      <sheetName val="[Spt-BH.xls][Spt-BH.xls]_Spt_73"/>
      <sheetName val="[Spt-BH.xls][Spt-BH.xls]B___206"/>
      <sheetName val="[Spt-BH.xls][Spt-BH.xls]B___207"/>
      <sheetName val="[Spt-BH.xls]B____x005f_x0004_______19"/>
      <sheetName val="[Spt-BH.xls]B___x005f_x0000__x005f_x0004_19"/>
      <sheetName val="[Spt-BH.xls][Spt-BH.xls]B___208"/>
      <sheetName val="[Spt-BH.xls][Spt-BH.xls]B___203"/>
      <sheetName val="[Spt-BH.xls][Spt-BH.xls]_Spt_67"/>
      <sheetName val="[Spt-BH.xls][Spt-BH.xls]B___209"/>
      <sheetName val="[Spt-BH.xls][Spt-BH.xls]_Spt_69"/>
      <sheetName val="[Spt-BH.xls][Spt-BH_xls]B____27"/>
      <sheetName val="[Spt-BH.xls][Spt-BH_xls]B____28"/>
      <sheetName val="[Spt-BH.xls][Spt-BH_xls]_Spt_12"/>
      <sheetName val="[Spt-BH.xls][Spt-BH_xls]B____29"/>
      <sheetName val="[Spt-BH.xls][Spt-BH_xls]B____30"/>
      <sheetName val="[Spt-BH.xls][Spt-BH_xls]B____31"/>
      <sheetName val="[Spt-BH.xls][Spt-BH_xls]_Spt_13"/>
      <sheetName val="[Spt-BH.xls][Spt-BH.xls]_Spt_70"/>
      <sheetName val="[Spt-BH.xls][Spt-BH.xls]B___210"/>
      <sheetName val="[Spt-BH.xls][Spt-BH.xls]B___211"/>
      <sheetName val="[Spt-BH.xls][Spt-BH.xls]_Spt_72"/>
      <sheetName val="[Spt-BH.xls][Spt-BH.xls]B___212"/>
      <sheetName val="[Spt-BH.xls][Spt-BH.xls]B___213"/>
      <sheetName val="[Spt-BH.xls][Spt-BH.xls]B___214"/>
      <sheetName val="[Spt-BH.xls][Spt-BH.xls]B___215"/>
      <sheetName val="[Spt-BH.xls][Spt-BH.xls]_Spt_71"/>
      <sheetName val="[Spt-BH.xls][Spt-BH.xls]B___221"/>
      <sheetName val="[Spt-BH.xls][Spt-BH.xls]B___222"/>
      <sheetName val="[Spt-BH.xls][Spt-BH.xls]_Spt_76"/>
      <sheetName val="[Spt-BH.xls][Spt-BH.xls]B___223"/>
      <sheetName val="[Spt-BH.xls][Spt-BH.xls]B___224"/>
      <sheetName val="[Spt-BH.xls]B____x005f_x0004_______20"/>
      <sheetName val="[Spt-BH.xls]B___x005f_x0000__x005f_x0004_20"/>
      <sheetName val="[Spt-BH.xls][Spt-BH.xls]B___225"/>
      <sheetName val="[Spt-BH.xls][Spt-BH.xls]B___216"/>
      <sheetName val="[Spt-BH.xls][Spt-BH.xls]B___217"/>
      <sheetName val="[Spt-BH.xls][Spt-BH.xls]_Spt_75"/>
      <sheetName val="[Spt-BH.xls][Spt-BH.xls]B___218"/>
      <sheetName val="[Spt-BH.xls][Spt-BH.xls]B___219"/>
      <sheetName val="[Spt-BH.xls][Spt-BH.xls]B___220"/>
      <sheetName val="[Spt-BH.xls][Spt-BH.xls]_Spt_74"/>
      <sheetName val="[Spt-BH.xls][Spt-BH.xls]B___231"/>
      <sheetName val="[Spt-BH.xls][Spt-BH.xls]B___232"/>
      <sheetName val="[Spt-BH.xls][Spt-BH.xls]_Spt_78"/>
      <sheetName val="[Spt-BH.xls][Spt-BH.xls]B___233"/>
      <sheetName val="[Spt-BH.xls][Spt-BH.xls]B___234"/>
      <sheetName val="[Spt-BH.xls]B____x005f_x0004_______21"/>
      <sheetName val="[Spt-BH.xls]B___x005f_x0000__x005f_x0004_21"/>
      <sheetName val="[Spt-BH.xls][Spt-BH.xls]B___235"/>
      <sheetName val="[Spt-BH.xls][Spt-BH.xls]B___226"/>
      <sheetName val="[Spt-BH.xls][Spt-BH.xls]B___227"/>
      <sheetName val="[Spt-BH.xls][Spt-BH.xls]_Spt_77"/>
      <sheetName val="[Spt-BH.xls][Spt-BH.xls]B___228"/>
      <sheetName val="[Spt-BH.xls][Spt-BH.xls]B___229"/>
      <sheetName val="[Spt-BH.xls][Spt-BH.xls]B___230"/>
      <sheetName val="[Spt-BH.xls][Spt-BH.xls]B___241"/>
      <sheetName val="[Spt-BH.xls][Spt-BH.xls]B___242"/>
      <sheetName val="[Spt-BH.xls][Spt-BH.xls]_Spt_81"/>
      <sheetName val="[Spt-BH.xls][Spt-BH.xls]B___243"/>
      <sheetName val="[Spt-BH.xls][Spt-BH.xls]B___244"/>
      <sheetName val="[Spt-BH.xls]B____x005f_x0004_______22"/>
      <sheetName val="[Spt-BH.xls]B___x005f_x0000__x005f_x0004_22"/>
      <sheetName val="[Spt-BH.xls][Spt-BH.xls]B___245"/>
      <sheetName val="[Spt-BH.xls][Spt-BH.xls]B___236"/>
      <sheetName val="[Spt-BH.xls][Spt-BH.xls]B___237"/>
      <sheetName val="[Spt-BH.xls][Spt-BH.xls]_Spt_80"/>
      <sheetName val="[Spt-BH.xls][Spt-BH.xls]B___238"/>
      <sheetName val="[Spt-BH.xls][Spt-BH.xls]B___239"/>
      <sheetName val="[Spt-BH.xls][Spt-BH.xls]B___240"/>
      <sheetName val="[Spt-BH.xls][Spt-BH.xls]_Spt_79"/>
      <sheetName val="[Spt-BH.xls][Spt-BH.xls]B___261"/>
      <sheetName val="[Spt-BH.xls][Spt-BH.xls]B___262"/>
      <sheetName val="[Spt-BH.xls][Spt-BH.xls]_Spt_86"/>
      <sheetName val="[Spt-BH.xls][Spt-BH.xls]B___263"/>
      <sheetName val="[Spt-BH.xls][Spt-BH.xls]B___264"/>
      <sheetName val="[Spt-BH.xls]B____x005f_x0004_______24"/>
      <sheetName val="[Spt-BH.xls]B___x005f_x0000__x005f_x0004_24"/>
      <sheetName val="[Spt-BH.xls][Spt-BH.xls]B___265"/>
      <sheetName val="[Spt-BH.xls][Spt-BH.xls]B___251"/>
      <sheetName val="[Spt-BH.xls][Spt-BH.xls]B___252"/>
      <sheetName val="[Spt-BH.xls][Spt-BH.xls]_Spt_85"/>
      <sheetName val="[Spt-BH.xls][Spt-BH.xls]B___253"/>
      <sheetName val="[Spt-BH.xls][Spt-BH.xls]B___254"/>
      <sheetName val="[Spt-BH.xls][Spt-BH.xls]B___255"/>
      <sheetName val="[Spt-BH.xls][Spt-BH.xls]_Spt_83"/>
      <sheetName val="[Spt-BH.xls]B____x005f_x0004_______23"/>
      <sheetName val="[Spt-BH.xls]B___x005f_x0000__x005f_x0004_23"/>
      <sheetName val="[Spt-BH.xls][Spt-BH.xls]B___246"/>
      <sheetName val="[Spt-BH.xls][Spt-BH.xls]B___247"/>
      <sheetName val="[Spt-BH.xls][Spt-BH.xls]B___248"/>
      <sheetName val="[Spt-BH.xls][Spt-BH.xls]B___249"/>
      <sheetName val="[Spt-BH.xls][Spt-BH.xls]B___250"/>
      <sheetName val="[Spt-BH.xls][Spt-BH.xls]_Spt_82"/>
      <sheetName val="[Spt-BH.xls][Spt-BH.xls]B___256"/>
      <sheetName val="[Spt-BH.xls][Spt-BH.xls]B___257"/>
      <sheetName val="[Spt-BH.xls][Spt-BH.xls]B___258"/>
      <sheetName val="[Spt-BH.xls][Spt-BH.xls]B___259"/>
      <sheetName val="[Spt-BH.xls][Spt-BH.xls]B___260"/>
      <sheetName val="[Spt-BH.xls][Spt-BH.xls]_Spt_84"/>
      <sheetName val="[Spt-BH.xls][Spt-BH.xls]B___266"/>
      <sheetName val="[Spt-BH.xls][Spt-BH.xls]B___267"/>
      <sheetName val="[Spt-BH.xls][Spt-BH.xls]_Spt_87"/>
      <sheetName val="[Spt-BH.xls][Spt-BH.xls]B___268"/>
      <sheetName val="[Spt-BH.xls][Spt-BH.xls]B___269"/>
      <sheetName val="[Spt-BH.xls][Spt-BH.xls]B___270"/>
      <sheetName val="[Spt-BH.xls][Spt-BH.xls]_Spt_88"/>
      <sheetName val="[Spt-BH.xls][Spt-BH.xls]B___317"/>
      <sheetName val="[Spt-BH.xls][Spt-BH.xls]B___318"/>
      <sheetName val="[Spt-BH.xls][Spt-BH.xls]_Sp_110"/>
      <sheetName val="[Spt-BH.xls][Spt-BH.xls]B___319"/>
      <sheetName val="[Spt-BH.xls][Spt-BH.xls]B___320"/>
      <sheetName val="[Spt-BH.xls][Spt-BH.xls]B___321"/>
      <sheetName val="[Spt-BH.xls][Spt-BH.xls]B___322"/>
      <sheetName val="[Spt-BH.xls][Spt-BH.xls]_Sp_108"/>
      <sheetName val="[Spt-BH.xls][Spt-BH.xls]_Sp_109"/>
      <sheetName val="[Spt-BH.xls][Spt-BH.xls]B___323"/>
      <sheetName val="[Spt-BH.xls][Spt-BH.xls]B___324"/>
      <sheetName val="[Spt-BH.xls][Spt-BH.xls]_Sp_112"/>
      <sheetName val="[Spt-BH.xls][Spt-BH.xls]B___325"/>
      <sheetName val="[Spt-BH.xls][Spt-BH.xls]B___326"/>
      <sheetName val="[Spt-BH.xls][Spt-BH.xls]B___327"/>
      <sheetName val="[Spt-BH.xls]B____x005f_x0004_______30"/>
      <sheetName val="[Spt-BH.xls]B___x005f_x0000__x005f_x0004_30"/>
      <sheetName val="[Spt-BH.xls][Spt-BH.xls]B___328"/>
      <sheetName val="[Spt-BH.xls][Spt-BH.xls]_Sp_111"/>
      <sheetName val="[Spt-BH.xls][Spt-BH_xls]B____42"/>
      <sheetName val="[Spt-BH.xls][Spt-BH_xls]B____43"/>
      <sheetName val="[Spt-BH.xls][Spt-BH_xls]_Spt_18"/>
      <sheetName val="[Spt-BH.xls][Spt-BH_xls]B____44"/>
      <sheetName val="[Spt-BH.xls][Spt-BH_xls]B____45"/>
      <sheetName val="[Spt-BH.xls][Spt-BH_xls]B____46"/>
      <sheetName val="[Spt-BH.xls][Spt-BH_xls]_Spt_19"/>
      <sheetName val="[Spt-BH.xls][Spt-BH.xls]_Spt_89"/>
      <sheetName val="[Spt-BH.xls][Spt-BH.xls]B___271"/>
      <sheetName val="[Spt-BH.xls][Spt-BH.xls]B___272"/>
      <sheetName val="[Spt-BH.xls][Spt-BH.xls]_Spt_91"/>
      <sheetName val="[Spt-BH.xls][Spt-BH.xls]B___273"/>
      <sheetName val="[Spt-BH.xls][Spt-BH.xls]B___274"/>
      <sheetName val="[Spt-BH.xls][Spt-BH.xls]B___275"/>
      <sheetName val="[Spt-BH.xls]B____x005f_x0004_______25"/>
      <sheetName val="[Spt-BH.xls]B___x005f_x0000__x005f_x0004_25"/>
      <sheetName val="[Spt-BH.xls][Spt-BH.xls]B___276"/>
      <sheetName val="[Spt-BH.xls][Spt-BH.xls]_Spt_90"/>
      <sheetName val="[Spt-BH.xls][Spt-BH_xls]B____32"/>
      <sheetName val="[Spt-BH.xls][Spt-BH_xls]B____33"/>
      <sheetName val="[Spt-BH.xls][Spt-BH_xls]_Spt_14"/>
      <sheetName val="[Spt-BH.xls][Spt-BH_xls]B____34"/>
      <sheetName val="[Spt-BH.xls][Spt-BH_xls]B____35"/>
      <sheetName val="[Spt-BH.xls][Spt-BH_xls]B____36"/>
      <sheetName val="[Spt-BH.xls][Spt-BH_xls]_Spt_15"/>
      <sheetName val="B@_?_x0004_@?_x0000"/>
      <sheetName val="Civil-works"/>
      <sheetName val="ANAL"/>
      <sheetName val="GR.slab-reinft"/>
      <sheetName val="PCS DATA"/>
      <sheetName val="Tender_Appraisal"/>
      <sheetName val="[Spt-BH_xls][Spt-BH_xls]B@[@"/>
      <sheetName val="[Spt-BH_xls][Spt-BH_xls]B@[?@?"/>
      <sheetName val="Sales"/>
      <sheetName val="Index_10"/>
      <sheetName val="Email_Approval_Template10"/>
      <sheetName val="1_Executive_Summary10"/>
      <sheetName val="2_Risk_Assessment_Analysis10"/>
      <sheetName val="3_Pre-Approval10"/>
      <sheetName val="4_CIS10"/>
      <sheetName val="5_Change_Order10"/>
      <sheetName val="5_1__Re-book_De-book_order10"/>
      <sheetName val="6_Contract_Re-estimates10"/>
      <sheetName val="7a_BG_Approval_Form10"/>
      <sheetName val="7b_BG_Email_Approval_Template10"/>
      <sheetName val="8_LAD_Approval_Form10"/>
      <sheetName val="9_LOI_Checklist10"/>
      <sheetName val="10_RPS_Information_Form10"/>
      <sheetName val="11_Proj_Cashflow_10"/>
      <sheetName val="11_1_Cash-flow_Chart10"/>
      <sheetName val="Threshold_Calculator10"/>
      <sheetName val="Version_Control10"/>
      <sheetName val="Prebid_Review10"/>
      <sheetName val="DJC_Parameters10"/>
      <sheetName val="Selling_Summary10"/>
      <sheetName val="1-BAS_(cost)10"/>
      <sheetName val="Controller_Configuration10"/>
      <sheetName val="IO_Summary10"/>
      <sheetName val="2-FAS_(cost)10"/>
      <sheetName val="Cost_Summary10"/>
      <sheetName val="3-PA_(cost)10"/>
      <sheetName val="Approved_Make10"/>
      <sheetName val="Basis_of_offer10"/>
      <sheetName val="High_Level_Summary10"/>
      <sheetName val="4-ACS__(cost)10"/>
      <sheetName val="5-CCTV__(cost)10"/>
      <sheetName val="6-FFT__(cost)10"/>
      <sheetName val="7-_Service_Retrofit__(cost)10"/>
      <sheetName val="8-Service_PSA,O&amp;M__(cost)10"/>
      <sheetName val="9-_Service_L&amp;M__(cost)10"/>
      <sheetName val="non_fixed_DJC_10"/>
      <sheetName val="10-UPG_(cost)10"/>
      <sheetName val="11-ESG__(cost)10"/>
      <sheetName val="12-Products_(cost)10"/>
      <sheetName val="13-VAV__(cost)10"/>
      <sheetName val="14-REF_(cost)10"/>
      <sheetName val="15_-_Local_Chiller_(cost)10"/>
      <sheetName val="Selling-Local_Chiller10"/>
      <sheetName val="Material_Cost_JCS10"/>
      <sheetName val="Costing_USD_Chiller10"/>
      <sheetName val="Selling-USD_Chiller10"/>
      <sheetName val="PRICE_MATRIX_-JCIPL10"/>
      <sheetName val="COST_SUMMARY-_JCIPL10"/>
      <sheetName val="6_-FFT-JCIPL10"/>
      <sheetName val="7-Ser_Retro_-JCIPL10"/>
      <sheetName val="8-Ser_PSA,_O&amp;M_-JCIPL10"/>
      <sheetName val="9-Ser_L&amp;M_-JCIPL10"/>
      <sheetName val="10-UPG_JCIPL10"/>
      <sheetName val="11-ESG_JCIPL10"/>
      <sheetName val="12-Products_JCIPL10"/>
      <sheetName val="13-VAV_JCIPL10"/>
      <sheetName val="14-REF_JCMRL_10"/>
      <sheetName val="Proj__DJC-JCIPL10"/>
      <sheetName val="_L0_DDC_110"/>
      <sheetName val="L0_DDC-210"/>
      <sheetName val="L16_DDC-310"/>
      <sheetName val="L16_DDC-510"/>
      <sheetName val="L17_DDC-610"/>
      <sheetName val="L17_DDC-7_10"/>
      <sheetName val="L18_DDC-810"/>
      <sheetName val="2-AutoDialer_Sys10"/>
      <sheetName val="1-BAS1_(cost)10"/>
      <sheetName val="2-BAS2_(cost)10"/>
      <sheetName val="Deviations-Project_Risks10"/>
      <sheetName val="IO_Schedule10"/>
      <sheetName val="Direct_cost_shed_A-2_10"/>
      <sheetName val="Staff_Forecast_spread10"/>
      <sheetName val="Index_9"/>
      <sheetName val="Email_Approval_Template9"/>
      <sheetName val="1_Executive_Summary9"/>
      <sheetName val="2_Risk_Assessment_Analysis9"/>
      <sheetName val="3_Pre-Approval9"/>
      <sheetName val="4_CIS9"/>
      <sheetName val="5_Change_Order9"/>
      <sheetName val="5_1__Re-book_De-book_order9"/>
      <sheetName val="6_Contract_Re-estimates9"/>
      <sheetName val="7a_BG_Approval_Form9"/>
      <sheetName val="7b_BG_Email_Approval_Template9"/>
      <sheetName val="8_LAD_Approval_Form9"/>
      <sheetName val="9_LOI_Checklist9"/>
      <sheetName val="10_RPS_Information_Form9"/>
      <sheetName val="11_Proj_Cashflow_9"/>
      <sheetName val="11_1_Cash-flow_Chart9"/>
      <sheetName val="Threshold_Calculator9"/>
      <sheetName val="Version_Control9"/>
      <sheetName val="Prebid_Review9"/>
      <sheetName val="DJC_Parameters9"/>
      <sheetName val="Selling_Summary9"/>
      <sheetName val="1-BAS_(cost)9"/>
      <sheetName val="Controller_Configuration9"/>
      <sheetName val="IO_Summary9"/>
      <sheetName val="2-FAS_(cost)9"/>
      <sheetName val="Cost_Summary9"/>
      <sheetName val="3-PA_(cost)9"/>
      <sheetName val="Approved_Make9"/>
      <sheetName val="Basis_of_offer9"/>
      <sheetName val="High_Level_Summary9"/>
      <sheetName val="4-ACS__(cost)9"/>
      <sheetName val="5-CCTV__(cost)9"/>
      <sheetName val="6-FFT__(cost)9"/>
      <sheetName val="7-_Service_Retrofit__(cost)9"/>
      <sheetName val="8-Service_PSA,O&amp;M__(cost)9"/>
      <sheetName val="9-_Service_L&amp;M__(cost)9"/>
      <sheetName val="non_fixed_DJC_9"/>
      <sheetName val="10-UPG_(cost)9"/>
      <sheetName val="11-ESG__(cost)9"/>
      <sheetName val="12-Products_(cost)9"/>
      <sheetName val="13-VAV__(cost)9"/>
      <sheetName val="14-REF_(cost)9"/>
      <sheetName val="15_-_Local_Chiller_(cost)9"/>
      <sheetName val="Selling-Local_Chiller9"/>
      <sheetName val="Material_Cost_JCS9"/>
      <sheetName val="Costing_USD_Chiller9"/>
      <sheetName val="Selling-USD_Chiller9"/>
      <sheetName val="PRICE_MATRIX_-JCIPL9"/>
      <sheetName val="COST_SUMMARY-_JCIPL9"/>
      <sheetName val="6_-FFT-JCIPL9"/>
      <sheetName val="7-Ser_Retro_-JCIPL9"/>
      <sheetName val="8-Ser_PSA,_O&amp;M_-JCIPL9"/>
      <sheetName val="9-Ser_L&amp;M_-JCIPL9"/>
      <sheetName val="10-UPG_JCIPL9"/>
      <sheetName val="11-ESG_JCIPL9"/>
      <sheetName val="12-Products_JCIPL9"/>
      <sheetName val="13-VAV_JCIPL9"/>
      <sheetName val="14-REF_JCMRL_9"/>
      <sheetName val="Proj__DJC-JCIPL9"/>
      <sheetName val="_L0_DDC_19"/>
      <sheetName val="L0_DDC-29"/>
      <sheetName val="L16_DDC-39"/>
      <sheetName val="L16_DDC-59"/>
      <sheetName val="L17_DDC-69"/>
      <sheetName val="L17_DDC-7_9"/>
      <sheetName val="L18_DDC-89"/>
      <sheetName val="2-AutoDialer_Sys9"/>
      <sheetName val="1-BAS1_(cost)9"/>
      <sheetName val="2-BAS2_(cost)9"/>
      <sheetName val="Deviations-Project_Risks9"/>
      <sheetName val="IO_Schedule9"/>
      <sheetName val="Direct_cost_shed_A-2_9"/>
      <sheetName val="Staff_Forecast_spread9"/>
      <sheetName val="Index_2"/>
      <sheetName val="Email_Approval_Template2"/>
      <sheetName val="1_Executive_Summary2"/>
      <sheetName val="2_Risk_Assessment_Analysis2"/>
      <sheetName val="3_Pre-Approval2"/>
      <sheetName val="4_CIS2"/>
      <sheetName val="5_Change_Order2"/>
      <sheetName val="5_1__Re-book_De-book_order2"/>
      <sheetName val="6_Contract_Re-estimates2"/>
      <sheetName val="7a_BG_Approval_Form2"/>
      <sheetName val="7b_BG_Email_Approval_Template2"/>
      <sheetName val="8_LAD_Approval_Form2"/>
      <sheetName val="9_LOI_Checklist2"/>
      <sheetName val="10_RPS_Information_Form2"/>
      <sheetName val="11_Proj_Cashflow_2"/>
      <sheetName val="11_1_Cash-flow_Chart2"/>
      <sheetName val="Threshold_Calculator2"/>
      <sheetName val="Version_Control2"/>
      <sheetName val="Prebid_Review2"/>
      <sheetName val="DJC_Parameters2"/>
      <sheetName val="Selling_Summary2"/>
      <sheetName val="1-BAS_(cost)2"/>
      <sheetName val="Controller_Configuration2"/>
      <sheetName val="IO_Summary2"/>
      <sheetName val="2-FAS_(cost)2"/>
      <sheetName val="Cost_Summary2"/>
      <sheetName val="3-PA_(cost)2"/>
      <sheetName val="Approved_Make2"/>
      <sheetName val="Basis_of_offer2"/>
      <sheetName val="High_Level_Summary2"/>
      <sheetName val="4-ACS__(cost)2"/>
      <sheetName val="5-CCTV__(cost)2"/>
      <sheetName val="6-FFT__(cost)2"/>
      <sheetName val="7-_Service_Retrofit__(cost)2"/>
      <sheetName val="8-Service_PSA,O&amp;M__(cost)2"/>
      <sheetName val="9-_Service_L&amp;M__(cost)2"/>
      <sheetName val="non_fixed_DJC_2"/>
      <sheetName val="10-UPG_(cost)2"/>
      <sheetName val="11-ESG__(cost)2"/>
      <sheetName val="12-Products_(cost)2"/>
      <sheetName val="13-VAV__(cost)2"/>
      <sheetName val="14-REF_(cost)2"/>
      <sheetName val="15_-_Local_Chiller_(cost)2"/>
      <sheetName val="Selling-Local_Chiller2"/>
      <sheetName val="Material_Cost_JCS2"/>
      <sheetName val="Costing_USD_Chiller2"/>
      <sheetName val="Selling-USD_Chiller2"/>
      <sheetName val="PRICE_MATRIX_-JCIPL2"/>
      <sheetName val="COST_SUMMARY-_JCIPL2"/>
      <sheetName val="6_-FFT-JCIPL2"/>
      <sheetName val="7-Ser_Retro_-JCIPL2"/>
      <sheetName val="8-Ser_PSA,_O&amp;M_-JCIPL2"/>
      <sheetName val="9-Ser_L&amp;M_-JCIPL2"/>
      <sheetName val="10-UPG_JCIPL2"/>
      <sheetName val="11-ESG_JCIPL2"/>
      <sheetName val="12-Products_JCIPL2"/>
      <sheetName val="13-VAV_JCIPL2"/>
      <sheetName val="14-REF_JCMRL_2"/>
      <sheetName val="Proj__DJC-JCIPL2"/>
      <sheetName val="_L0_DDC_12"/>
      <sheetName val="L0_DDC-22"/>
      <sheetName val="L16_DDC-32"/>
      <sheetName val="L16_DDC-52"/>
      <sheetName val="L17_DDC-62"/>
      <sheetName val="L17_DDC-7_2"/>
      <sheetName val="L18_DDC-82"/>
      <sheetName val="2-AutoDialer_Sys2"/>
      <sheetName val="1-BAS1_(cost)2"/>
      <sheetName val="2-BAS2_(cost)2"/>
      <sheetName val="Deviations-Project_Risks2"/>
      <sheetName val="IO_Schedule2"/>
      <sheetName val="Index_7"/>
      <sheetName val="Email_Approval_Template7"/>
      <sheetName val="1_Executive_Summary7"/>
      <sheetName val="2_Risk_Assessment_Analysis7"/>
      <sheetName val="3_Pre-Approval7"/>
      <sheetName val="4_CIS7"/>
      <sheetName val="5_Change_Order7"/>
      <sheetName val="5_1__Re-book_De-book_order7"/>
      <sheetName val="6_Contract_Re-estimates7"/>
      <sheetName val="7a_BG_Approval_Form7"/>
      <sheetName val="7b_BG_Email_Approval_Template7"/>
      <sheetName val="8_LAD_Approval_Form7"/>
      <sheetName val="9_LOI_Checklist7"/>
      <sheetName val="10_RPS_Information_Form7"/>
      <sheetName val="11_Proj_Cashflow_7"/>
      <sheetName val="11_1_Cash-flow_Chart7"/>
      <sheetName val="Threshold_Calculator7"/>
      <sheetName val="Version_Control7"/>
      <sheetName val="Prebid_Review7"/>
      <sheetName val="DJC_Parameters7"/>
      <sheetName val="Selling_Summary7"/>
      <sheetName val="1-BAS_(cost)7"/>
      <sheetName val="Controller_Configuration7"/>
      <sheetName val="IO_Summary7"/>
      <sheetName val="2-FAS_(cost)7"/>
      <sheetName val="Cost_Summary7"/>
      <sheetName val="3-PA_(cost)7"/>
      <sheetName val="Approved_Make7"/>
      <sheetName val="Basis_of_offer7"/>
      <sheetName val="High_Level_Summary7"/>
      <sheetName val="4-ACS__(cost)7"/>
      <sheetName val="5-CCTV__(cost)7"/>
      <sheetName val="6-FFT__(cost)7"/>
      <sheetName val="7-_Service_Retrofit__(cost)7"/>
      <sheetName val="8-Service_PSA,O&amp;M__(cost)7"/>
      <sheetName val="9-_Service_L&amp;M__(cost)7"/>
      <sheetName val="non_fixed_DJC_7"/>
      <sheetName val="10-UPG_(cost)7"/>
      <sheetName val="11-ESG__(cost)7"/>
      <sheetName val="12-Products_(cost)7"/>
      <sheetName val="13-VAV__(cost)7"/>
      <sheetName val="14-REF_(cost)7"/>
      <sheetName val="15_-_Local_Chiller_(cost)7"/>
      <sheetName val="Selling-Local_Chiller7"/>
      <sheetName val="Material_Cost_JCS7"/>
      <sheetName val="Costing_USD_Chiller7"/>
      <sheetName val="Selling-USD_Chiller7"/>
      <sheetName val="PRICE_MATRIX_-JCIPL7"/>
      <sheetName val="COST_SUMMARY-_JCIPL7"/>
      <sheetName val="6_-FFT-JCIPL7"/>
      <sheetName val="7-Ser_Retro_-JCIPL7"/>
      <sheetName val="8-Ser_PSA,_O&amp;M_-JCIPL7"/>
      <sheetName val="9-Ser_L&amp;M_-JCIPL7"/>
      <sheetName val="10-UPG_JCIPL7"/>
      <sheetName val="11-ESG_JCIPL7"/>
      <sheetName val="12-Products_JCIPL7"/>
      <sheetName val="13-VAV_JCIPL7"/>
      <sheetName val="14-REF_JCMRL_7"/>
      <sheetName val="Proj__DJC-JCIPL7"/>
      <sheetName val="_L0_DDC_17"/>
      <sheetName val="L0_DDC-27"/>
      <sheetName val="L16_DDC-37"/>
      <sheetName val="L16_DDC-57"/>
      <sheetName val="L17_DDC-67"/>
      <sheetName val="L17_DDC-7_7"/>
      <sheetName val="L18_DDC-87"/>
      <sheetName val="2-AutoDialer_Sys7"/>
      <sheetName val="1-BAS1_(cost)7"/>
      <sheetName val="2-BAS2_(cost)7"/>
      <sheetName val="Deviations-Project_Risks7"/>
      <sheetName val="IO_Schedule7"/>
      <sheetName val="Direct_cost_shed_A-2_7"/>
      <sheetName val="Staff_Forecast_spread7"/>
      <sheetName val="Index_4"/>
      <sheetName val="Email_Approval_Template4"/>
      <sheetName val="1_Executive_Summary4"/>
      <sheetName val="2_Risk_Assessment_Analysis4"/>
      <sheetName val="3_Pre-Approval4"/>
      <sheetName val="4_CIS4"/>
      <sheetName val="5_Change_Order4"/>
      <sheetName val="5_1__Re-book_De-book_order4"/>
      <sheetName val="6_Contract_Re-estimates4"/>
      <sheetName val="7a_BG_Approval_Form4"/>
      <sheetName val="7b_BG_Email_Approval_Template4"/>
      <sheetName val="8_LAD_Approval_Form4"/>
      <sheetName val="9_LOI_Checklist4"/>
      <sheetName val="10_RPS_Information_Form4"/>
      <sheetName val="11_Proj_Cashflow_4"/>
      <sheetName val="11_1_Cash-flow_Chart4"/>
      <sheetName val="Threshold_Calculator4"/>
      <sheetName val="Version_Control4"/>
      <sheetName val="Prebid_Review4"/>
      <sheetName val="DJC_Parameters4"/>
      <sheetName val="Selling_Summary4"/>
      <sheetName val="1-BAS_(cost)4"/>
      <sheetName val="Controller_Configuration4"/>
      <sheetName val="IO_Summary4"/>
      <sheetName val="2-FAS_(cost)4"/>
      <sheetName val="Cost_Summary4"/>
      <sheetName val="3-PA_(cost)4"/>
      <sheetName val="Approved_Make4"/>
      <sheetName val="Basis_of_offer4"/>
      <sheetName val="High_Level_Summary4"/>
      <sheetName val="4-ACS__(cost)4"/>
      <sheetName val="5-CCTV__(cost)4"/>
      <sheetName val="6-FFT__(cost)4"/>
      <sheetName val="7-_Service_Retrofit__(cost)4"/>
      <sheetName val="8-Service_PSA,O&amp;M__(cost)4"/>
      <sheetName val="9-_Service_L&amp;M__(cost)4"/>
      <sheetName val="non_fixed_DJC_4"/>
      <sheetName val="10-UPG_(cost)4"/>
      <sheetName val="11-ESG__(cost)4"/>
      <sheetName val="12-Products_(cost)4"/>
      <sheetName val="13-VAV__(cost)4"/>
      <sheetName val="14-REF_(cost)4"/>
      <sheetName val="15_-_Local_Chiller_(cost)4"/>
      <sheetName val="Selling-Local_Chiller4"/>
      <sheetName val="Material_Cost_JCS4"/>
      <sheetName val="Costing_USD_Chiller4"/>
      <sheetName val="Selling-USD_Chiller4"/>
      <sheetName val="PRICE_MATRIX_-JCIPL4"/>
      <sheetName val="COST_SUMMARY-_JCIPL4"/>
      <sheetName val="6_-FFT-JCIPL4"/>
      <sheetName val="7-Ser_Retro_-JCIPL4"/>
      <sheetName val="8-Ser_PSA,_O&amp;M_-JCIPL4"/>
      <sheetName val="9-Ser_L&amp;M_-JCIPL4"/>
      <sheetName val="10-UPG_JCIPL4"/>
      <sheetName val="11-ESG_JCIPL4"/>
      <sheetName val="12-Products_JCIPL4"/>
      <sheetName val="13-VAV_JCIPL4"/>
      <sheetName val="14-REF_JCMRL_4"/>
      <sheetName val="Proj__DJC-JCIPL4"/>
      <sheetName val="_L0_DDC_14"/>
      <sheetName val="L0_DDC-24"/>
      <sheetName val="L16_DDC-34"/>
      <sheetName val="L16_DDC-54"/>
      <sheetName val="L17_DDC-64"/>
      <sheetName val="L17_DDC-7_4"/>
      <sheetName val="L18_DDC-84"/>
      <sheetName val="2-AutoDialer_Sys4"/>
      <sheetName val="1-BAS1_(cost)4"/>
      <sheetName val="2-BAS2_(cost)4"/>
      <sheetName val="Deviations-Project_Risks4"/>
      <sheetName val="IO_Schedule4"/>
      <sheetName val="Direct_cost_shed_A-2_4"/>
      <sheetName val="Staff_Forecast_spread4"/>
      <sheetName val="Index_3"/>
      <sheetName val="Email_Approval_Template3"/>
      <sheetName val="1_Executive_Summary3"/>
      <sheetName val="2_Risk_Assessment_Analysis3"/>
      <sheetName val="3_Pre-Approval3"/>
      <sheetName val="4_CIS3"/>
      <sheetName val="5_Change_Order3"/>
      <sheetName val="5_1__Re-book_De-book_order3"/>
      <sheetName val="6_Contract_Re-estimates3"/>
      <sheetName val="7a_BG_Approval_Form3"/>
      <sheetName val="7b_BG_Email_Approval_Template3"/>
      <sheetName val="8_LAD_Approval_Form3"/>
      <sheetName val="9_LOI_Checklist3"/>
      <sheetName val="10_RPS_Information_Form3"/>
      <sheetName val="11_Proj_Cashflow_3"/>
      <sheetName val="11_1_Cash-flow_Chart3"/>
      <sheetName val="Threshold_Calculator3"/>
      <sheetName val="Version_Control3"/>
      <sheetName val="Prebid_Review3"/>
      <sheetName val="DJC_Parameters3"/>
      <sheetName val="Selling_Summary3"/>
      <sheetName val="1-BAS_(cost)3"/>
      <sheetName val="Controller_Configuration3"/>
      <sheetName val="IO_Summary3"/>
      <sheetName val="2-FAS_(cost)3"/>
      <sheetName val="Cost_Summary3"/>
      <sheetName val="3-PA_(cost)3"/>
      <sheetName val="Approved_Make3"/>
      <sheetName val="Basis_of_offer3"/>
      <sheetName val="High_Level_Summary3"/>
      <sheetName val="4-ACS__(cost)3"/>
      <sheetName val="5-CCTV__(cost)3"/>
      <sheetName val="6-FFT__(cost)3"/>
      <sheetName val="7-_Service_Retrofit__(cost)3"/>
      <sheetName val="8-Service_PSA,O&amp;M__(cost)3"/>
      <sheetName val="9-_Service_L&amp;M__(cost)3"/>
      <sheetName val="non_fixed_DJC_3"/>
      <sheetName val="10-UPG_(cost)3"/>
      <sheetName val="11-ESG__(cost)3"/>
      <sheetName val="12-Products_(cost)3"/>
      <sheetName val="13-VAV__(cost)3"/>
      <sheetName val="14-REF_(cost)3"/>
      <sheetName val="15_-_Local_Chiller_(cost)3"/>
      <sheetName val="Selling-Local_Chiller3"/>
      <sheetName val="Material_Cost_JCS3"/>
      <sheetName val="Costing_USD_Chiller3"/>
      <sheetName val="Selling-USD_Chiller3"/>
      <sheetName val="PRICE_MATRIX_-JCIPL3"/>
      <sheetName val="COST_SUMMARY-_JCIPL3"/>
      <sheetName val="6_-FFT-JCIPL3"/>
      <sheetName val="7-Ser_Retro_-JCIPL3"/>
      <sheetName val="8-Ser_PSA,_O&amp;M_-JCIPL3"/>
      <sheetName val="9-Ser_L&amp;M_-JCIPL3"/>
      <sheetName val="10-UPG_JCIPL3"/>
      <sheetName val="11-ESG_JCIPL3"/>
      <sheetName val="12-Products_JCIPL3"/>
      <sheetName val="13-VAV_JCIPL3"/>
      <sheetName val="14-REF_JCMRL_3"/>
      <sheetName val="Proj__DJC-JCIPL3"/>
      <sheetName val="_L0_DDC_13"/>
      <sheetName val="L0_DDC-23"/>
      <sheetName val="L16_DDC-33"/>
      <sheetName val="L16_DDC-53"/>
      <sheetName val="L17_DDC-63"/>
      <sheetName val="L17_DDC-7_3"/>
      <sheetName val="L18_DDC-83"/>
      <sheetName val="2-AutoDialer_Sys3"/>
      <sheetName val="1-BAS1_(cost)3"/>
      <sheetName val="2-BAS2_(cost)3"/>
      <sheetName val="Deviations-Project_Risks3"/>
      <sheetName val="IO_Schedule3"/>
      <sheetName val="Direct_cost_shed_A-2_3"/>
      <sheetName val="Staff_Forecast_spread3"/>
      <sheetName val="Index_5"/>
      <sheetName val="Email_Approval_Template5"/>
      <sheetName val="1_Executive_Summary5"/>
      <sheetName val="2_Risk_Assessment_Analysis5"/>
      <sheetName val="3_Pre-Approval5"/>
      <sheetName val="4_CIS5"/>
      <sheetName val="5_Change_Order5"/>
      <sheetName val="5_1__Re-book_De-book_order5"/>
      <sheetName val="6_Contract_Re-estimates5"/>
      <sheetName val="7a_BG_Approval_Form5"/>
      <sheetName val="7b_BG_Email_Approval_Template5"/>
      <sheetName val="8_LAD_Approval_Form5"/>
      <sheetName val="9_LOI_Checklist5"/>
      <sheetName val="10_RPS_Information_Form5"/>
      <sheetName val="11_Proj_Cashflow_5"/>
      <sheetName val="11_1_Cash-flow_Chart5"/>
      <sheetName val="Threshold_Calculator5"/>
      <sheetName val="Version_Control5"/>
      <sheetName val="Prebid_Review5"/>
      <sheetName val="DJC_Parameters5"/>
      <sheetName val="Selling_Summary5"/>
      <sheetName val="1-BAS_(cost)5"/>
      <sheetName val="Controller_Configuration5"/>
      <sheetName val="IO_Summary5"/>
      <sheetName val="2-FAS_(cost)5"/>
      <sheetName val="Cost_Summary5"/>
      <sheetName val="3-PA_(cost)5"/>
      <sheetName val="Approved_Make5"/>
      <sheetName val="Basis_of_offer5"/>
      <sheetName val="High_Level_Summary5"/>
      <sheetName val="4-ACS__(cost)5"/>
      <sheetName val="5-CCTV__(cost)5"/>
      <sheetName val="6-FFT__(cost)5"/>
      <sheetName val="7-_Service_Retrofit__(cost)5"/>
      <sheetName val="8-Service_PSA,O&amp;M__(cost)5"/>
      <sheetName val="9-_Service_L&amp;M__(cost)5"/>
      <sheetName val="non_fixed_DJC_5"/>
      <sheetName val="10-UPG_(cost)5"/>
      <sheetName val="11-ESG__(cost)5"/>
      <sheetName val="12-Products_(cost)5"/>
      <sheetName val="13-VAV__(cost)5"/>
      <sheetName val="14-REF_(cost)5"/>
      <sheetName val="15_-_Local_Chiller_(cost)5"/>
      <sheetName val="Selling-Local_Chiller5"/>
      <sheetName val="Material_Cost_JCS5"/>
      <sheetName val="Costing_USD_Chiller5"/>
      <sheetName val="Selling-USD_Chiller5"/>
      <sheetName val="PRICE_MATRIX_-JCIPL5"/>
      <sheetName val="COST_SUMMARY-_JCIPL5"/>
      <sheetName val="6_-FFT-JCIPL5"/>
      <sheetName val="7-Ser_Retro_-JCIPL5"/>
      <sheetName val="8-Ser_PSA,_O&amp;M_-JCIPL5"/>
      <sheetName val="9-Ser_L&amp;M_-JCIPL5"/>
      <sheetName val="10-UPG_JCIPL5"/>
      <sheetName val="11-ESG_JCIPL5"/>
      <sheetName val="12-Products_JCIPL5"/>
      <sheetName val="13-VAV_JCIPL5"/>
      <sheetName val="14-REF_JCMRL_5"/>
      <sheetName val="Proj__DJC-JCIPL5"/>
      <sheetName val="_L0_DDC_15"/>
      <sheetName val="L0_DDC-25"/>
      <sheetName val="L16_DDC-35"/>
      <sheetName val="L16_DDC-55"/>
      <sheetName val="L17_DDC-65"/>
      <sheetName val="L17_DDC-7_5"/>
      <sheetName val="L18_DDC-85"/>
      <sheetName val="2-AutoDialer_Sys5"/>
      <sheetName val="1-BAS1_(cost)5"/>
      <sheetName val="2-BAS2_(cost)5"/>
      <sheetName val="Deviations-Project_Risks5"/>
      <sheetName val="IO_Schedule5"/>
      <sheetName val="Direct_cost_shed_A-2_5"/>
      <sheetName val="Staff_Forecast_spread5"/>
      <sheetName val="Index_6"/>
      <sheetName val="Email_Approval_Template6"/>
      <sheetName val="1_Executive_Summary6"/>
      <sheetName val="2_Risk_Assessment_Analysis6"/>
      <sheetName val="3_Pre-Approval6"/>
      <sheetName val="4_CIS6"/>
      <sheetName val="5_Change_Order6"/>
      <sheetName val="5_1__Re-book_De-book_order6"/>
      <sheetName val="6_Contract_Re-estimates6"/>
      <sheetName val="7a_BG_Approval_Form6"/>
      <sheetName val="7b_BG_Email_Approval_Template6"/>
      <sheetName val="8_LAD_Approval_Form6"/>
      <sheetName val="9_LOI_Checklist6"/>
      <sheetName val="10_RPS_Information_Form6"/>
      <sheetName val="11_Proj_Cashflow_6"/>
      <sheetName val="11_1_Cash-flow_Chart6"/>
      <sheetName val="Threshold_Calculator6"/>
      <sheetName val="Version_Control6"/>
      <sheetName val="Prebid_Review6"/>
      <sheetName val="DJC_Parameters6"/>
      <sheetName val="Selling_Summary6"/>
      <sheetName val="1-BAS_(cost)6"/>
      <sheetName val="Controller_Configuration6"/>
      <sheetName val="IO_Summary6"/>
      <sheetName val="2-FAS_(cost)6"/>
      <sheetName val="Cost_Summary6"/>
      <sheetName val="3-PA_(cost)6"/>
      <sheetName val="Approved_Make6"/>
      <sheetName val="Basis_of_offer6"/>
      <sheetName val="High_Level_Summary6"/>
      <sheetName val="4-ACS__(cost)6"/>
      <sheetName val="5-CCTV__(cost)6"/>
      <sheetName val="6-FFT__(cost)6"/>
      <sheetName val="7-_Service_Retrofit__(cost)6"/>
      <sheetName val="8-Service_PSA,O&amp;M__(cost)6"/>
      <sheetName val="9-_Service_L&amp;M__(cost)6"/>
      <sheetName val="non_fixed_DJC_6"/>
      <sheetName val="10-UPG_(cost)6"/>
      <sheetName val="11-ESG__(cost)6"/>
      <sheetName val="12-Products_(cost)6"/>
      <sheetName val="13-VAV__(cost)6"/>
      <sheetName val="14-REF_(cost)6"/>
      <sheetName val="15_-_Local_Chiller_(cost)6"/>
      <sheetName val="Selling-Local_Chiller6"/>
      <sheetName val="Material_Cost_JCS6"/>
      <sheetName val="Costing_USD_Chiller6"/>
      <sheetName val="Selling-USD_Chiller6"/>
      <sheetName val="PRICE_MATRIX_-JCIPL6"/>
      <sheetName val="COST_SUMMARY-_JCIPL6"/>
      <sheetName val="6_-FFT-JCIPL6"/>
      <sheetName val="7-Ser_Retro_-JCIPL6"/>
      <sheetName val="8-Ser_PSA,_O&amp;M_-JCIPL6"/>
      <sheetName val="9-Ser_L&amp;M_-JCIPL6"/>
      <sheetName val="10-UPG_JCIPL6"/>
      <sheetName val="11-ESG_JCIPL6"/>
      <sheetName val="12-Products_JCIPL6"/>
      <sheetName val="13-VAV_JCIPL6"/>
      <sheetName val="14-REF_JCMRL_6"/>
      <sheetName val="Proj__DJC-JCIPL6"/>
      <sheetName val="_L0_DDC_16"/>
      <sheetName val="L0_DDC-26"/>
      <sheetName val="L16_DDC-36"/>
      <sheetName val="L16_DDC-56"/>
      <sheetName val="L17_DDC-66"/>
      <sheetName val="L17_DDC-7_6"/>
      <sheetName val="L18_DDC-86"/>
      <sheetName val="2-AutoDialer_Sys6"/>
      <sheetName val="1-BAS1_(cost)6"/>
      <sheetName val="2-BAS2_(cost)6"/>
      <sheetName val="Deviations-Project_Risks6"/>
      <sheetName val="IO_Schedule6"/>
      <sheetName val="Direct_cost_shed_A-2_6"/>
      <sheetName val="Staff_Forecast_spread6"/>
      <sheetName val="Index_8"/>
      <sheetName val="Email_Approval_Template8"/>
      <sheetName val="1_Executive_Summary8"/>
      <sheetName val="2_Risk_Assessment_Analysis8"/>
      <sheetName val="3_Pre-Approval8"/>
      <sheetName val="4_CIS8"/>
      <sheetName val="5_Change_Order8"/>
      <sheetName val="5_1__Re-book_De-book_order8"/>
      <sheetName val="6_Contract_Re-estimates8"/>
      <sheetName val="7a_BG_Approval_Form8"/>
      <sheetName val="7b_BG_Email_Approval_Template8"/>
      <sheetName val="8_LAD_Approval_Form8"/>
      <sheetName val="9_LOI_Checklist8"/>
      <sheetName val="10_RPS_Information_Form8"/>
      <sheetName val="11_Proj_Cashflow_8"/>
      <sheetName val="11_1_Cash-flow_Chart8"/>
      <sheetName val="Threshold_Calculator8"/>
      <sheetName val="Version_Control8"/>
      <sheetName val="Prebid_Review8"/>
      <sheetName val="DJC_Parameters8"/>
      <sheetName val="Selling_Summary8"/>
      <sheetName val="1-BAS_(cost)8"/>
      <sheetName val="Controller_Configuration8"/>
      <sheetName val="IO_Summary8"/>
      <sheetName val="2-FAS_(cost)8"/>
      <sheetName val="Cost_Summary8"/>
      <sheetName val="3-PA_(cost)8"/>
      <sheetName val="Approved_Make8"/>
      <sheetName val="Basis_of_offer8"/>
      <sheetName val="High_Level_Summary8"/>
      <sheetName val="4-ACS__(cost)8"/>
      <sheetName val="5-CCTV__(cost)8"/>
      <sheetName val="6-FFT__(cost)8"/>
      <sheetName val="7-_Service_Retrofit__(cost)8"/>
      <sheetName val="8-Service_PSA,O&amp;M__(cost)8"/>
      <sheetName val="9-_Service_L&amp;M__(cost)8"/>
      <sheetName val="non_fixed_DJC_8"/>
      <sheetName val="10-UPG_(cost)8"/>
      <sheetName val="11-ESG__(cost)8"/>
      <sheetName val="12-Products_(cost)8"/>
      <sheetName val="13-VAV__(cost)8"/>
      <sheetName val="14-REF_(cost)8"/>
      <sheetName val="15_-_Local_Chiller_(cost)8"/>
      <sheetName val="Selling-Local_Chiller8"/>
      <sheetName val="Material_Cost_JCS8"/>
      <sheetName val="Costing_USD_Chiller8"/>
      <sheetName val="Selling-USD_Chiller8"/>
      <sheetName val="PRICE_MATRIX_-JCIPL8"/>
      <sheetName val="COST_SUMMARY-_JCIPL8"/>
      <sheetName val="6_-FFT-JCIPL8"/>
      <sheetName val="7-Ser_Retro_-JCIPL8"/>
      <sheetName val="8-Ser_PSA,_O&amp;M_-JCIPL8"/>
      <sheetName val="9-Ser_L&amp;M_-JCIPL8"/>
      <sheetName val="10-UPG_JCIPL8"/>
      <sheetName val="11-ESG_JCIPL8"/>
      <sheetName val="12-Products_JCIPL8"/>
      <sheetName val="13-VAV_JCIPL8"/>
      <sheetName val="14-REF_JCMRL_8"/>
      <sheetName val="Proj__DJC-JCIPL8"/>
      <sheetName val="_L0_DDC_18"/>
      <sheetName val="L0_DDC-28"/>
      <sheetName val="L16_DDC-38"/>
      <sheetName val="L16_DDC-58"/>
      <sheetName val="L17_DDC-68"/>
      <sheetName val="L17_DDC-7_8"/>
      <sheetName val="L18_DDC-88"/>
      <sheetName val="2-AutoDialer_Sys8"/>
      <sheetName val="1-BAS1_(cost)8"/>
      <sheetName val="2-BAS2_(cost)8"/>
      <sheetName val="Deviations-Project_Risks8"/>
      <sheetName val="IO_Schedule8"/>
      <sheetName val="Direct_cost_shed_A-2_8"/>
      <sheetName val="Staff_Forecast_spread8"/>
      <sheetName val="PRRM_Dashboard18"/>
      <sheetName val="PRRM_Dashboard12"/>
      <sheetName val="PRRM_Dashboard15"/>
      <sheetName val="Debits_as_on_12_04_0814"/>
      <sheetName val="Index_14"/>
      <sheetName val="Email_Approval_Template14"/>
      <sheetName val="1_Executive_Summary14"/>
      <sheetName val="2_Risk_Assessment_Analysis14"/>
      <sheetName val="3_Pre-Approval14"/>
      <sheetName val="4_CIS14"/>
      <sheetName val="5_Change_Order14"/>
      <sheetName val="5_1__Re-book_De-book_order14"/>
      <sheetName val="6_Contract_Re-estimates14"/>
      <sheetName val="7a_BG_Approval_Form14"/>
      <sheetName val="7b_BG_Email_Approval_Template14"/>
      <sheetName val="8_LAD_Approval_Form14"/>
      <sheetName val="9_LOI_Checklist14"/>
      <sheetName val="10_RPS_Information_Form14"/>
      <sheetName val="11_Proj_Cashflow_14"/>
      <sheetName val="11_1_Cash-flow_Chart14"/>
      <sheetName val="Threshold_Calculator14"/>
      <sheetName val="Version_Control14"/>
      <sheetName val="Prebid_Review14"/>
      <sheetName val="DJC_Parameters14"/>
      <sheetName val="Selling_Summary14"/>
      <sheetName val="1-BAS_(cost)14"/>
      <sheetName val="Controller_Configuration14"/>
      <sheetName val="IO_Summary14"/>
      <sheetName val="2-FAS_(cost)14"/>
      <sheetName val="Cost_Summary14"/>
      <sheetName val="3-PA_(cost)14"/>
      <sheetName val="Approved_Make14"/>
      <sheetName val="Basis_of_offer14"/>
      <sheetName val="High_Level_Summary14"/>
      <sheetName val="4-ACS__(cost)14"/>
      <sheetName val="5-CCTV__(cost)14"/>
      <sheetName val="6-FFT__(cost)14"/>
      <sheetName val="7-_Service_Retrofit__(cost)14"/>
      <sheetName val="8-Service_PSA,O&amp;M__(cost)14"/>
      <sheetName val="9-_Service_L&amp;M__(cost)14"/>
      <sheetName val="non_fixed_DJC_14"/>
      <sheetName val="10-UPG_(cost)14"/>
      <sheetName val="11-ESG__(cost)14"/>
      <sheetName val="12-Products_(cost)14"/>
      <sheetName val="13-VAV__(cost)14"/>
      <sheetName val="14-REF_(cost)14"/>
      <sheetName val="15_-_Local_Chiller_(cost)14"/>
      <sheetName val="Selling-Local_Chiller14"/>
      <sheetName val="Material_Cost_JCS14"/>
      <sheetName val="Costing_USD_Chiller14"/>
      <sheetName val="Selling-USD_Chiller14"/>
      <sheetName val="PRICE_MATRIX_-JCIPL14"/>
      <sheetName val="COST_SUMMARY-_JCIPL14"/>
      <sheetName val="6_-FFT-JCIPL14"/>
      <sheetName val="7-Ser_Retro_-JCIPL14"/>
      <sheetName val="8-Ser_PSA,_O&amp;M_-JCIPL14"/>
      <sheetName val="9-Ser_L&amp;M_-JCIPL14"/>
      <sheetName val="10-UPG_JCIPL14"/>
      <sheetName val="11-ESG_JCIPL14"/>
      <sheetName val="12-Products_JCIPL14"/>
      <sheetName val="13-VAV_JCIPL14"/>
      <sheetName val="14-REF_JCMRL_14"/>
      <sheetName val="Proj__DJC-JCIPL14"/>
      <sheetName val="_L0_DDC_114"/>
      <sheetName val="L0_DDC-214"/>
      <sheetName val="L16_DDC-314"/>
      <sheetName val="L16_DDC-514"/>
      <sheetName val="L17_DDC-614"/>
      <sheetName val="L17_DDC-7_14"/>
      <sheetName val="L18_DDC-814"/>
      <sheetName val="2-AutoDialer_Sys14"/>
      <sheetName val="1-BAS1_(cost)14"/>
      <sheetName val="2-BAS2_(cost)14"/>
      <sheetName val="Deviations-Project_Risks14"/>
      <sheetName val="IO_Schedule14"/>
      <sheetName val="Direct_cost_shed_A-2_14"/>
      <sheetName val="Staff_Forecast_spread14"/>
      <sheetName val="PRRM_Dashboard14"/>
      <sheetName val="Index_13"/>
      <sheetName val="Email_Approval_Template13"/>
      <sheetName val="1_Executive_Summary13"/>
      <sheetName val="2_Risk_Assessment_Analysis13"/>
      <sheetName val="3_Pre-Approval13"/>
      <sheetName val="4_CIS13"/>
      <sheetName val="5_Change_Order13"/>
      <sheetName val="5_1__Re-book_De-book_order13"/>
      <sheetName val="6_Contract_Re-estimates13"/>
      <sheetName val="7a_BG_Approval_Form13"/>
      <sheetName val="7b_BG_Email_Approval_Template13"/>
      <sheetName val="8_LAD_Approval_Form13"/>
      <sheetName val="9_LOI_Checklist13"/>
      <sheetName val="10_RPS_Information_Form13"/>
      <sheetName val="11_Proj_Cashflow_13"/>
      <sheetName val="11_1_Cash-flow_Chart13"/>
      <sheetName val="Threshold_Calculator13"/>
      <sheetName val="Version_Control13"/>
      <sheetName val="Prebid_Review13"/>
      <sheetName val="DJC_Parameters13"/>
      <sheetName val="Selling_Summary13"/>
      <sheetName val="1-BAS_(cost)13"/>
      <sheetName val="Controller_Configuration13"/>
      <sheetName val="IO_Summary13"/>
      <sheetName val="2-FAS_(cost)13"/>
      <sheetName val="Cost_Summary13"/>
      <sheetName val="3-PA_(cost)13"/>
      <sheetName val="Approved_Make13"/>
      <sheetName val="Basis_of_offer13"/>
      <sheetName val="High_Level_Summary13"/>
      <sheetName val="4-ACS__(cost)13"/>
      <sheetName val="5-CCTV__(cost)13"/>
      <sheetName val="6-FFT__(cost)13"/>
      <sheetName val="7-_Service_Retrofit__(cost)13"/>
      <sheetName val="8-Service_PSA,O&amp;M__(cost)13"/>
      <sheetName val="9-_Service_L&amp;M__(cost)13"/>
      <sheetName val="non_fixed_DJC_13"/>
      <sheetName val="10-UPG_(cost)13"/>
      <sheetName val="11-ESG__(cost)13"/>
      <sheetName val="12-Products_(cost)13"/>
      <sheetName val="13-VAV__(cost)13"/>
      <sheetName val="14-REF_(cost)13"/>
      <sheetName val="15_-_Local_Chiller_(cost)13"/>
      <sheetName val="Selling-Local_Chiller13"/>
      <sheetName val="Material_Cost_JCS13"/>
      <sheetName val="Costing_USD_Chiller13"/>
      <sheetName val="Selling-USD_Chiller13"/>
      <sheetName val="PRICE_MATRIX_-JCIPL13"/>
      <sheetName val="COST_SUMMARY-_JCIPL13"/>
      <sheetName val="6_-FFT-JCIPL13"/>
      <sheetName val="7-Ser_Retro_-JCIPL13"/>
      <sheetName val="8-Ser_PSA,_O&amp;M_-JCIPL13"/>
      <sheetName val="9-Ser_L&amp;M_-JCIPL13"/>
      <sheetName val="10-UPG_JCIPL13"/>
      <sheetName val="11-ESG_JCIPL13"/>
      <sheetName val="12-Products_JCIPL13"/>
      <sheetName val="13-VAV_JCIPL13"/>
      <sheetName val="14-REF_JCMRL_13"/>
      <sheetName val="Proj__DJC-JCIPL13"/>
      <sheetName val="_L0_DDC_113"/>
      <sheetName val="L0_DDC-213"/>
      <sheetName val="L16_DDC-313"/>
      <sheetName val="L16_DDC-513"/>
      <sheetName val="L17_DDC-613"/>
      <sheetName val="L17_DDC-7_13"/>
      <sheetName val="L18_DDC-813"/>
      <sheetName val="2-AutoDialer_Sys13"/>
      <sheetName val="1-BAS1_(cost)13"/>
      <sheetName val="2-BAS2_(cost)13"/>
      <sheetName val="Deviations-Project_Risks13"/>
      <sheetName val="IO_Schedule13"/>
      <sheetName val="Debits_as_on_12_04_0813"/>
      <sheetName val="Direct_cost_shed_A-2_13"/>
      <sheetName val="Staff_Forecast_spread13"/>
      <sheetName val="PRRM_Dashboard13"/>
      <sheetName val="Index_12"/>
      <sheetName val="Email_Approval_Template12"/>
      <sheetName val="1_Executive_Summary12"/>
      <sheetName val="2_Risk_Assessment_Analysis12"/>
      <sheetName val="3_Pre-Approval12"/>
      <sheetName val="4_CIS12"/>
      <sheetName val="5_Change_Order12"/>
      <sheetName val="5_1__Re-book_De-book_order12"/>
      <sheetName val="6_Contract_Re-estimates12"/>
      <sheetName val="7a_BG_Approval_Form12"/>
      <sheetName val="7b_BG_Email_Approval_Template12"/>
      <sheetName val="8_LAD_Approval_Form12"/>
      <sheetName val="9_LOI_Checklist12"/>
      <sheetName val="10_RPS_Information_Form12"/>
      <sheetName val="11_Proj_Cashflow_12"/>
      <sheetName val="11_1_Cash-flow_Chart12"/>
      <sheetName val="Threshold_Calculator12"/>
      <sheetName val="Version_Control12"/>
      <sheetName val="Prebid_Review12"/>
      <sheetName val="DJC_Parameters12"/>
      <sheetName val="Selling_Summary12"/>
      <sheetName val="1-BAS_(cost)12"/>
      <sheetName val="Controller_Configuration12"/>
      <sheetName val="IO_Summary12"/>
      <sheetName val="2-FAS_(cost)12"/>
      <sheetName val="Cost_Summary12"/>
      <sheetName val="3-PA_(cost)12"/>
      <sheetName val="Approved_Make12"/>
      <sheetName val="Basis_of_offer12"/>
      <sheetName val="High_Level_Summary12"/>
      <sheetName val="4-ACS__(cost)12"/>
      <sheetName val="5-CCTV__(cost)12"/>
      <sheetName val="6-FFT__(cost)12"/>
      <sheetName val="7-_Service_Retrofit__(cost)12"/>
      <sheetName val="8-Service_PSA,O&amp;M__(cost)12"/>
      <sheetName val="9-_Service_L&amp;M__(cost)12"/>
      <sheetName val="non_fixed_DJC_12"/>
      <sheetName val="10-UPG_(cost)12"/>
      <sheetName val="11-ESG__(cost)12"/>
      <sheetName val="12-Products_(cost)12"/>
      <sheetName val="13-VAV__(cost)12"/>
      <sheetName val="14-REF_(cost)12"/>
      <sheetName val="15_-_Local_Chiller_(cost)12"/>
      <sheetName val="Selling-Local_Chiller12"/>
      <sheetName val="Material_Cost_JCS12"/>
      <sheetName val="Costing_USD_Chiller12"/>
      <sheetName val="Selling-USD_Chiller12"/>
      <sheetName val="PRICE_MATRIX_-JCIPL12"/>
      <sheetName val="COST_SUMMARY-_JCIPL12"/>
      <sheetName val="6_-FFT-JCIPL12"/>
      <sheetName val="7-Ser_Retro_-JCIPL12"/>
      <sheetName val="8-Ser_PSA,_O&amp;M_-JCIPL12"/>
      <sheetName val="9-Ser_L&amp;M_-JCIPL12"/>
      <sheetName val="10-UPG_JCIPL12"/>
      <sheetName val="11-ESG_JCIPL12"/>
      <sheetName val="12-Products_JCIPL12"/>
      <sheetName val="13-VAV_JCIPL12"/>
      <sheetName val="14-REF_JCMRL_12"/>
      <sheetName val="Proj__DJC-JCIPL12"/>
      <sheetName val="_L0_DDC_112"/>
      <sheetName val="L0_DDC-212"/>
      <sheetName val="L16_DDC-312"/>
      <sheetName val="L16_DDC-512"/>
      <sheetName val="L17_DDC-612"/>
      <sheetName val="L17_DDC-7_12"/>
      <sheetName val="L18_DDC-812"/>
      <sheetName val="2-AutoDialer_Sys12"/>
      <sheetName val="1-BAS1_(cost)12"/>
      <sheetName val="2-BAS2_(cost)12"/>
      <sheetName val="Deviations-Project_Risks12"/>
      <sheetName val="IO_Schedule12"/>
      <sheetName val="Debits_as_on_12_04_0812"/>
      <sheetName val="Direct_cost_shed_A-2_12"/>
      <sheetName val="Staff_Forecast_spread12"/>
      <sheetName val="Index_11"/>
      <sheetName val="Email_Approval_Template11"/>
      <sheetName val="1_Executive_Summary11"/>
      <sheetName val="2_Risk_Assessment_Analysis11"/>
      <sheetName val="3_Pre-Approval11"/>
      <sheetName val="4_CIS11"/>
      <sheetName val="5_Change_Order11"/>
      <sheetName val="5_1__Re-book_De-book_order11"/>
      <sheetName val="6_Contract_Re-estimates11"/>
      <sheetName val="7a_BG_Approval_Form11"/>
      <sheetName val="7b_BG_Email_Approval_Template11"/>
      <sheetName val="8_LAD_Approval_Form11"/>
      <sheetName val="9_LOI_Checklist11"/>
      <sheetName val="10_RPS_Information_Form11"/>
      <sheetName val="11_Proj_Cashflow_11"/>
      <sheetName val="11_1_Cash-flow_Chart11"/>
      <sheetName val="Threshold_Calculator11"/>
      <sheetName val="Version_Control11"/>
      <sheetName val="Prebid_Review11"/>
      <sheetName val="DJC_Parameters11"/>
      <sheetName val="Selling_Summary11"/>
      <sheetName val="1-BAS_(cost)11"/>
      <sheetName val="Controller_Configuration11"/>
      <sheetName val="IO_Summary11"/>
      <sheetName val="2-FAS_(cost)11"/>
      <sheetName val="Cost_Summary11"/>
      <sheetName val="3-PA_(cost)11"/>
      <sheetName val="Approved_Make11"/>
      <sheetName val="Basis_of_offer11"/>
      <sheetName val="High_Level_Summary11"/>
      <sheetName val="4-ACS__(cost)11"/>
      <sheetName val="5-CCTV__(cost)11"/>
      <sheetName val="6-FFT__(cost)11"/>
      <sheetName val="7-_Service_Retrofit__(cost)11"/>
      <sheetName val="8-Service_PSA,O&amp;M__(cost)11"/>
      <sheetName val="9-_Service_L&amp;M__(cost)11"/>
      <sheetName val="non_fixed_DJC_11"/>
      <sheetName val="10-UPG_(cost)11"/>
      <sheetName val="11-ESG__(cost)11"/>
      <sheetName val="12-Products_(cost)11"/>
      <sheetName val="13-VAV__(cost)11"/>
      <sheetName val="14-REF_(cost)11"/>
      <sheetName val="15_-_Local_Chiller_(cost)11"/>
      <sheetName val="Selling-Local_Chiller11"/>
      <sheetName val="Material_Cost_JCS11"/>
      <sheetName val="Costing_USD_Chiller11"/>
      <sheetName val="Selling-USD_Chiller11"/>
      <sheetName val="PRICE_MATRIX_-JCIPL11"/>
      <sheetName val="COST_SUMMARY-_JCIPL11"/>
      <sheetName val="6_-FFT-JCIPL11"/>
      <sheetName val="7-Ser_Retro_-JCIPL11"/>
      <sheetName val="8-Ser_PSA,_O&amp;M_-JCIPL11"/>
      <sheetName val="9-Ser_L&amp;M_-JCIPL11"/>
      <sheetName val="10-UPG_JCIPL11"/>
      <sheetName val="11-ESG_JCIPL11"/>
      <sheetName val="12-Products_JCIPL11"/>
      <sheetName val="13-VAV_JCIPL11"/>
      <sheetName val="14-REF_JCMRL_11"/>
      <sheetName val="Proj__DJC-JCIPL11"/>
      <sheetName val="_L0_DDC_111"/>
      <sheetName val="L0_DDC-211"/>
      <sheetName val="L16_DDC-311"/>
      <sheetName val="L16_DDC-511"/>
      <sheetName val="L17_DDC-611"/>
      <sheetName val="L17_DDC-7_11"/>
      <sheetName val="L18_DDC-811"/>
      <sheetName val="2-AutoDialer_Sys11"/>
      <sheetName val="1-BAS1_(cost)11"/>
      <sheetName val="2-BAS2_(cost)11"/>
      <sheetName val="Deviations-Project_Risks11"/>
      <sheetName val="IO_Schedule11"/>
      <sheetName val="Direct_cost_shed_A-2_11"/>
      <sheetName val="Staff_Forecast_spread11"/>
      <sheetName val="PRRM_Dashboard16"/>
      <sheetName val="Index_15"/>
      <sheetName val="Email_Approval_Template15"/>
      <sheetName val="1_Executive_Summary15"/>
      <sheetName val="2_Risk_Assessment_Analysis15"/>
      <sheetName val="3_Pre-Approval15"/>
      <sheetName val="4_CIS15"/>
      <sheetName val="5_Change_Order15"/>
      <sheetName val="5_1__Re-book_De-book_order15"/>
      <sheetName val="6_Contract_Re-estimates15"/>
      <sheetName val="7a_BG_Approval_Form15"/>
      <sheetName val="7b_BG_Email_Approval_Template15"/>
      <sheetName val="8_LAD_Approval_Form15"/>
      <sheetName val="9_LOI_Checklist15"/>
      <sheetName val="10_RPS_Information_Form15"/>
      <sheetName val="11_Proj_Cashflow_15"/>
      <sheetName val="11_1_Cash-flow_Chart15"/>
      <sheetName val="Threshold_Calculator15"/>
      <sheetName val="Version_Control15"/>
      <sheetName val="Prebid_Review15"/>
      <sheetName val="DJC_Parameters15"/>
      <sheetName val="Selling_Summary15"/>
      <sheetName val="1-BAS_(cost)15"/>
      <sheetName val="Controller_Configuration15"/>
      <sheetName val="IO_Summary15"/>
      <sheetName val="2-FAS_(cost)15"/>
      <sheetName val="Cost_Summary15"/>
      <sheetName val="3-PA_(cost)15"/>
      <sheetName val="Approved_Make15"/>
      <sheetName val="Basis_of_offer15"/>
      <sheetName val="High_Level_Summary15"/>
      <sheetName val="4-ACS__(cost)15"/>
      <sheetName val="5-CCTV__(cost)15"/>
      <sheetName val="6-FFT__(cost)15"/>
      <sheetName val="7-_Service_Retrofit__(cost)15"/>
      <sheetName val="8-Service_PSA,O&amp;M__(cost)15"/>
      <sheetName val="9-_Service_L&amp;M__(cost)15"/>
      <sheetName val="non_fixed_DJC_15"/>
      <sheetName val="10-UPG_(cost)15"/>
      <sheetName val="11-ESG__(cost)15"/>
      <sheetName val="12-Products_(cost)15"/>
      <sheetName val="13-VAV__(cost)15"/>
      <sheetName val="14-REF_(cost)15"/>
      <sheetName val="15_-_Local_Chiller_(cost)15"/>
      <sheetName val="Selling-Local_Chiller15"/>
      <sheetName val="Material_Cost_JCS15"/>
      <sheetName val="Costing_USD_Chiller15"/>
      <sheetName val="Selling-USD_Chiller15"/>
      <sheetName val="PRICE_MATRIX_-JCIPL15"/>
      <sheetName val="COST_SUMMARY-_JCIPL15"/>
      <sheetName val="6_-FFT-JCIPL15"/>
      <sheetName val="7-Ser_Retro_-JCIPL15"/>
      <sheetName val="8-Ser_PSA,_O&amp;M_-JCIPL15"/>
      <sheetName val="9-Ser_L&amp;M_-JCIPL15"/>
      <sheetName val="10-UPG_JCIPL15"/>
      <sheetName val="11-ESG_JCIPL15"/>
      <sheetName val="12-Products_JCIPL15"/>
      <sheetName val="13-VAV_JCIPL15"/>
      <sheetName val="14-REF_JCMRL_15"/>
      <sheetName val="Proj__DJC-JCIPL15"/>
      <sheetName val="_L0_DDC_115"/>
      <sheetName val="L0_DDC-215"/>
      <sheetName val="L16_DDC-315"/>
      <sheetName val="L16_DDC-515"/>
      <sheetName val="L17_DDC-615"/>
      <sheetName val="L17_DDC-7_15"/>
      <sheetName val="L18_DDC-815"/>
      <sheetName val="2-AutoDialer_Sys15"/>
      <sheetName val="1-BAS1_(cost)15"/>
      <sheetName val="2-BAS2_(cost)15"/>
      <sheetName val="Deviations-Project_Risks15"/>
      <sheetName val="IO_Schedule15"/>
      <sheetName val="Debits_as_on_12_04_0815"/>
      <sheetName val="Direct_cost_shed_A-2_15"/>
      <sheetName val="Staff_Forecast_spread15"/>
      <sheetName val="PRRM_Dashboard17"/>
      <sheetName val="Index_16"/>
      <sheetName val="Email_Approval_Template16"/>
      <sheetName val="1_Executive_Summary16"/>
      <sheetName val="2_Risk_Assessment_Analysis16"/>
      <sheetName val="3_Pre-Approval16"/>
      <sheetName val="4_CIS16"/>
      <sheetName val="5_Change_Order16"/>
      <sheetName val="5_1__Re-book_De-book_order16"/>
      <sheetName val="6_Contract_Re-estimates16"/>
      <sheetName val="7a_BG_Approval_Form16"/>
      <sheetName val="7b_BG_Email_Approval_Template16"/>
      <sheetName val="8_LAD_Approval_Form16"/>
      <sheetName val="9_LOI_Checklist16"/>
      <sheetName val="10_RPS_Information_Form16"/>
      <sheetName val="11_Proj_Cashflow_16"/>
      <sheetName val="11_1_Cash-flow_Chart16"/>
      <sheetName val="Threshold_Calculator16"/>
      <sheetName val="Version_Control16"/>
      <sheetName val="Prebid_Review16"/>
      <sheetName val="DJC_Parameters16"/>
      <sheetName val="Selling_Summary16"/>
      <sheetName val="1-BAS_(cost)16"/>
      <sheetName val="Controller_Configuration16"/>
      <sheetName val="IO_Summary16"/>
      <sheetName val="2-FAS_(cost)16"/>
      <sheetName val="Cost_Summary16"/>
      <sheetName val="3-PA_(cost)16"/>
      <sheetName val="Approved_Make16"/>
      <sheetName val="Basis_of_offer16"/>
      <sheetName val="High_Level_Summary16"/>
      <sheetName val="4-ACS__(cost)16"/>
      <sheetName val="5-CCTV__(cost)16"/>
      <sheetName val="6-FFT__(cost)16"/>
      <sheetName val="7-_Service_Retrofit__(cost)16"/>
      <sheetName val="8-Service_PSA,O&amp;M__(cost)16"/>
      <sheetName val="9-_Service_L&amp;M__(cost)16"/>
      <sheetName val="non_fixed_DJC_16"/>
      <sheetName val="10-UPG_(cost)16"/>
      <sheetName val="11-ESG__(cost)16"/>
      <sheetName val="12-Products_(cost)16"/>
      <sheetName val="13-VAV__(cost)16"/>
      <sheetName val="14-REF_(cost)16"/>
      <sheetName val="15_-_Local_Chiller_(cost)16"/>
      <sheetName val="Selling-Local_Chiller16"/>
      <sheetName val="Material_Cost_JCS16"/>
      <sheetName val="Costing_USD_Chiller16"/>
      <sheetName val="Selling-USD_Chiller16"/>
      <sheetName val="PRICE_MATRIX_-JCIPL16"/>
      <sheetName val="COST_SUMMARY-_JCIPL16"/>
      <sheetName val="6_-FFT-JCIPL16"/>
      <sheetName val="7-Ser_Retro_-JCIPL16"/>
      <sheetName val="8-Ser_PSA,_O&amp;M_-JCIPL16"/>
      <sheetName val="9-Ser_L&amp;M_-JCIPL16"/>
      <sheetName val="10-UPG_JCIPL16"/>
      <sheetName val="11-ESG_JCIPL16"/>
      <sheetName val="12-Products_JCIPL16"/>
      <sheetName val="13-VAV_JCIPL16"/>
      <sheetName val="14-REF_JCMRL_16"/>
      <sheetName val="Proj__DJC-JCIPL16"/>
      <sheetName val="_L0_DDC_116"/>
      <sheetName val="L0_DDC-216"/>
      <sheetName val="L16_DDC-316"/>
      <sheetName val="L16_DDC-516"/>
      <sheetName val="L17_DDC-616"/>
      <sheetName val="L17_DDC-7_16"/>
      <sheetName val="L18_DDC-816"/>
      <sheetName val="2-AutoDialer_Sys16"/>
      <sheetName val="1-BAS1_(cost)16"/>
      <sheetName val="2-BAS2_(cost)16"/>
      <sheetName val="Deviations-Project_Risks16"/>
      <sheetName val="IO_Schedule16"/>
      <sheetName val="Debits_as_on_12_04_0816"/>
      <sheetName val="Direct_cost_shed_A-2_16"/>
      <sheetName val="Staff_Forecast_spread16"/>
      <sheetName val="PRRM_Dashboard19"/>
      <sheetName val="Debits_as_on_12_04_0817"/>
      <sheetName val="Index_17"/>
      <sheetName val="Email_Approval_Template17"/>
      <sheetName val="1_Executive_Summary17"/>
      <sheetName val="2_Risk_Assessment_Analysis17"/>
      <sheetName val="3_Pre-Approval17"/>
      <sheetName val="4_CIS17"/>
      <sheetName val="5_Change_Order17"/>
      <sheetName val="5_1__Re-book_De-book_order17"/>
      <sheetName val="6_Contract_Re-estimates17"/>
      <sheetName val="7a_BG_Approval_Form17"/>
      <sheetName val="7b_BG_Email_Approval_Template17"/>
      <sheetName val="8_LAD_Approval_Form17"/>
      <sheetName val="9_LOI_Checklist17"/>
      <sheetName val="10_RPS_Information_Form17"/>
      <sheetName val="11_Proj_Cashflow_17"/>
      <sheetName val="11_1_Cash-flow_Chart17"/>
      <sheetName val="Threshold_Calculator17"/>
      <sheetName val="Version_Control17"/>
      <sheetName val="Prebid_Review17"/>
      <sheetName val="DJC_Parameters17"/>
      <sheetName val="Selling_Summary17"/>
      <sheetName val="1-BAS_(cost)17"/>
      <sheetName val="Controller_Configuration17"/>
      <sheetName val="IO_Summary17"/>
      <sheetName val="2-FAS_(cost)17"/>
      <sheetName val="Cost_Summary17"/>
      <sheetName val="3-PA_(cost)17"/>
      <sheetName val="Approved_Make17"/>
      <sheetName val="Basis_of_offer17"/>
      <sheetName val="High_Level_Summary17"/>
      <sheetName val="4-ACS__(cost)17"/>
      <sheetName val="5-CCTV__(cost)17"/>
      <sheetName val="6-FFT__(cost)17"/>
      <sheetName val="7-_Service_Retrofit__(cost)17"/>
      <sheetName val="8-Service_PSA,O&amp;M__(cost)17"/>
      <sheetName val="9-_Service_L&amp;M__(cost)17"/>
      <sheetName val="non_fixed_DJC_17"/>
      <sheetName val="10-UPG_(cost)17"/>
      <sheetName val="11-ESG__(cost)17"/>
      <sheetName val="12-Products_(cost)17"/>
      <sheetName val="13-VAV__(cost)17"/>
      <sheetName val="14-REF_(cost)17"/>
      <sheetName val="15_-_Local_Chiller_(cost)17"/>
      <sheetName val="Selling-Local_Chiller17"/>
      <sheetName val="Material_Cost_JCS17"/>
      <sheetName val="Costing_USD_Chiller17"/>
      <sheetName val="Selling-USD_Chiller17"/>
      <sheetName val="PRICE_MATRIX_-JCIPL17"/>
      <sheetName val="COST_SUMMARY-_JCIPL17"/>
      <sheetName val="6_-FFT-JCIPL17"/>
      <sheetName val="7-Ser_Retro_-JCIPL17"/>
      <sheetName val="8-Ser_PSA,_O&amp;M_-JCIPL17"/>
      <sheetName val="9-Ser_L&amp;M_-JCIPL17"/>
      <sheetName val="10-UPG_JCIPL17"/>
      <sheetName val="11-ESG_JCIPL17"/>
      <sheetName val="12-Products_JCIPL17"/>
      <sheetName val="13-VAV_JCIPL17"/>
      <sheetName val="14-REF_JCMRL_17"/>
      <sheetName val="Proj__DJC-JCIPL17"/>
      <sheetName val="_L0_DDC_117"/>
      <sheetName val="L0_DDC-217"/>
      <sheetName val="L16_DDC-317"/>
      <sheetName val="L16_DDC-517"/>
      <sheetName val="L17_DDC-617"/>
      <sheetName val="L17_DDC-7_17"/>
      <sheetName val="L18_DDC-817"/>
      <sheetName val="2-AutoDialer_Sys17"/>
      <sheetName val="1-BAS1_(cost)17"/>
      <sheetName val="2-BAS2_(cost)17"/>
      <sheetName val="Deviations-Project_Risks17"/>
      <sheetName val="IO_Schedule17"/>
      <sheetName val="Direct_cost_shed_A-2_17"/>
      <sheetName val="Staff_Forecast_spread17"/>
      <sheetName val="PRRM_Dashboard20"/>
      <sheetName val="Debits_as_on_12_04_0818"/>
      <sheetName val="Index_18"/>
      <sheetName val="Email_Approval_Template18"/>
      <sheetName val="1_Executive_Summary18"/>
      <sheetName val="2_Risk_Assessment_Analysis18"/>
      <sheetName val="3_Pre-Approval18"/>
      <sheetName val="4_CIS18"/>
      <sheetName val="5_Change_Order18"/>
      <sheetName val="5_1__Re-book_De-book_order18"/>
      <sheetName val="6_Contract_Re-estimates18"/>
      <sheetName val="7a_BG_Approval_Form18"/>
      <sheetName val="7b_BG_Email_Approval_Template18"/>
      <sheetName val="8_LAD_Approval_Form18"/>
      <sheetName val="9_LOI_Checklist18"/>
      <sheetName val="10_RPS_Information_Form18"/>
      <sheetName val="11_Proj_Cashflow_18"/>
      <sheetName val="11_1_Cash-flow_Chart18"/>
      <sheetName val="Threshold_Calculator18"/>
      <sheetName val="Version_Control18"/>
      <sheetName val="Prebid_Review18"/>
      <sheetName val="DJC_Parameters18"/>
      <sheetName val="Selling_Summary18"/>
      <sheetName val="1-BAS_(cost)18"/>
      <sheetName val="Controller_Configuration18"/>
      <sheetName val="IO_Summary18"/>
      <sheetName val="2-FAS_(cost)18"/>
      <sheetName val="Cost_Summary18"/>
      <sheetName val="3-PA_(cost)18"/>
      <sheetName val="Approved_Make18"/>
      <sheetName val="Basis_of_offer18"/>
      <sheetName val="High_Level_Summary18"/>
      <sheetName val="4-ACS__(cost)18"/>
      <sheetName val="5-CCTV__(cost)18"/>
      <sheetName val="6-FFT__(cost)18"/>
      <sheetName val="7-_Service_Retrofit__(cost)18"/>
      <sheetName val="8-Service_PSA,O&amp;M__(cost)18"/>
      <sheetName val="9-_Service_L&amp;M__(cost)18"/>
      <sheetName val="non_fixed_DJC_18"/>
      <sheetName val="10-UPG_(cost)18"/>
      <sheetName val="11-ESG__(cost)18"/>
      <sheetName val="12-Products_(cost)18"/>
      <sheetName val="13-VAV__(cost)18"/>
      <sheetName val="14-REF_(cost)18"/>
      <sheetName val="15_-_Local_Chiller_(cost)18"/>
      <sheetName val="Selling-Local_Chiller18"/>
      <sheetName val="Material_Cost_JCS18"/>
      <sheetName val="Costing_USD_Chiller18"/>
      <sheetName val="Selling-USD_Chiller18"/>
      <sheetName val="PRICE_MATRIX_-JCIPL18"/>
      <sheetName val="COST_SUMMARY-_JCIPL18"/>
      <sheetName val="6_-FFT-JCIPL18"/>
      <sheetName val="7-Ser_Retro_-JCIPL18"/>
      <sheetName val="8-Ser_PSA,_O&amp;M_-JCIPL18"/>
      <sheetName val="9-Ser_L&amp;M_-JCIPL18"/>
      <sheetName val="10-UPG_JCIPL18"/>
      <sheetName val="11-ESG_JCIPL18"/>
      <sheetName val="12-Products_JCIPL18"/>
      <sheetName val="13-VAV_JCIPL18"/>
      <sheetName val="14-REF_JCMRL_18"/>
      <sheetName val="Proj__DJC-JCIPL18"/>
      <sheetName val="_L0_DDC_118"/>
      <sheetName val="L0_DDC-218"/>
      <sheetName val="L16_DDC-318"/>
      <sheetName val="L16_DDC-518"/>
      <sheetName val="L17_DDC-618"/>
      <sheetName val="L17_DDC-7_18"/>
      <sheetName val="L18_DDC-818"/>
      <sheetName val="2-AutoDialer_Sys18"/>
      <sheetName val="1-BAS1_(cost)18"/>
      <sheetName val="2-BAS2_(cost)18"/>
      <sheetName val="Deviations-Project_Risks18"/>
      <sheetName val="IO_Schedule18"/>
      <sheetName val="Direct_cost_shed_A-2_18"/>
      <sheetName val="Staff_Forecast_spread18"/>
      <sheetName val="PRRM_Dashboard21"/>
      <sheetName val="Debits_as_on_12_04_0819"/>
      <sheetName val="Index_19"/>
      <sheetName val="Email_Approval_Template19"/>
      <sheetName val="1_Executive_Summary19"/>
      <sheetName val="2_Risk_Assessment_Analysis19"/>
      <sheetName val="3_Pre-Approval19"/>
      <sheetName val="4_CIS19"/>
      <sheetName val="5_Change_Order19"/>
      <sheetName val="5_1__Re-book_De-book_order19"/>
      <sheetName val="6_Contract_Re-estimates19"/>
      <sheetName val="7a_BG_Approval_Form19"/>
      <sheetName val="7b_BG_Email_Approval_Template19"/>
      <sheetName val="8_LAD_Approval_Form19"/>
      <sheetName val="9_LOI_Checklist19"/>
      <sheetName val="10_RPS_Information_Form19"/>
      <sheetName val="11_Proj_Cashflow_19"/>
      <sheetName val="11_1_Cash-flow_Chart19"/>
      <sheetName val="Threshold_Calculator19"/>
      <sheetName val="Version_Control19"/>
      <sheetName val="Prebid_Review19"/>
      <sheetName val="DJC_Parameters19"/>
      <sheetName val="Selling_Summary19"/>
      <sheetName val="1-BAS_(cost)19"/>
      <sheetName val="Controller_Configuration19"/>
      <sheetName val="IO_Summary19"/>
      <sheetName val="2-FAS_(cost)19"/>
      <sheetName val="Cost_Summary19"/>
      <sheetName val="3-PA_(cost)19"/>
      <sheetName val="Approved_Make19"/>
      <sheetName val="Basis_of_offer19"/>
      <sheetName val="High_Level_Summary19"/>
      <sheetName val="4-ACS__(cost)19"/>
      <sheetName val="5-CCTV__(cost)19"/>
      <sheetName val="6-FFT__(cost)19"/>
      <sheetName val="7-_Service_Retrofit__(cost)19"/>
      <sheetName val="8-Service_PSA,O&amp;M__(cost)19"/>
      <sheetName val="9-_Service_L&amp;M__(cost)19"/>
      <sheetName val="non_fixed_DJC_19"/>
      <sheetName val="10-UPG_(cost)19"/>
      <sheetName val="11-ESG__(cost)19"/>
      <sheetName val="12-Products_(cost)19"/>
      <sheetName val="13-VAV__(cost)19"/>
      <sheetName val="14-REF_(cost)19"/>
      <sheetName val="15_-_Local_Chiller_(cost)19"/>
      <sheetName val="Selling-Local_Chiller19"/>
      <sheetName val="Material_Cost_JCS19"/>
      <sheetName val="Costing_USD_Chiller19"/>
      <sheetName val="Selling-USD_Chiller19"/>
      <sheetName val="PRICE_MATRIX_-JCIPL19"/>
      <sheetName val="COST_SUMMARY-_JCIPL19"/>
      <sheetName val="6_-FFT-JCIPL19"/>
      <sheetName val="7-Ser_Retro_-JCIPL19"/>
      <sheetName val="8-Ser_PSA,_O&amp;M_-JCIPL19"/>
      <sheetName val="9-Ser_L&amp;M_-JCIPL19"/>
      <sheetName val="10-UPG_JCIPL19"/>
      <sheetName val="11-ESG_JCIPL19"/>
      <sheetName val="12-Products_JCIPL19"/>
      <sheetName val="13-VAV_JCIPL19"/>
      <sheetName val="14-REF_JCMRL_19"/>
      <sheetName val="Proj__DJC-JCIPL19"/>
      <sheetName val="_L0_DDC_119"/>
      <sheetName val="L0_DDC-219"/>
      <sheetName val="L16_DDC-319"/>
      <sheetName val="L16_DDC-519"/>
      <sheetName val="L17_DDC-619"/>
      <sheetName val="L17_DDC-7_19"/>
      <sheetName val="L18_DDC-819"/>
      <sheetName val="2-AutoDialer_Sys19"/>
      <sheetName val="1-BAS1_(cost)19"/>
      <sheetName val="2-BAS2_(cost)19"/>
      <sheetName val="Deviations-Project_Risks19"/>
      <sheetName val="IO_Schedule19"/>
      <sheetName val="Direct_cost_shed_A-2_19"/>
      <sheetName val="Staff_Forecast_spread19"/>
      <sheetName val="PRRM_Dashboard22"/>
      <sheetName val="Index_20"/>
      <sheetName val="Email_Approval_Template20"/>
      <sheetName val="1_Executive_Summary20"/>
      <sheetName val="2_Risk_Assessment_Analysis20"/>
      <sheetName val="3_Pre-Approval20"/>
      <sheetName val="4_CIS20"/>
      <sheetName val="5_Change_Order20"/>
      <sheetName val="5_1__Re-book_De-book_order20"/>
      <sheetName val="6_Contract_Re-estimates20"/>
      <sheetName val="7a_BG_Approval_Form20"/>
      <sheetName val="7b_BG_Email_Approval_Template20"/>
      <sheetName val="8_LAD_Approval_Form20"/>
      <sheetName val="9_LOI_Checklist20"/>
      <sheetName val="10_RPS_Information_Form20"/>
      <sheetName val="11_Proj_Cashflow_20"/>
      <sheetName val="11_1_Cash-flow_Chart20"/>
      <sheetName val="Threshold_Calculator20"/>
      <sheetName val="Version_Control20"/>
      <sheetName val="Prebid_Review20"/>
      <sheetName val="DJC_Parameters20"/>
      <sheetName val="Selling_Summary20"/>
      <sheetName val="1-BAS_(cost)20"/>
      <sheetName val="Controller_Configuration20"/>
      <sheetName val="IO_Summary20"/>
      <sheetName val="2-FAS_(cost)20"/>
      <sheetName val="Cost_Summary20"/>
      <sheetName val="3-PA_(cost)20"/>
      <sheetName val="Approved_Make20"/>
      <sheetName val="Basis_of_offer20"/>
      <sheetName val="High_Level_Summary20"/>
      <sheetName val="4-ACS__(cost)20"/>
      <sheetName val="5-CCTV__(cost)20"/>
      <sheetName val="6-FFT__(cost)20"/>
      <sheetName val="7-_Service_Retrofit__(cost)20"/>
      <sheetName val="8-Service_PSA,O&amp;M__(cost)20"/>
      <sheetName val="9-_Service_L&amp;M__(cost)20"/>
      <sheetName val="non_fixed_DJC_20"/>
      <sheetName val="10-UPG_(cost)20"/>
      <sheetName val="11-ESG__(cost)20"/>
      <sheetName val="12-Products_(cost)20"/>
      <sheetName val="13-VAV__(cost)20"/>
      <sheetName val="14-REF_(cost)20"/>
      <sheetName val="15_-_Local_Chiller_(cost)20"/>
      <sheetName val="Selling-Local_Chiller20"/>
      <sheetName val="Material_Cost_JCS20"/>
      <sheetName val="Costing_USD_Chiller20"/>
      <sheetName val="Selling-USD_Chiller20"/>
      <sheetName val="PRICE_MATRIX_-JCIPL20"/>
      <sheetName val="COST_SUMMARY-_JCIPL20"/>
      <sheetName val="6_-FFT-JCIPL20"/>
      <sheetName val="7-Ser_Retro_-JCIPL20"/>
      <sheetName val="8-Ser_PSA,_O&amp;M_-JCIPL20"/>
      <sheetName val="9-Ser_L&amp;M_-JCIPL20"/>
      <sheetName val="10-UPG_JCIPL20"/>
      <sheetName val="11-ESG_JCIPL20"/>
      <sheetName val="12-Products_JCIPL20"/>
      <sheetName val="13-VAV_JCIPL20"/>
      <sheetName val="14-REF_JCMRL_20"/>
      <sheetName val="Proj__DJC-JCIPL20"/>
      <sheetName val="_L0_DDC_120"/>
      <sheetName val="L0_DDC-220"/>
      <sheetName val="L16_DDC-320"/>
      <sheetName val="L16_DDC-520"/>
      <sheetName val="L17_DDC-620"/>
      <sheetName val="L17_DDC-7_20"/>
      <sheetName val="L18_DDC-820"/>
      <sheetName val="2-AutoDialer_Sys20"/>
      <sheetName val="1-BAS1_(cost)20"/>
      <sheetName val="2-BAS2_(cost)20"/>
      <sheetName val="Deviations-Project_Risks20"/>
      <sheetName val="IO_Schedule20"/>
      <sheetName val="Debits_as_on_12_04_0820"/>
      <sheetName val="Direct_cost_shed_A-2_20"/>
      <sheetName val="Staff_Forecast_spread20"/>
      <sheetName val="LT_Motor_catalog5"/>
      <sheetName val="Cable_cat5"/>
      <sheetName val="PRRM_Dashboard23"/>
      <sheetName val="Index_21"/>
      <sheetName val="Email_Approval_Template21"/>
      <sheetName val="1_Executive_Summary21"/>
      <sheetName val="2_Risk_Assessment_Analysis21"/>
      <sheetName val="3_Pre-Approval21"/>
      <sheetName val="4_CIS21"/>
      <sheetName val="5_Change_Order21"/>
      <sheetName val="5_1__Re-book_De-book_order21"/>
      <sheetName val="6_Contract_Re-estimates21"/>
      <sheetName val="7a_BG_Approval_Form21"/>
      <sheetName val="7b_BG_Email_Approval_Template21"/>
      <sheetName val="8_LAD_Approval_Form21"/>
      <sheetName val="9_LOI_Checklist21"/>
      <sheetName val="10_RPS_Information_Form21"/>
      <sheetName val="11_Proj_Cashflow_21"/>
      <sheetName val="11_1_Cash-flow_Chart21"/>
      <sheetName val="Threshold_Calculator21"/>
      <sheetName val="Version_Control21"/>
      <sheetName val="Prebid_Review21"/>
      <sheetName val="DJC_Parameters21"/>
      <sheetName val="Selling_Summary21"/>
      <sheetName val="1-BAS_(cost)21"/>
      <sheetName val="Controller_Configuration21"/>
      <sheetName val="IO_Summary21"/>
      <sheetName val="2-FAS_(cost)21"/>
      <sheetName val="Cost_Summary21"/>
      <sheetName val="3-PA_(cost)21"/>
      <sheetName val="Approved_Make21"/>
      <sheetName val="Basis_of_offer21"/>
      <sheetName val="High_Level_Summary21"/>
      <sheetName val="4-ACS__(cost)21"/>
      <sheetName val="5-CCTV__(cost)21"/>
      <sheetName val="6-FFT__(cost)21"/>
      <sheetName val="7-_Service_Retrofit__(cost)21"/>
      <sheetName val="8-Service_PSA,O&amp;M__(cost)21"/>
      <sheetName val="9-_Service_L&amp;M__(cost)21"/>
      <sheetName val="non_fixed_DJC_21"/>
      <sheetName val="10-UPG_(cost)21"/>
      <sheetName val="11-ESG__(cost)21"/>
      <sheetName val="12-Products_(cost)21"/>
      <sheetName val="13-VAV__(cost)21"/>
      <sheetName val="14-REF_(cost)21"/>
      <sheetName val="15_-_Local_Chiller_(cost)21"/>
      <sheetName val="Selling-Local_Chiller21"/>
      <sheetName val="Material_Cost_JCS21"/>
      <sheetName val="Costing_USD_Chiller21"/>
      <sheetName val="Selling-USD_Chiller21"/>
      <sheetName val="PRICE_MATRIX_-JCIPL21"/>
      <sheetName val="COST_SUMMARY-_JCIPL21"/>
      <sheetName val="6_-FFT-JCIPL21"/>
      <sheetName val="7-Ser_Retro_-JCIPL21"/>
      <sheetName val="8-Ser_PSA,_O&amp;M_-JCIPL21"/>
      <sheetName val="9-Ser_L&amp;M_-JCIPL21"/>
      <sheetName val="10-UPG_JCIPL21"/>
      <sheetName val="11-ESG_JCIPL21"/>
      <sheetName val="12-Products_JCIPL21"/>
      <sheetName val="13-VAV_JCIPL21"/>
      <sheetName val="14-REF_JCMRL_21"/>
      <sheetName val="Proj__DJC-JCIPL21"/>
      <sheetName val="_L0_DDC_121"/>
      <sheetName val="L0_DDC-221"/>
      <sheetName val="L16_DDC-321"/>
      <sheetName val="L16_DDC-521"/>
      <sheetName val="L17_DDC-621"/>
      <sheetName val="L17_DDC-7_21"/>
      <sheetName val="L18_DDC-821"/>
      <sheetName val="2-AutoDialer_Sys21"/>
      <sheetName val="1-BAS1_(cost)21"/>
      <sheetName val="2-BAS2_(cost)21"/>
      <sheetName val="Deviations-Project_Risks21"/>
      <sheetName val="IO_Schedule21"/>
      <sheetName val="Debits_as_on_12_04_0821"/>
      <sheetName val="Direct_cost_shed_A-2_21"/>
      <sheetName val="Staff_Forecast_spread21"/>
      <sheetName val="LT_Motor_catalog6"/>
      <sheetName val="Cable_cat6"/>
      <sheetName val="PRRM_Dashboard26"/>
      <sheetName val="Index_24"/>
      <sheetName val="Email_Approval_Template24"/>
      <sheetName val="1_Executive_Summary24"/>
      <sheetName val="2_Risk_Assessment_Analysis24"/>
      <sheetName val="3_Pre-Approval24"/>
      <sheetName val="4_CIS24"/>
      <sheetName val="5_Change_Order24"/>
      <sheetName val="5_1__Re-book_De-book_order24"/>
      <sheetName val="6_Contract_Re-estimates24"/>
      <sheetName val="7a_BG_Approval_Form24"/>
      <sheetName val="7b_BG_Email_Approval_Template24"/>
      <sheetName val="8_LAD_Approval_Form24"/>
      <sheetName val="9_LOI_Checklist24"/>
      <sheetName val="10_RPS_Information_Form24"/>
      <sheetName val="11_Proj_Cashflow_24"/>
      <sheetName val="11_1_Cash-flow_Chart24"/>
      <sheetName val="Threshold_Calculator24"/>
      <sheetName val="Version_Control24"/>
      <sheetName val="Prebid_Review24"/>
      <sheetName val="DJC_Parameters24"/>
      <sheetName val="Selling_Summary24"/>
      <sheetName val="1-BAS_(cost)24"/>
      <sheetName val="Controller_Configuration24"/>
      <sheetName val="IO_Summary24"/>
      <sheetName val="2-FAS_(cost)24"/>
      <sheetName val="Cost_Summary24"/>
      <sheetName val="3-PA_(cost)24"/>
      <sheetName val="Approved_Make24"/>
      <sheetName val="Basis_of_offer24"/>
      <sheetName val="High_Level_Summary24"/>
      <sheetName val="4-ACS__(cost)24"/>
      <sheetName val="5-CCTV__(cost)24"/>
      <sheetName val="6-FFT__(cost)24"/>
      <sheetName val="7-_Service_Retrofit__(cost)24"/>
      <sheetName val="8-Service_PSA,O&amp;M__(cost)24"/>
      <sheetName val="9-_Service_L&amp;M__(cost)24"/>
      <sheetName val="non_fixed_DJC_24"/>
      <sheetName val="10-UPG_(cost)24"/>
      <sheetName val="11-ESG__(cost)24"/>
      <sheetName val="12-Products_(cost)24"/>
      <sheetName val="13-VAV__(cost)24"/>
      <sheetName val="14-REF_(cost)24"/>
      <sheetName val="15_-_Local_Chiller_(cost)24"/>
      <sheetName val="Selling-Local_Chiller24"/>
      <sheetName val="Material_Cost_JCS24"/>
      <sheetName val="Costing_USD_Chiller24"/>
      <sheetName val="Selling-USD_Chiller24"/>
      <sheetName val="PRICE_MATRIX_-JCIPL24"/>
      <sheetName val="COST_SUMMARY-_JCIPL24"/>
      <sheetName val="6_-FFT-JCIPL24"/>
      <sheetName val="7-Ser_Retro_-JCIPL24"/>
      <sheetName val="8-Ser_PSA,_O&amp;M_-JCIPL24"/>
      <sheetName val="9-Ser_L&amp;M_-JCIPL24"/>
      <sheetName val="10-UPG_JCIPL24"/>
      <sheetName val="11-ESG_JCIPL24"/>
      <sheetName val="12-Products_JCIPL24"/>
      <sheetName val="13-VAV_JCIPL24"/>
      <sheetName val="14-REF_JCMRL_24"/>
      <sheetName val="Proj__DJC-JCIPL24"/>
      <sheetName val="_L0_DDC_124"/>
      <sheetName val="L0_DDC-224"/>
      <sheetName val="L16_DDC-324"/>
      <sheetName val="L16_DDC-524"/>
      <sheetName val="L17_DDC-624"/>
      <sheetName val="L17_DDC-7_24"/>
      <sheetName val="L18_DDC-824"/>
      <sheetName val="2-AutoDialer_Sys24"/>
      <sheetName val="1-BAS1_(cost)24"/>
      <sheetName val="2-BAS2_(cost)24"/>
      <sheetName val="Deviations-Project_Risks24"/>
      <sheetName val="IO_Schedule24"/>
      <sheetName val="Debits_as_on_12_04_0824"/>
      <sheetName val="Direct_cost_shed_A-2_24"/>
      <sheetName val="Staff_Forecast_spread24"/>
      <sheetName val="LT_Motor_catalog9"/>
      <sheetName val="Cable_cat9"/>
      <sheetName val="PRRM_Dashboard25"/>
      <sheetName val="Index_23"/>
      <sheetName val="Email_Approval_Template23"/>
      <sheetName val="1_Executive_Summary23"/>
      <sheetName val="2_Risk_Assessment_Analysis23"/>
      <sheetName val="3_Pre-Approval23"/>
      <sheetName val="4_CIS23"/>
      <sheetName val="5_Change_Order23"/>
      <sheetName val="5_1__Re-book_De-book_order23"/>
      <sheetName val="6_Contract_Re-estimates23"/>
      <sheetName val="7a_BG_Approval_Form23"/>
      <sheetName val="7b_BG_Email_Approval_Template23"/>
      <sheetName val="8_LAD_Approval_Form23"/>
      <sheetName val="9_LOI_Checklist23"/>
      <sheetName val="10_RPS_Information_Form23"/>
      <sheetName val="11_Proj_Cashflow_23"/>
      <sheetName val="11_1_Cash-flow_Chart23"/>
      <sheetName val="Threshold_Calculator23"/>
      <sheetName val="Version_Control23"/>
      <sheetName val="Prebid_Review23"/>
      <sheetName val="DJC_Parameters23"/>
      <sheetName val="Selling_Summary23"/>
      <sheetName val="1-BAS_(cost)23"/>
      <sheetName val="Controller_Configuration23"/>
      <sheetName val="IO_Summary23"/>
      <sheetName val="2-FAS_(cost)23"/>
      <sheetName val="Cost_Summary23"/>
      <sheetName val="3-PA_(cost)23"/>
      <sheetName val="Approved_Make23"/>
      <sheetName val="Basis_of_offer23"/>
      <sheetName val="High_Level_Summary23"/>
      <sheetName val="4-ACS__(cost)23"/>
      <sheetName val="5-CCTV__(cost)23"/>
      <sheetName val="6-FFT__(cost)23"/>
      <sheetName val="7-_Service_Retrofit__(cost)23"/>
      <sheetName val="8-Service_PSA,O&amp;M__(cost)23"/>
      <sheetName val="9-_Service_L&amp;M__(cost)23"/>
      <sheetName val="non_fixed_DJC_23"/>
      <sheetName val="10-UPG_(cost)23"/>
      <sheetName val="11-ESG__(cost)23"/>
      <sheetName val="12-Products_(cost)23"/>
      <sheetName val="13-VAV__(cost)23"/>
      <sheetName val="14-REF_(cost)23"/>
      <sheetName val="15_-_Local_Chiller_(cost)23"/>
      <sheetName val="Selling-Local_Chiller23"/>
      <sheetName val="Material_Cost_JCS23"/>
      <sheetName val="Costing_USD_Chiller23"/>
      <sheetName val="Selling-USD_Chiller23"/>
      <sheetName val="PRICE_MATRIX_-JCIPL23"/>
      <sheetName val="COST_SUMMARY-_JCIPL23"/>
      <sheetName val="6_-FFT-JCIPL23"/>
      <sheetName val="7-Ser_Retro_-JCIPL23"/>
      <sheetName val="8-Ser_PSA,_O&amp;M_-JCIPL23"/>
      <sheetName val="9-Ser_L&amp;M_-JCIPL23"/>
      <sheetName val="10-UPG_JCIPL23"/>
      <sheetName val="11-ESG_JCIPL23"/>
      <sheetName val="12-Products_JCIPL23"/>
      <sheetName val="13-VAV_JCIPL23"/>
      <sheetName val="14-REF_JCMRL_23"/>
      <sheetName val="Proj__DJC-JCIPL23"/>
      <sheetName val="_L0_DDC_123"/>
      <sheetName val="L0_DDC-223"/>
      <sheetName val="L16_DDC-323"/>
      <sheetName val="L16_DDC-523"/>
      <sheetName val="L17_DDC-623"/>
      <sheetName val="L17_DDC-7_23"/>
      <sheetName val="L18_DDC-823"/>
      <sheetName val="2-AutoDialer_Sys23"/>
      <sheetName val="1-BAS1_(cost)23"/>
      <sheetName val="2-BAS2_(cost)23"/>
      <sheetName val="Deviations-Project_Risks23"/>
      <sheetName val="IO_Schedule23"/>
      <sheetName val="Debits_as_on_12_04_0823"/>
      <sheetName val="Direct_cost_shed_A-2_23"/>
      <sheetName val="Staff_Forecast_spread23"/>
      <sheetName val="LT_Motor_catalog8"/>
      <sheetName val="Cable_cat8"/>
      <sheetName val="PRRM_Dashboard24"/>
      <sheetName val="Index_22"/>
      <sheetName val="Email_Approval_Template22"/>
      <sheetName val="1_Executive_Summary22"/>
      <sheetName val="2_Risk_Assessment_Analysis22"/>
      <sheetName val="3_Pre-Approval22"/>
      <sheetName val="4_CIS22"/>
      <sheetName val="5_Change_Order22"/>
      <sheetName val="5_1__Re-book_De-book_order22"/>
      <sheetName val="6_Contract_Re-estimates22"/>
      <sheetName val="7a_BG_Approval_Form22"/>
      <sheetName val="7b_BG_Email_Approval_Template22"/>
      <sheetName val="8_LAD_Approval_Form22"/>
      <sheetName val="9_LOI_Checklist22"/>
      <sheetName val="10_RPS_Information_Form22"/>
      <sheetName val="11_Proj_Cashflow_22"/>
      <sheetName val="11_1_Cash-flow_Chart22"/>
      <sheetName val="Threshold_Calculator22"/>
      <sheetName val="Version_Control22"/>
      <sheetName val="Prebid_Review22"/>
      <sheetName val="DJC_Parameters22"/>
      <sheetName val="Selling_Summary22"/>
      <sheetName val="1-BAS_(cost)22"/>
      <sheetName val="Controller_Configuration22"/>
      <sheetName val="IO_Summary22"/>
      <sheetName val="2-FAS_(cost)22"/>
      <sheetName val="Cost_Summary22"/>
      <sheetName val="3-PA_(cost)22"/>
      <sheetName val="Approved_Make22"/>
      <sheetName val="Basis_of_offer22"/>
      <sheetName val="High_Level_Summary22"/>
      <sheetName val="4-ACS__(cost)22"/>
      <sheetName val="5-CCTV__(cost)22"/>
      <sheetName val="6-FFT__(cost)22"/>
      <sheetName val="7-_Service_Retrofit__(cost)22"/>
      <sheetName val="8-Service_PSA,O&amp;M__(cost)22"/>
      <sheetName val="9-_Service_L&amp;M__(cost)22"/>
      <sheetName val="non_fixed_DJC_22"/>
      <sheetName val="10-UPG_(cost)22"/>
      <sheetName val="11-ESG__(cost)22"/>
      <sheetName val="12-Products_(cost)22"/>
      <sheetName val="13-VAV__(cost)22"/>
      <sheetName val="14-REF_(cost)22"/>
      <sheetName val="15_-_Local_Chiller_(cost)22"/>
      <sheetName val="Selling-Local_Chiller22"/>
      <sheetName val="Material_Cost_JCS22"/>
      <sheetName val="Costing_USD_Chiller22"/>
      <sheetName val="Selling-USD_Chiller22"/>
      <sheetName val="PRICE_MATRIX_-JCIPL22"/>
      <sheetName val="COST_SUMMARY-_JCIPL22"/>
      <sheetName val="6_-FFT-JCIPL22"/>
      <sheetName val="7-Ser_Retro_-JCIPL22"/>
      <sheetName val="8-Ser_PSA,_O&amp;M_-JCIPL22"/>
      <sheetName val="9-Ser_L&amp;M_-JCIPL22"/>
      <sheetName val="10-UPG_JCIPL22"/>
      <sheetName val="11-ESG_JCIPL22"/>
      <sheetName val="12-Products_JCIPL22"/>
      <sheetName val="13-VAV_JCIPL22"/>
      <sheetName val="14-REF_JCMRL_22"/>
      <sheetName val="Proj__DJC-JCIPL22"/>
      <sheetName val="_L0_DDC_122"/>
      <sheetName val="L0_DDC-222"/>
      <sheetName val="L16_DDC-322"/>
      <sheetName val="L16_DDC-522"/>
      <sheetName val="L17_DDC-622"/>
      <sheetName val="L17_DDC-7_22"/>
      <sheetName val="L18_DDC-822"/>
      <sheetName val="2-AutoDialer_Sys22"/>
      <sheetName val="1-BAS1_(cost)22"/>
      <sheetName val="2-BAS2_(cost)22"/>
      <sheetName val="Deviations-Project_Risks22"/>
      <sheetName val="IO_Schedule22"/>
      <sheetName val="Debits_as_on_12_04_0822"/>
      <sheetName val="Direct_cost_shed_A-2_22"/>
      <sheetName val="Staff_Forecast_spread22"/>
      <sheetName val="LT_Motor_catalog7"/>
      <sheetName val="Cable_cat7"/>
      <sheetName val="Metso_-_Forth_&amp;_Slurry_11_02_39"/>
      <sheetName val="Fee_Rate_Summary29"/>
      <sheetName val="PRRM_Dashboard27"/>
      <sheetName val="d-safe_specs29"/>
      <sheetName val="Rein-Final_(Ph_1+Ph2)29"/>
      <sheetName val="class_&amp;_category29"/>
      <sheetName val="STAFFSCHED_29"/>
      <sheetName val="Site_wise_NADs29"/>
      <sheetName val="Stress_Calculation29"/>
      <sheetName val="Quote_Sheet29"/>
      <sheetName val="Index_25"/>
      <sheetName val="Email_Approval_Template25"/>
      <sheetName val="1_Executive_Summary25"/>
      <sheetName val="2_Risk_Assessment_Analysis25"/>
      <sheetName val="3_Pre-Approval25"/>
      <sheetName val="4_CIS25"/>
      <sheetName val="5_Change_Order25"/>
      <sheetName val="5_1__Re-book_De-book_order25"/>
      <sheetName val="6_Contract_Re-estimates25"/>
      <sheetName val="7a_BG_Approval_Form25"/>
      <sheetName val="7b_BG_Email_Approval_Template25"/>
      <sheetName val="8_LAD_Approval_Form25"/>
      <sheetName val="9_LOI_Checklist25"/>
      <sheetName val="10_RPS_Information_Form25"/>
      <sheetName val="11_Proj_Cashflow_25"/>
      <sheetName val="11_1_Cash-flow_Chart25"/>
      <sheetName val="Threshold_Calculator25"/>
      <sheetName val="Version_Control25"/>
      <sheetName val="Prebid_Review25"/>
      <sheetName val="DJC_Parameters25"/>
      <sheetName val="Selling_Summary25"/>
      <sheetName val="1-BAS_(cost)25"/>
      <sheetName val="Controller_Configuration25"/>
      <sheetName val="IO_Summary25"/>
      <sheetName val="2-FAS_(cost)25"/>
      <sheetName val="Cost_Summary25"/>
      <sheetName val="3-PA_(cost)25"/>
      <sheetName val="Approved_Make25"/>
      <sheetName val="Basis_of_offer25"/>
      <sheetName val="High_Level_Summary25"/>
      <sheetName val="4-ACS__(cost)25"/>
      <sheetName val="5-CCTV__(cost)25"/>
      <sheetName val="6-FFT__(cost)25"/>
      <sheetName val="7-_Service_Retrofit__(cost)25"/>
      <sheetName val="8-Service_PSA,O&amp;M__(cost)25"/>
      <sheetName val="9-_Service_L&amp;M__(cost)25"/>
      <sheetName val="non_fixed_DJC_25"/>
      <sheetName val="10-UPG_(cost)25"/>
      <sheetName val="11-ESG__(cost)25"/>
      <sheetName val="12-Products_(cost)25"/>
      <sheetName val="13-VAV__(cost)25"/>
      <sheetName val="14-REF_(cost)25"/>
      <sheetName val="15_-_Local_Chiller_(cost)25"/>
      <sheetName val="Selling-Local_Chiller25"/>
      <sheetName val="Material_Cost_JCS25"/>
      <sheetName val="Costing_USD_Chiller25"/>
      <sheetName val="Selling-USD_Chiller25"/>
      <sheetName val="PRICE_MATRIX_-JCIPL25"/>
      <sheetName val="COST_SUMMARY-_JCIPL25"/>
      <sheetName val="6_-FFT-JCIPL25"/>
      <sheetName val="7-Ser_Retro_-JCIPL25"/>
      <sheetName val="8-Ser_PSA,_O&amp;M_-JCIPL25"/>
      <sheetName val="9-Ser_L&amp;M_-JCIPL25"/>
      <sheetName val="10-UPG_JCIPL25"/>
      <sheetName val="11-ESG_JCIPL25"/>
      <sheetName val="12-Products_JCIPL25"/>
      <sheetName val="13-VAV_JCIPL25"/>
      <sheetName val="14-REF_JCMRL_25"/>
      <sheetName val="Proj__DJC-JCIPL25"/>
      <sheetName val="_L0_DDC_125"/>
      <sheetName val="L0_DDC-225"/>
      <sheetName val="L16_DDC-325"/>
      <sheetName val="L16_DDC-525"/>
      <sheetName val="L17_DDC-625"/>
      <sheetName val="L17_DDC-7_25"/>
      <sheetName val="L18_DDC-825"/>
      <sheetName val="2-AutoDialer_Sys25"/>
      <sheetName val="1-BAS1_(cost)25"/>
      <sheetName val="2-BAS2_(cost)25"/>
      <sheetName val="Deviations-Project_Risks25"/>
      <sheetName val="IO_Schedule25"/>
      <sheetName val="Debits_as_on_12_04_0825"/>
      <sheetName val="Direct_cost_shed_A-2_25"/>
      <sheetName val="Staff_Forecast_spread25"/>
      <sheetName val="LT_Motor_catalog10"/>
      <sheetName val="Cable_cat10"/>
      <sheetName val="dummy2"/>
      <sheetName val="SCHEDULE"/>
      <sheetName val="B@___x0004_@__x0000"/>
      <sheetName val="Notes"/>
      <sheetName val="p_m"/>
      <sheetName val="CPIPE"/>
      <sheetName val="Rate analysis civil"/>
      <sheetName val="material and Labour rate"/>
      <sheetName val="Fin_Sum2"/>
      <sheetName val="Material_2"/>
      <sheetName val="Labour_&amp;_Plant2"/>
      <sheetName val="pr_cal2"/>
      <sheetName val="TRF_details2"/>
      <sheetName val="Materials_Cost2"/>
      <sheetName val="Fin_Sum3"/>
      <sheetName val="Cost_of_O_&amp;_O3"/>
      <sheetName val="Material_List_3"/>
      <sheetName val="Material_3"/>
      <sheetName val="Labour_&amp;_Plant3"/>
      <sheetName val="pr_cal3"/>
      <sheetName val="TRF_details3"/>
      <sheetName val="Materials_Cost3"/>
      <sheetName val="Inputs_&amp;_Summary_Output4"/>
      <sheetName val="Broad_Refresher_Model4"/>
      <sheetName val="Fin_Sum4"/>
      <sheetName val="Cost_of_O_&amp;_O4"/>
      <sheetName val="Material_List_4"/>
      <sheetName val="Material_4"/>
      <sheetName val="Labour_&amp;_Plant4"/>
      <sheetName val="pr_cal4"/>
      <sheetName val="TRF_details4"/>
      <sheetName val="Materials_Cost4"/>
      <sheetName val="Inputs_&amp;_Summary_Output5"/>
      <sheetName val="Broad_Refresher_Model5"/>
      <sheetName val="Abstract_for_Variation5"/>
      <sheetName val="LBD_VARIATION5"/>
      <sheetName val="Fin_Sum5"/>
      <sheetName val="Cost_of_O_&amp;_O5"/>
      <sheetName val="Material_List_5"/>
      <sheetName val="Material_5"/>
      <sheetName val="Labour_&amp;_Plant5"/>
      <sheetName val="pr_cal5"/>
      <sheetName val="TRF_details5"/>
      <sheetName val="Materials_Cost5"/>
      <sheetName val="Inputs_&amp;_Summary_Output6"/>
      <sheetName val="Broad_Refresher_Model6"/>
      <sheetName val="Abstract_for_Variation6"/>
      <sheetName val="LBD_VARIATION6"/>
      <sheetName val="Fin_Sum6"/>
      <sheetName val="Cost_of_O_&amp;_O6"/>
      <sheetName val="Material_List_6"/>
      <sheetName val="Material_6"/>
      <sheetName val="Labour_&amp;_Plant6"/>
      <sheetName val="pr_cal6"/>
      <sheetName val="TRF_details6"/>
      <sheetName val="Materials_Cost6"/>
      <sheetName val="Intro"/>
      <sheetName val="C1C2"/>
      <sheetName val="LIFE &amp; REP PROVN"/>
      <sheetName val="O&amp;M CREW"/>
      <sheetName val="Inputs_&amp;_Summary_Output7"/>
      <sheetName val="Broad_Refresher_Model7"/>
      <sheetName val="Abstract_for_Variation7"/>
      <sheetName val="LBD_VARIATION7"/>
      <sheetName val="Fin_Sum7"/>
      <sheetName val="Cost_of_O_&amp;_O7"/>
      <sheetName val="Material_List_7"/>
      <sheetName val="Material_7"/>
      <sheetName val="Labour_&amp;_Plant7"/>
      <sheetName val="pr_cal7"/>
      <sheetName val="TRF_details7"/>
      <sheetName val="Materials_Cost7"/>
      <sheetName val="Inputs_&amp;_Summary_Output8"/>
      <sheetName val="Broad_Refresher_Model8"/>
      <sheetName val="Abstract_for_Variation8"/>
      <sheetName val="LBD_VARIATION8"/>
      <sheetName val="Fin_Sum8"/>
      <sheetName val="Cost_of_O_&amp;_O8"/>
      <sheetName val="Material_List_8"/>
      <sheetName val="Material_8"/>
      <sheetName val="Labour_&amp;_Plant8"/>
      <sheetName val="pr_cal8"/>
      <sheetName val="TRF_details8"/>
      <sheetName val="Materials_Cost8"/>
      <sheetName val="Inputs_&amp;_Summary_Output9"/>
      <sheetName val="Broad_Refresher_Model9"/>
      <sheetName val="Abstract_for_Variation9"/>
      <sheetName val="LBD_VARIATION9"/>
      <sheetName val="Fin_Sum9"/>
      <sheetName val="Cost_of_O_&amp;_O9"/>
      <sheetName val="Material_List_9"/>
      <sheetName val="Material_9"/>
      <sheetName val="Labour_&amp;_Plant9"/>
      <sheetName val="pr_cal9"/>
      <sheetName val="TRF_details9"/>
      <sheetName val="Materials_Cost9"/>
      <sheetName val="Schd 8 Input"/>
      <sheetName val="Emp &amp; Trng"/>
      <sheetName val="[Spt-BH.xls][Spt-BH_xls]B____37"/>
      <sheetName val="[Spt-BH.xls][Spt-BH_xls]B____38"/>
      <sheetName val="[Spt-BH.xls][Spt-BH_xls]_Spt_16"/>
      <sheetName val="[Spt-BH.xls][Spt-BH_xls]B____39"/>
      <sheetName val="[Spt-BH.xls][Spt-BH_xls]B____40"/>
      <sheetName val="[Spt-BH.xls][Spt-BH_xls]B____41"/>
      <sheetName val="[Spt-BH.xls][Spt-BH_xls]_Spt_17"/>
      <sheetName val="[Spt-BH.xls][Spt-BH.xls]B___277"/>
      <sheetName val="[Spt-BH.xls][Spt-BH.xls]B___278"/>
      <sheetName val="[Spt-BH.xls][Spt-BH.xls]B___279"/>
      <sheetName val="[Spt-BH.xls][Spt-BH.xls]B___280"/>
      <sheetName val="[Spt-BH.xls][Spt-BH.xls]B___281"/>
      <sheetName val="[Spt-BH.xls][Spt-BH.xls]B___282"/>
      <sheetName val="[Spt-BH.xls][Spt-BH.xls]_Spt_92"/>
      <sheetName val="[Spt-BH.xls][Spt-BH.xls]B___283"/>
      <sheetName val="[Spt-BH.xls][Spt-BH.xls]B___284"/>
      <sheetName val="[Spt-BH.xls][Spt-BH.xls]B___285"/>
      <sheetName val="[Spt-BH.xls][Spt-BH.xls]_Spt_93"/>
      <sheetName val="[Spt-BH.xls][Spt-BH.xls]B___286"/>
      <sheetName val="[Spt-BH.xls][Spt-BH.xls]B___287"/>
      <sheetName val="[Spt-BH.xls][Spt-BH.xls]_Spt_95"/>
      <sheetName val="[Spt-BH.xls][Spt-BH.xls]B___288"/>
      <sheetName val="[Spt-BH.xls][Spt-BH.xls]B___289"/>
      <sheetName val="[Spt-BH.xls][Spt-BH.xls]B___290"/>
      <sheetName val="[Spt-BH.xls][Spt-BH.xls]B___291"/>
      <sheetName val="[Spt-BH.xls][Spt-BH.xls]_Spt_94"/>
      <sheetName val="[Spt-BH.xls][Spt-BH.xls]_Spt_96"/>
      <sheetName val="[Spt-BH.xls][Spt-BH.xls]_Spt_97"/>
      <sheetName val="[Spt-BH.xls][Spt-BH.xls]_Spt_98"/>
      <sheetName val="[Spt-BH.xls][Spt-BH.xls]B___312"/>
      <sheetName val="[Spt-BH.xls][Spt-BH.xls]B___313"/>
      <sheetName val="[Spt-BH.xls][Spt-BH.xls]_Sp_104"/>
      <sheetName val="[Spt-BH.xls][Spt-BH.xls]B___314"/>
      <sheetName val="[Spt-BH.xls][Spt-BH.xls]B___315"/>
      <sheetName val="[Spt-BH.xls]B____x005f_x0004_______29"/>
      <sheetName val="[Spt-BH.xls]B___x005f_x0000__x005f_x0004_29"/>
      <sheetName val="[Spt-BH.xls][Spt-BH.xls]B___316"/>
      <sheetName val="[Spt-BH.xls][Spt-BH.xls]B___307"/>
      <sheetName val="[Spt-BH.xls][Spt-BH.xls]B___308"/>
      <sheetName val="[Spt-BH.xls][Spt-BH.xls]_Sp_103"/>
      <sheetName val="[Spt-BH.xls][Spt-BH.xls]B___309"/>
      <sheetName val="[Spt-BH.xls][Spt-BH.xls]B___310"/>
      <sheetName val="[Spt-BH.xls][Spt-BH.xls]B___311"/>
      <sheetName val="[Spt-BH.xls][Spt-BH.xls]_Sp_102"/>
      <sheetName val="[Spt-BH.xls]B____x005f_x0004_______26"/>
      <sheetName val="[Spt-BH.xls]B___x005f_x0000__x005f_x0004_26"/>
      <sheetName val="[Spt-BH.xls][Spt-BH.xls]B___292"/>
      <sheetName val="[Spt-BH.xls][Spt-BH.xls]B___293"/>
      <sheetName val="[Spt-BH.xls][Spt-BH.xls]B___294"/>
      <sheetName val="[Spt-BH.xls][Spt-BH.xls]B___295"/>
      <sheetName val="[Spt-BH.xls][Spt-BH.xls]B___296"/>
      <sheetName val="[Spt-BH.xls][Spt-BH.xls]_Spt_99"/>
      <sheetName val="[Spt-BH.xls]B____x005f_x0004_______27"/>
      <sheetName val="[Spt-BH.xls]B___x005f_x0000__x005f_x0004_27"/>
      <sheetName val="[Spt-BH.xls][Spt-BH.xls]B___297"/>
      <sheetName val="[Spt-BH.xls][Spt-BH.xls]B___298"/>
      <sheetName val="[Spt-BH.xls][Spt-BH.xls]B___299"/>
      <sheetName val="[Spt-BH.xls][Spt-BH.xls]B___300"/>
      <sheetName val="[Spt-BH.xls][Spt-BH.xls]B___301"/>
      <sheetName val="[Spt-BH.xls][Spt-BH.xls]_Sp_100"/>
      <sheetName val="[Spt-BH.xls]B____x005f_x0004_______28"/>
      <sheetName val="[Spt-BH.xls]B___x005f_x0000__x005f_x0004_28"/>
      <sheetName val="[Spt-BH.xls][Spt-BH.xls]B___302"/>
      <sheetName val="[Spt-BH.xls][Spt-BH.xls]B___303"/>
      <sheetName val="[Spt-BH.xls][Spt-BH.xls]B___304"/>
      <sheetName val="[Spt-BH.xls][Spt-BH.xls]B___305"/>
      <sheetName val="[Spt-BH.xls][Spt-BH.xls]B___306"/>
      <sheetName val="[Spt-BH.xls][Spt-BH.xls]_Sp_101"/>
      <sheetName val="[Spt-BH.xls][Spt-BH.xls]_Sp_106"/>
      <sheetName val="[Spt-BH.xls][Spt-BH.xls]_Sp_105"/>
      <sheetName val="[Spt-BH.xls][Spt-BH.xls]_Sp_107"/>
      <sheetName val="sujay_fagchi20"/>
      <sheetName val="SANJAY_JENE120"/>
      <sheetName val="_Spt-BH.xls_B@_"/>
      <sheetName val="_Spt-BH.xls_B@___x0004_@_____$__"/>
      <sheetName val="_Spt-BH.xls_B@_@__$"/>
      <sheetName val="_Spt-BH.xls_B@__@_____$__"/>
      <sheetName val="_Spt-BH.xls_B@___x0004_@___$_"/>
      <sheetName val="_Spt-BH.xls_B@__@___$_"/>
      <sheetName val="_Spt-BH.xls__Spt-BH.xls_B@_@__$"/>
      <sheetName val="[Spt-BH.xls][Spt-BH.xls]_Sp_113"/>
      <sheetName val="[Spt-BH.xls][Spt-BH.xls]B___329"/>
      <sheetName val="[Spt-BH.xls][Spt-BH.xls]B___330"/>
      <sheetName val="[Spt-BH.xls][Spt-BH.xls]_Sp_114"/>
      <sheetName val="[Spt-BH.xls][Spt-BH.xls]B___331"/>
      <sheetName val="[Spt-BH.xls][Spt-BH.xls]B___332"/>
      <sheetName val="[Spt-BH.xls][Spt-BH.xls]B___333"/>
      <sheetName val="[Spt-BH.xls][Spt-BH.xls]B___334"/>
      <sheetName val="[Spt-BH.xls][Spt-BH.xls]B___335"/>
      <sheetName val="[Spt-BH.xls][Spt-BH.xls]_Sp_116"/>
      <sheetName val="[Spt-BH.xls][Spt-BH.xls]B___336"/>
      <sheetName val="[Spt-BH.xls][Spt-BH.xls]B___337"/>
      <sheetName val="[Spt-BH.xls][Spt-BH.xls]B___338"/>
      <sheetName val="[Spt-BH.xls][Spt-BH.xls]_Sp_115"/>
      <sheetName val="[Spt-BH.xls][Spt-BH.xls]B___339"/>
      <sheetName val="[Spt-BH.xls][Spt-BH.xls]B___340"/>
      <sheetName val="[Spt-BH.xls][Spt-BH.xls]_Sp_118"/>
      <sheetName val="[Spt-BH.xls][Spt-BH.xls]B___341"/>
      <sheetName val="[Spt-BH.xls][Spt-BH.xls]B___342"/>
      <sheetName val="[Spt-BH.xls][Spt-BH.xls]B___343"/>
      <sheetName val="[Spt-BH.xls][Spt-BH.xls]_Sp_117"/>
      <sheetName val="[Spt-BH.xls][Spt-BH.xls]B___344"/>
      <sheetName val="[Spt-BH.xls][Spt-BH.xls]B___345"/>
      <sheetName val="[Spt-BH.xls][Spt-BH.xls]B___346"/>
      <sheetName val="[Spt-BH.xls][Spt-BH.xls]_Sp_119"/>
      <sheetName val="[Spt-BH.xls][Spt-BH.xls]B___347"/>
      <sheetName val="[Spt-BH.xls][Spt-BH.xls]B___348"/>
      <sheetName val="[Spt-BH.xls]B____x005f_x0004_______31"/>
      <sheetName val="[Spt-BH.xls]B___x005f_x0000__x005f_x0004_31"/>
      <sheetName val="[Spt-BH.xls][Spt-BH.xls]B___349"/>
      <sheetName val="[Spt-BH.xls][Spt-BH.xls]B___613"/>
      <sheetName val="[Spt-BH.xls][Spt-BH.xls]B___614"/>
      <sheetName val="[Spt-BH.xls][Spt-BH.xls]_Sp_189"/>
      <sheetName val="[Spt-BH.xls][Spt-BH.xls]B___615"/>
      <sheetName val="[Spt-BH.xls][Spt-BH.xls]B___616"/>
      <sheetName val="[Spt-BH.xls][Spt-BH.xls]B___617"/>
      <sheetName val="[Spt-BH.xls][Spt-BH.xls]_Sp_184"/>
      <sheetName val="[Spt-BH.xls][Spt-BH.xls]B___618"/>
      <sheetName val="[Spt-BH.xls][Spt-BH.xls]B___631"/>
      <sheetName val="[Spt-BH.xls][Spt-BH.xls]B___632"/>
      <sheetName val="[Spt-BH.xls][Spt-BH.xls]_Sp_191"/>
      <sheetName val="[Spt-BH.xls][Spt-BH.xls]B___633"/>
      <sheetName val="[Spt-BH.xls][Spt-BH.xls]B___634"/>
      <sheetName val="[Spt-BH.xls]B____x005f_x0004_______49"/>
      <sheetName val="[Spt-BH.xls]B___x005f_x0000__x005f_x0004_49"/>
      <sheetName val="[Spt-BH.xls][Spt-BH.xls]B___635"/>
      <sheetName val="[Spt-BH.xls][Spt-BH.xls]B___602"/>
      <sheetName val="[Spt-BH.xls][Spt-BH.xls]B___603"/>
      <sheetName val="[Spt-BH.xls][Spt-BH.xls]_Sp_180"/>
      <sheetName val="[Spt-BH.xls][Spt-BH.xls]B___604"/>
      <sheetName val="[Spt-BH.xls][Spt-BH.xls]B___605"/>
      <sheetName val="[Spt-BH.xls][Spt-BH.xls]B___606"/>
      <sheetName val="[Spt-BH.xls][Spt-BH.xls]_Sp_179"/>
      <sheetName val="[Spt-BH.xls][Spt-BH.xls]B___607"/>
      <sheetName val="[Spt-BH.xls][Spt-BH.xls]B___608"/>
      <sheetName val="[Spt-BH.xls][Spt-BH.xls]B___609"/>
      <sheetName val="[Spt-BH.xls][Spt-BH.xls]_Sp_181"/>
      <sheetName val="[Spt-BH.xls][Spt-BH.xls]B___610"/>
      <sheetName val="[Spt-BH.xls][Spt-BH.xls]B___611"/>
      <sheetName val="[Spt-BH.xls]B____x005f_x0004_______48"/>
      <sheetName val="[Spt-BH.xls]B___x005f_x0000__x005f_x0004_48"/>
      <sheetName val="[Spt-BH.xls][Spt-BH.xls]B___612"/>
      <sheetName val="[Spt-BH.xls][Spt-BH.xls]B___514"/>
      <sheetName val="[Spt-BH.xls][Spt-BH.xls]B___515"/>
      <sheetName val="[Spt-BH.xls][Spt-BH.xls]_Sp_142"/>
      <sheetName val="[Spt-BH.xls][Spt-BH.xls]B___516"/>
      <sheetName val="[Spt-BH.xls][Spt-BH.xls]B___517"/>
      <sheetName val="[Spt-BH.xls]B____x005f_x0004_______40"/>
      <sheetName val="[Spt-BH.xls]B___x005f_x0000__x005f_x0004_40"/>
      <sheetName val="[Spt-BH.xls][Spt-BH.xls]B___518"/>
      <sheetName val="[Spt-BH.xls][Spt-BH.xls]B___519"/>
      <sheetName val="[Spt-BH.xls][Spt-BH.xls]B___508"/>
      <sheetName val="[Spt-BH.xls][Spt-BH.xls]B___509"/>
      <sheetName val="[Spt-BH.xls][Spt-BH.xls]_Sp_141"/>
      <sheetName val="[Spt-BH.xls][Spt-BH.xls]B___510"/>
      <sheetName val="[Spt-BH.xls][Spt-BH.xls]B___511"/>
      <sheetName val="[Spt-BH.xls][Spt-BH.xls]B___512"/>
      <sheetName val="[Spt-BH.xls][Spt-BH.xls]B___513"/>
      <sheetName val="[Spt-BH.xls][Spt-BH.xls]_Sp_140"/>
      <sheetName val="[Spt-BH.xls][Spt-BH.xls]_Sp_123"/>
      <sheetName val="[Spt-BH.xls][Spt-BH.xls]B___462"/>
      <sheetName val="[Spt-BH.xls][Spt-BH.xls]B___463"/>
      <sheetName val="[Spt-BH.xls][Spt-BH.xls]_Sp_125"/>
      <sheetName val="[Spt-BH.xls][Spt-BH.xls]B___464"/>
      <sheetName val="[Spt-BH.xls][Spt-BH.xls]B___465"/>
      <sheetName val="[Spt-BH.xls][Spt-BH.xls]B___466"/>
      <sheetName val="[Spt-BH.xls][Spt-BH.xls]B___467"/>
      <sheetName val="[Spt-BH.xls][Spt-BH.xls]_Sp_124"/>
      <sheetName val="[Spt-BH.xls][Spt-BH_xls]B____47"/>
      <sheetName val="[Spt-BH.xls][Spt-BH_xls]B____48"/>
      <sheetName val="[Spt-BH.xls][Spt-BH_xls]_Spt_20"/>
      <sheetName val="[Spt-BH.xls][Spt-BH_xls]B____49"/>
      <sheetName val="[Spt-BH.xls][Spt-BH_xls]B____50"/>
      <sheetName val="[Spt-BH.xls][Spt-BH_xls]B____51"/>
      <sheetName val="[Spt-BH.xls][Spt-BH_xls]_Spt_21"/>
      <sheetName val="[Spt-BH.xls][Spt-BH.xls]_Sp_120"/>
      <sheetName val="[Spt-BH.xls][Spt-BH.xls]B___350"/>
      <sheetName val="[Spt-BH.xls][Spt-BH.xls]B___351"/>
      <sheetName val="[Spt-BH.xls][Spt-BH.xls]_Sp_122"/>
      <sheetName val="[Spt-BH.xls][Spt-BH.xls]B___352"/>
      <sheetName val="[Spt-BH.xls][Spt-BH.xls]B___353"/>
      <sheetName val="[Spt-BH.xls][Spt-BH.xls]B___354"/>
      <sheetName val="[Spt-BH.xls][Spt-BH.xls]B___355"/>
      <sheetName val="[Spt-BH.xls][Spt-BH.xls]_Sp_121"/>
      <sheetName val="[Spt-BH.xls][Spt-BH.xls]B___449"/>
      <sheetName val="[Spt-BH.xls][Spt-BH.xls]B___450"/>
      <sheetName val="[Spt-BH.xls][Spt-BH.xls]B___451"/>
      <sheetName val="[Spt-BH.xls][Spt-BH.xls]B___452"/>
      <sheetName val="[Spt-BH.xls][Spt-BH.xls]B___453"/>
      <sheetName val="[Spt-BH.xls][Spt-BH.xls]B___454"/>
      <sheetName val="TMT STEEL"/>
      <sheetName val="간접비내역-1"/>
      <sheetName val="95삼성급(본사)"/>
      <sheetName val="BQ List"/>
      <sheetName val="girder"/>
      <sheetName val="Rocker"/>
      <sheetName val="ENCL9"/>
      <sheetName val="SàQa_x005f_x0005_@_x005f_x0000_"/>
      <sheetName val="Extra Item"/>
      <sheetName val="B@___x005f_x0004_@_"/>
      <sheetName val="B@__x005f_x005f_x00"/>
      <sheetName val="_Spt-BH.xls_B@___x0004_@_____$_"/>
      <sheetName val="_Spt-BH.xls_B@__x0000__x0004_@_"/>
      <sheetName val="B@___x005f_x005f_x0"/>
      <sheetName val="SàQa_x0005_@_x0000_"/>
      <sheetName val="기계내역서"/>
      <sheetName val="Prelims Breakup"/>
      <sheetName val="Staff planning"/>
      <sheetName val="1 yr maintainance"/>
      <sheetName val="[Spt-BH.xls][Spt-BH.xls]B___456"/>
      <sheetName val="[Spt-BH.xls][Spt-BH.xls]B___457"/>
      <sheetName val="[Spt-BH.xls][Spt-BH.xls]B___458"/>
      <sheetName val="[Spt-BH.xls][Spt-BH.xls]B___459"/>
      <sheetName val="[Spt-BH.xls][Spt-BH.xls]B___460"/>
      <sheetName val="[Spt-BH.xls]B____x005f_x0004_______36"/>
      <sheetName val="[Spt-BH.xls]B___x005f_x0000__x005f_x0004_36"/>
      <sheetName val="[Spt-BH.xls][Spt-BH.xls]B___461"/>
      <sheetName val="[Spt-BH.xls][Spt-BH_xls]B____87"/>
      <sheetName val="[Spt-BH.xls][Spt-BH_xls]B____88"/>
      <sheetName val="[Spt-BH.xls][Spt-BH_xls]_Spt_36"/>
      <sheetName val="[Spt-BH.xls][Spt-BH_xls]B____89"/>
      <sheetName val="[Spt-BH.xls][Spt-BH_xls]B____90"/>
      <sheetName val="[Spt-BH.xls][Spt-BH_xls]B____91"/>
      <sheetName val="[Spt-BH.xls][Spt-BH_xls]_Spt_37"/>
      <sheetName val="[Spt-BH.xls][Spt-BH_xls]B____52"/>
      <sheetName val="[Spt-BH.xls][Spt-BH_xls]B____53"/>
      <sheetName val="[Spt-BH.xls][Spt-BH_xls]_Spt_22"/>
      <sheetName val="[Spt-BH.xls][Spt-BH_xls]B____54"/>
      <sheetName val="[Spt-BH.xls][Spt-BH_xls]B____55"/>
      <sheetName val="[Spt-BH.xls][Spt-BH_xls]B____56"/>
      <sheetName val="[Spt-BH.xls][Spt-BH_xls]_Spt_23"/>
      <sheetName val="Cash2"/>
      <sheetName val="Z"/>
      <sheetName val="[Spt-BH_xls][Spt-BH_xls][Spt-BH"/>
      <sheetName val="[Spt-BH_xls][Spt-BH_xls]B@[?@??"/>
      <sheetName val="[Spt-BH_xls][Spt-BH_xls]B@[?_x0"/>
      <sheetName val="[Spt-BH_xls]B@[_x005f_x0000__x005f_x0004_@_"/>
      <sheetName val="Labour_Rate_"/>
      <sheetName val="B@__x005f_x005f_x005f_x005F_x005f_x0000__x0"/>
      <sheetName val="PANEL ANNEXURE"/>
      <sheetName val="[Spt-BH.xls][Spt-BH.xls]B___455"/>
      <sheetName val="B@__x0000__x0"/>
      <sheetName val="Inputs_&amp;_Summary_Output10"/>
      <sheetName val="Broad_Refresher_Model10"/>
      <sheetName val="Abstract_for_Variation10"/>
      <sheetName val="LBD_VARIATION10"/>
      <sheetName val="Fin_Sum10"/>
      <sheetName val="Cost_of_O_&amp;_O10"/>
      <sheetName val="Material_List_10"/>
      <sheetName val="Material_10"/>
      <sheetName val="Labour_&amp;_Plant10"/>
      <sheetName val="pr_cal10"/>
      <sheetName val="TRF_details10"/>
      <sheetName val="Materials_Cost10"/>
      <sheetName val="_Spt-BH.xls__Spt-BH.xls_B@__x00"/>
      <sheetName val="_Spt-BH.xls__Spt-BH.xls_B@___x0"/>
      <sheetName val="B@[_x005f_x0000__x005f_x0004_@_"/>
      <sheetName val="acs(1)"/>
      <sheetName val="fas-c(4)"/>
      <sheetName val="cctv(old)"/>
      <sheetName val="Bill No 2 to 8 (Rev)"/>
      <sheetName val="master"/>
      <sheetName val="TB"/>
      <sheetName val="MFG"/>
      <sheetName val="[Spt-BH.xls][Spt-BH.xls]B___435"/>
      <sheetName val="[Spt-BH.xls][Spt-BH.xls]B___436"/>
      <sheetName val="[Spt-BH.xls][Spt-BH.xls]B___437"/>
      <sheetName val="[Spt-BH.xls][Spt-BH.xls]B___438"/>
      <sheetName val="[Spt-BH.xls][Spt-BH.xls]B___439"/>
      <sheetName val="[Spt-BH.xls][Spt-BH.xls]B___440"/>
      <sheetName val="[Spt-BH.xls][Spt-BH.xls]B___442"/>
      <sheetName val="[Spt-BH.xls][Spt-BH.xls]B___443"/>
      <sheetName val="[Spt-BH.xls][Spt-BH.xls]B___444"/>
      <sheetName val="[Spt-BH.xls][Spt-BH.xls]B___445"/>
      <sheetName val="[Spt-BH.xls]B____x005f_x0004_______34"/>
      <sheetName val="[Spt-BH.xls]B___x005f_x0000__x005f_x0004_34"/>
      <sheetName val="[Spt-BH.xls][Spt-BH.xls]B___446"/>
      <sheetName val="[Spt-BH.xls][Spt-BH.xls]B___447"/>
      <sheetName val="[Spt-BH.xls][Spt-BH.xls]B___441"/>
      <sheetName val="Parameter"/>
      <sheetName val="CashFlow"/>
      <sheetName val="A01-A02-L&amp;T"/>
      <sheetName val="Day work"/>
      <sheetName val="CLAY"/>
      <sheetName val="SàQa_x0005_@???²"/>
      <sheetName val="B@[_x0000__x0004_@_x0000__x0000"/>
      <sheetName val="OVERHEADS"/>
      <sheetName val="입찰내역 발주처 양식"/>
      <sheetName val="detail'02"/>
      <sheetName val="CASHFLOWS"/>
      <sheetName val="Internet"/>
      <sheetName val="SC Cost FEB 03"/>
      <sheetName val="[Spt-BH.xls][Spt-BH.xls]B___356"/>
      <sheetName val="[Spt-BH.xls][Spt-BH.xls]B___357"/>
      <sheetName val="[Spt-BH.xls][Spt-BH.xls]B___358"/>
      <sheetName val="[Spt-BH.xls][Spt-BH.xls]B___359"/>
      <sheetName val="[Spt-BH.xls][Spt-BH.xls]B___360"/>
      <sheetName val="[Spt-BH.xls][Spt-BH.xls]B___361"/>
      <sheetName val="[Spt-BH.xls][Spt-BH.xls]B___363"/>
      <sheetName val="[Spt-BH.xls][Spt-BH.xls]B___364"/>
      <sheetName val="[Spt-BH.xls][Spt-BH.xls]B___365"/>
      <sheetName val="[Spt-BH.xls][Spt-BH.xls]B___366"/>
      <sheetName val="[Spt-BH.xls][Spt-BH.xls]B___367"/>
      <sheetName val="[Spt-BH.xls][Spt-BH.xls]B___368"/>
      <sheetName val="[Spt-BH.xls][Spt-BH.xls]B___362"/>
      <sheetName val="[Spt-BH.xls][Spt-BH.xls]B___383"/>
      <sheetName val="[Spt-BH.xls][Spt-BH.xls]B___384"/>
      <sheetName val="[Spt-BH.xls][Spt-BH.xls]B___385"/>
      <sheetName val="[Spt-BH.xls][Spt-BH.xls]B___386"/>
      <sheetName val="[Spt-BH.xls][Spt-BH.xls]B___387"/>
      <sheetName val="[Spt-BH.xls][Spt-BH.xls]B___388"/>
      <sheetName val="[Spt-BH.xls][Spt-BH.xls]B___390"/>
      <sheetName val="[Spt-BH.xls][Spt-BH.xls]B___391"/>
      <sheetName val="[Spt-BH.xls][Spt-BH.xls]B___392"/>
      <sheetName val="[Spt-BH.xls][Spt-BH.xls]B___393"/>
      <sheetName val="[Spt-BH.xls][Spt-BH.xls]B___394"/>
      <sheetName val="[Spt-BH.xls][Spt-BH.xls]B___395"/>
      <sheetName val="[Spt-BH.xls][Spt-BH.xls]B___389"/>
      <sheetName val="[Spt-BH.xls][Spt-BH.xls]B___370"/>
      <sheetName val="[Spt-BH.xls][Spt-BH.xls]B___371"/>
      <sheetName val="[Spt-BH.xls][Spt-BH.xls]B___372"/>
      <sheetName val="[Spt-BH.xls][Spt-BH.xls]B___373"/>
      <sheetName val="[Spt-BH.xls][Spt-BH.xls]B___374"/>
      <sheetName val="[Spt-BH.xls][Spt-BH.xls]B___375"/>
      <sheetName val="[Spt-BH.xls][Spt-BH.xls]B___377"/>
      <sheetName val="[Spt-BH.xls][Spt-BH.xls]B___378"/>
      <sheetName val="[Spt-BH.xls][Spt-BH.xls]B___379"/>
      <sheetName val="[Spt-BH.xls][Spt-BH.xls]B___380"/>
      <sheetName val="[Spt-BH.xls][Spt-BH.xls]B___381"/>
      <sheetName val="[Spt-BH.xls][Spt-BH.xls]B___382"/>
      <sheetName val="[Spt-BH.xls][Spt-BH.xls]B___376"/>
      <sheetName val="[Spt-BH.xls][Spt-BH.xls]B___369"/>
      <sheetName val="[Spt-BH.xls][Spt-BH.xls]B___396"/>
      <sheetName val="[Spt-BH.xls][Spt-BH.xls]B___397"/>
      <sheetName val="[Spt-BH.xls][Spt-BH.xls]B___398"/>
      <sheetName val="[Spt-BH.xls][Spt-BH.xls]B___399"/>
      <sheetName val="[Spt-BH.xls][Spt-BH.xls]B___400"/>
      <sheetName val="[Spt-BH.xls][Spt-BH.xls]B___401"/>
      <sheetName val="[Spt-BH.xls][Spt-BH.xls]B___403"/>
      <sheetName val="[Spt-BH.xls][Spt-BH.xls]B___404"/>
      <sheetName val="[Spt-BH.xls][Spt-BH.xls]B___405"/>
      <sheetName val="[Spt-BH.xls][Spt-BH.xls]B___406"/>
      <sheetName val="[Spt-BH.xls][Spt-BH.xls]B___407"/>
      <sheetName val="[Spt-BH.xls][Spt-BH.xls]B___408"/>
      <sheetName val="[Spt-BH.xls][Spt-BH.xls]B___402"/>
      <sheetName val="[Spt-BH.xls][Spt-BH.xls]B___409"/>
      <sheetName val="[Spt-BH.xls][Spt-BH.xls]B___410"/>
      <sheetName val="[Spt-BH.xls][Spt-BH.xls]B___411"/>
      <sheetName val="[Spt-BH.xls][Spt-BH.xls]B___412"/>
      <sheetName val="[Spt-BH.xls][Spt-BH.xls]B___413"/>
      <sheetName val="[Spt-BH.xls][Spt-BH.xls]B___414"/>
      <sheetName val="[Spt-BH.xls][Spt-BH.xls]B___416"/>
      <sheetName val="[Spt-BH.xls][Spt-BH.xls]B___417"/>
      <sheetName val="[Spt-BH.xls][Spt-BH.xls]B___418"/>
      <sheetName val="[Spt-BH.xls][Spt-BH.xls]B___419"/>
      <sheetName val="[Spt-BH.xls]B____x005f_x0004_______32"/>
      <sheetName val="[Spt-BH.xls]B___x005f_x0000__x005f_x0004_32"/>
      <sheetName val="[Spt-BH.xls][Spt-BH.xls]B___420"/>
      <sheetName val="[Spt-BH.xls][Spt-BH.xls]B___421"/>
      <sheetName val="[Spt-BH.xls][Spt-BH.xls]B___415"/>
      <sheetName val="[Spt-BH.xls][Spt-BH.xls]B___422"/>
      <sheetName val="[Spt-BH.xls][Spt-BH.xls]B___423"/>
      <sheetName val="[Spt-BH.xls][Spt-BH.xls]B___424"/>
      <sheetName val="[Spt-BH.xls][Spt-BH.xls]B___425"/>
      <sheetName val="[Spt-BH.xls][Spt-BH.xls]B___426"/>
      <sheetName val="[Spt-BH.xls][Spt-BH.xls]B___427"/>
      <sheetName val="[Spt-BH.xls][Spt-BH.xls]B___429"/>
      <sheetName val="[Spt-BH.xls][Spt-BH.xls]B___430"/>
      <sheetName val="[Spt-BH.xls][Spt-BH.xls]B___431"/>
      <sheetName val="[Spt-BH.xls][Spt-BH.xls]B___432"/>
      <sheetName val="[Spt-BH.xls]B____x005f_x0004_______33"/>
      <sheetName val="[Spt-BH.xls]B___x005f_x0000__x005f_x0004_33"/>
      <sheetName val="[Spt-BH.xls][Spt-BH.xls]B___433"/>
      <sheetName val="[Spt-BH.xls][Spt-BH.xls]B___434"/>
      <sheetName val="[Spt-BH.xls][Spt-BH.xls]B___428"/>
      <sheetName val="[Spt-BH.xls]B____x005f_x0004_______35"/>
      <sheetName val="[Spt-BH.xls]B___x005f_x0000__x005f_x0004_35"/>
      <sheetName val="[Spt-BH.xls][Spt-BH.xls]B___448"/>
      <sheetName val="[Spt-BH.xls][Spt-BH_xls]B____57"/>
      <sheetName val="[Spt-BH.xls][Spt-BH_xls]B____58"/>
      <sheetName val="[Spt-BH.xls][Spt-BH_xls]_Spt_24"/>
      <sheetName val="[Spt-BH.xls][Spt-BH_xls]B____59"/>
      <sheetName val="[Spt-BH.xls][Spt-BH_xls]B____60"/>
      <sheetName val="[Spt-BH.xls][Spt-BH_xls]B____61"/>
      <sheetName val="[Spt-BH.xls][Spt-BH_xls]_Spt_25"/>
      <sheetName val="[Spt-BH.xls][Spt-BH_xls]B____67"/>
      <sheetName val="[Spt-BH.xls][Spt-BH_xls]B____68"/>
      <sheetName val="[Spt-BH.xls][Spt-BH_xls]_Spt_28"/>
      <sheetName val="[Spt-BH.xls][Spt-BH_xls]B____69"/>
      <sheetName val="[Spt-BH.xls][Spt-BH_xls]B____70"/>
      <sheetName val="[Spt-BH.xls][Spt-BH_xls]B____71"/>
      <sheetName val="[Spt-BH.xls][Spt-BH_xls]_Spt_29"/>
      <sheetName val="[Spt-BH.xls][Spt-BH_xls]B____62"/>
      <sheetName val="[Spt-BH.xls][Spt-BH_xls]B____63"/>
      <sheetName val="[Spt-BH.xls][Spt-BH_xls]_Spt_26"/>
      <sheetName val="[Spt-BH.xls][Spt-BH_xls]B____64"/>
      <sheetName val="[Spt-BH.xls][Spt-BH_xls]B____65"/>
      <sheetName val="[Spt-BH.xls][Spt-BH_xls]B____66"/>
      <sheetName val="[Spt-BH.xls][Spt-BH_xls]_Spt_27"/>
      <sheetName val="[Spt-BH.xls][Spt-BH_xls]B____72"/>
      <sheetName val="[Spt-BH.xls][Spt-BH_xls]B____73"/>
      <sheetName val="[Spt-BH.xls][Spt-BH_xls]_Spt_30"/>
      <sheetName val="[Spt-BH.xls][Spt-BH_xls]B____74"/>
      <sheetName val="[Spt-BH.xls][Spt-BH_xls]B____75"/>
      <sheetName val="[Spt-BH.xls][Spt-BH_xls]B____76"/>
      <sheetName val="[Spt-BH.xls][Spt-BH_xls]_Spt_31"/>
      <sheetName val="[Spt-BH.xls][Spt-BH_xls]B____82"/>
      <sheetName val="[Spt-BH.xls][Spt-BH_xls]B____83"/>
      <sheetName val="[Spt-BH.xls][Spt-BH_xls]_Spt_34"/>
      <sheetName val="[Spt-BH.xls][Spt-BH_xls]B____84"/>
      <sheetName val="[Spt-BH.xls][Spt-BH_xls]B____85"/>
      <sheetName val="[Spt-BH.xls][Spt-BH_xls]B____86"/>
      <sheetName val="[Spt-BH.xls][Spt-BH_xls]_Spt_35"/>
      <sheetName val="[Spt-BH.xls][Spt-BH_xls]B____77"/>
      <sheetName val="[Spt-BH.xls][Spt-BH_xls]B____78"/>
      <sheetName val="[Spt-BH.xls][Spt-BH_xls]_Spt_32"/>
      <sheetName val="[Spt-BH.xls][Spt-BH_xls]B____79"/>
      <sheetName val="[Spt-BH.xls][Spt-BH_xls]B____80"/>
      <sheetName val="[Spt-BH.xls][Spt-BH_xls]B____81"/>
      <sheetName val="[Spt-BH.xls][Spt-BH_xls]_Spt_33"/>
      <sheetName val="[Spt-BH.xls][Spt-BH.xls]B___474"/>
      <sheetName val="[Spt-BH.xls][Spt-BH.xls]B___475"/>
      <sheetName val="[Spt-BH.xls][Spt-BH.xls]_Sp_131"/>
      <sheetName val="[Spt-BH.xls][Spt-BH.xls]B___476"/>
      <sheetName val="[Spt-BH.xls][Spt-BH.xls]B___477"/>
      <sheetName val="[Spt-BH.xls][Spt-BH.xls]B___478"/>
      <sheetName val="[Spt-BH.xls]B____x005f_x0004_______37"/>
      <sheetName val="[Spt-BH.xls]B___x005f_x0000__x005f_x0004_37"/>
      <sheetName val="[Spt-BH.xls][Spt-BH.xls]B___479"/>
      <sheetName val="[Spt-BH.xls][Spt-BH.xls]B___468"/>
      <sheetName val="[Spt-BH.xls][Spt-BH.xls]B___469"/>
      <sheetName val="[Spt-BH.xls][Spt-BH.xls]_Sp_127"/>
      <sheetName val="[Spt-BH.xls][Spt-BH.xls]B___470"/>
      <sheetName val="[Spt-BH.xls][Spt-BH.xls]B___471"/>
      <sheetName val="[Spt-BH.xls][Spt-BH.xls]B___472"/>
      <sheetName val="[Spt-BH.xls][Spt-BH.xls]B___473"/>
      <sheetName val="[Spt-BH.xls][Spt-BH.xls]_Sp_128"/>
      <sheetName val="[Spt-BH.xls][Spt-BH_xls]B____92"/>
      <sheetName val="[Spt-BH.xls][Spt-BH_xls]B____93"/>
      <sheetName val="[Spt-BH.xls][Spt-BH_xls]_Spt_38"/>
      <sheetName val="[Spt-BH.xls][Spt-BH_xls]B____94"/>
      <sheetName val="[Spt-BH.xls][Spt-BH_xls]B____95"/>
      <sheetName val="[Spt-BH.xls][Spt-BH_xls]B____96"/>
      <sheetName val="[Spt-BH.xls][Spt-BH_xls]_Spt_39"/>
      <sheetName val="[Spt-BH.xls][Spt-BH.xls]_Sp_126"/>
      <sheetName val="[Spt-BH.xls][Spt-BH.xls]B___486"/>
      <sheetName val="[Spt-BH.xls][Spt-BH.xls]B___487"/>
      <sheetName val="[Spt-BH.xls][Spt-BH.xls]_Sp_133"/>
      <sheetName val="[Spt-BH.xls][Spt-BH.xls]B___488"/>
      <sheetName val="[Spt-BH.xls][Spt-BH.xls]B___489"/>
      <sheetName val="[Spt-BH.xls]B____x005f_x0004_______38"/>
      <sheetName val="[Spt-BH.xls]B___x005f_x0000__x005f_x0004_38"/>
      <sheetName val="[Spt-BH.xls][Spt-BH.xls]B___490"/>
      <sheetName val="[Spt-BH.xls][Spt-BH.xls]B___491"/>
      <sheetName val="[Spt-BH.xls][Spt-BH.xls]_Sp_132"/>
      <sheetName val="[Spt-BH.xls][Spt-BH.xls]_Sp_129"/>
      <sheetName val="[Spt-BH.xls][Spt-BH.xls]B___480"/>
      <sheetName val="[Spt-BH.xls][Spt-BH.xls]B___481"/>
      <sheetName val="[Spt-BH.xls][Spt-BH.xls]B___482"/>
      <sheetName val="[Spt-BH.xls][Spt-BH.xls]B___483"/>
      <sheetName val="[Spt-BH.xls][Spt-BH.xls]B___484"/>
      <sheetName val="[Spt-BH.xls][Spt-BH.xls]B___485"/>
      <sheetName val="[Spt-BH.xls][Spt-BH.xls]_Sp_130"/>
      <sheetName val="[Spt-BH.xls][Spt-BH.xls]B___492"/>
      <sheetName val="[Spt-BH.xls][Spt-BH.xls]B___493"/>
      <sheetName val="[Spt-BH.xls][Spt-BH.xls]_Sp_135"/>
      <sheetName val="[Spt-BH.xls][Spt-BH.xls]B___494"/>
      <sheetName val="[Spt-BH.xls][Spt-BH.xls]B___495"/>
      <sheetName val="[Spt-BH.xls]B____x005f_x0004_______39"/>
      <sheetName val="[Spt-BH.xls]B___x005f_x0000__x005f_x0004_39"/>
      <sheetName val="[Spt-BH.xls][Spt-BH.xls]B___496"/>
      <sheetName val="[Spt-BH.xls][Spt-BH.xls]_Sp_134"/>
      <sheetName val="[Spt-BH.xls][Spt-BH.xls]_Sp_136"/>
      <sheetName val="[Spt-BH.xls][Spt-BH.xls]B___497"/>
      <sheetName val="[Spt-BH.xls][Spt-BH.xls]B___498"/>
      <sheetName val="[Spt-BH.xls][Spt-BH.xls]_Sp_137"/>
      <sheetName val="[Spt-BH.xls][Spt-BH.xls]B___499"/>
      <sheetName val="[Spt-BH.xls][Spt-BH.xls]B___500"/>
      <sheetName val="[Spt-BH.xls][Spt-BH.xls]B___501"/>
      <sheetName val="[Spt-BH.xls][Spt-BH.xls]B___502"/>
      <sheetName val="[Spt-BH.xls][Spt-BH.xls]B___503"/>
      <sheetName val="[Spt-BH.xls][Spt-BH.xls]_Sp_139"/>
      <sheetName val="[Spt-BH.xls][Spt-BH.xls]B___504"/>
      <sheetName val="[Spt-BH.xls][Spt-BH.xls]B___505"/>
      <sheetName val="[Spt-BH.xls][Spt-BH.xls]B___506"/>
      <sheetName val="[Spt-BH.xls][Spt-BH.xls]B___507"/>
      <sheetName val="[Spt-BH.xls][Spt-BH.xls]_Sp_138"/>
      <sheetName val="[Spt-BH.xls][Spt-BH.xls]_Sp_145"/>
      <sheetName val="[Spt-BH.xls][Spt-BH.xls]B___520"/>
      <sheetName val="[Spt-BH.xls][Spt-BH.xls]_Sp_147"/>
      <sheetName val="[Spt-BH.xls][Spt-BH.xls]B___521"/>
      <sheetName val="[Spt-BH.xls][Spt-BH.xls]B___522"/>
      <sheetName val="[Spt-BH.xls][Spt-BH.xls]B___523"/>
      <sheetName val="[Spt-BH.xls]B____x005f_x0004_______41"/>
      <sheetName val="[Spt-BH.xls]B___x005f_x0000__x005f_x0004_41"/>
      <sheetName val="[Spt-BH.xls][Spt-BH.xls]B___524"/>
      <sheetName val="[Spt-BH.xls][Spt-BH.xls]_Sp_146"/>
      <sheetName val="[Spt-BH.xls][Spt-BH_xls]B___112"/>
      <sheetName val="[Spt-BH.xls][Spt-BH_xls]B___113"/>
      <sheetName val="[Spt-BH.xls][Spt-BH_xls]_Spt_46"/>
      <sheetName val="[Spt-BH.xls][Spt-BH_xls]B___114"/>
      <sheetName val="[Spt-BH.xls][Spt-BH_xls]B___115"/>
      <sheetName val="[Spt-BH.xls][Spt-BH_xls]B___116"/>
      <sheetName val="[Spt-BH.xls][Spt-BH_xls]_Spt_47"/>
      <sheetName val="[Spt-BH.xls][Spt-BH_xls]B____97"/>
      <sheetName val="[Spt-BH.xls][Spt-BH_xls]B____98"/>
      <sheetName val="[Spt-BH.xls][Spt-BH_xls]_Spt_40"/>
      <sheetName val="[Spt-BH.xls][Spt-BH_xls]B____99"/>
      <sheetName val="[Spt-BH.xls][Spt-BH_xls]B___100"/>
      <sheetName val="[Spt-BH.xls][Spt-BH_xls]B___101"/>
      <sheetName val="[Spt-BH.xls][Spt-BH_xls]_Spt_41"/>
      <sheetName val="[Spt-BH.xls][Spt-BH_xls]B___102"/>
      <sheetName val="[Spt-BH.xls][Spt-BH_xls]B___103"/>
      <sheetName val="[Spt-BH.xls][Spt-BH_xls]_Spt_42"/>
      <sheetName val="[Spt-BH.xls][Spt-BH_xls]B___104"/>
      <sheetName val="[Spt-BH.xls][Spt-BH_xls]B___105"/>
      <sheetName val="[Spt-BH.xls][Spt-BH_xls]B___106"/>
      <sheetName val="[Spt-BH.xls][Spt-BH_xls]_Spt_43"/>
      <sheetName val="[Spt-BH.xls][Spt-BH_xls]B___107"/>
      <sheetName val="[Spt-BH.xls][Spt-BH_xls]B___108"/>
      <sheetName val="[Spt-BH.xls][Spt-BH_xls]_Spt_44"/>
      <sheetName val="[Spt-BH.xls][Spt-BH_xls]B___109"/>
      <sheetName val="[Spt-BH.xls][Spt-BH_xls]B___110"/>
      <sheetName val="[Spt-BH.xls][Spt-BH_xls]B___111"/>
      <sheetName val="[Spt-BH.xls][Spt-BH_xls]_Spt_45"/>
      <sheetName val="[Spt-BH.xls][Spt-BH.xls]_Sp_143"/>
      <sheetName val="[Spt-BH.xls][Spt-BH.xls]_Sp_144"/>
      <sheetName val="[Spt-BH.xls][Spt-BH.xls]_Sp_148"/>
      <sheetName val="[Spt-BH.xls][Spt-BH.xls]B___530"/>
      <sheetName val="[Spt-BH.xls][Spt-BH.xls]B___531"/>
      <sheetName val="[Spt-BH.xls][Spt-BH.xls]_Sp_151"/>
      <sheetName val="[Spt-BH.xls][Spt-BH.xls]B___532"/>
      <sheetName val="[Spt-BH.xls][Spt-BH.xls]B___533"/>
      <sheetName val="[Spt-BH.xls]B____x005f_x0004_______42"/>
      <sheetName val="[Spt-BH.xls]B___x005f_x0000__x005f_x0004_42"/>
      <sheetName val="[Spt-BH.xls][Spt-BH.xls]B___534"/>
      <sheetName val="[Spt-BH.xls][Spt-BH.xls]B___525"/>
      <sheetName val="[Spt-BH.xls][Spt-BH.xls]B___526"/>
      <sheetName val="[Spt-BH.xls][Spt-BH.xls]_Sp_150"/>
      <sheetName val="[Spt-BH.xls][Spt-BH.xls]B___527"/>
      <sheetName val="[Spt-BH.xls][Spt-BH.xls]B___528"/>
      <sheetName val="[Spt-BH.xls][Spt-BH.xls]B___529"/>
      <sheetName val="[Spt-BH.xls][Spt-BH.xls]_Sp_149"/>
      <sheetName val="[Spt-BH.xls][Spt-BH.xls]_Sp_152"/>
      <sheetName val="[Spt-BH.xls][Spt-BH.xls]B___535"/>
      <sheetName val="[Spt-BH.xls][Spt-BH.xls]B___536"/>
      <sheetName val="[Spt-BH.xls][Spt-BH.xls]_Sp_153"/>
      <sheetName val="[Spt-BH.xls][Spt-BH.xls]B___537"/>
      <sheetName val="[Spt-BH.xls][Spt-BH.xls]B___538"/>
      <sheetName val="[Spt-BH.xls][Spt-BH.xls]B___539"/>
      <sheetName val="[Spt-BH.xls][Spt-BH.xls]B___540"/>
      <sheetName val="[Spt-BH.xls][Spt-BH.xls]B___541"/>
      <sheetName val="[Spt-BH.xls][Spt-BH.xls]_Sp_154"/>
      <sheetName val="[Spt-BH.xls][Spt-BH.xls]B___542"/>
      <sheetName val="[Spt-BH.xls][Spt-BH.xls]B___543"/>
      <sheetName val="[Spt-BH.xls][Spt-BH.xls]B___544"/>
      <sheetName val="[Spt-BH.xls][Spt-BH.xls]B___545"/>
      <sheetName val="[Spt-BH.xls][Spt-BH.xls]B___546"/>
      <sheetName val="[Spt-BH.xls][Spt-BH.xls]_Sp_155"/>
      <sheetName val="[Spt-BH.xls][Spt-BH.xls]B___547"/>
      <sheetName val="[Spt-BH.xls][Spt-BH.xls]B___548"/>
      <sheetName val="[Spt-BH.xls]B____x005f_x0004_______43"/>
      <sheetName val="[Spt-BH.xls]B___x005f_x0000__x005f_x0004_43"/>
      <sheetName val="[Spt-BH.xls][Spt-BH.xls]B___549"/>
      <sheetName val="[Spt-BH.xls][Spt-BH.xls]B___550"/>
      <sheetName val="[Spt-BH.xls][Spt-BH.xls]B___551"/>
      <sheetName val="[Spt-BH.xls][Spt-BH.xls]_Sp_161"/>
      <sheetName val="[Spt-BH.xls][Spt-BH.xls]B___552"/>
      <sheetName val="[Spt-BH.xls][Spt-BH.xls]B___553"/>
      <sheetName val="[Spt-BH.xls][Spt-BH.xls]B___554"/>
      <sheetName val="[Spt-BH.xls][Spt-BH.xls]B___555"/>
      <sheetName val="[Spt-BH.xls][Spt-BH.xls]_Sp_156"/>
      <sheetName val="[Spt-BH.xls][Spt-BH.xls]B___568"/>
      <sheetName val="[Spt-BH.xls][Spt-BH.xls]B___569"/>
      <sheetName val="[Spt-BH.xls][Spt-BH.xls]_Sp_163"/>
      <sheetName val="[Spt-BH.xls][Spt-BH.xls]B___570"/>
      <sheetName val="[Spt-BH.xls][Spt-BH.xls]B___571"/>
      <sheetName val="[Spt-BH.xls][Spt-BH.xls]B___572"/>
      <sheetName val="[Spt-BH.xls]B____x005f_x0004_______44"/>
      <sheetName val="[Spt-BH.xls]B___x005f_x0000__x005f_x0004_44"/>
      <sheetName val="[Spt-BH.xls][Spt-BH.xls]B___573"/>
      <sheetName val="[Spt-BH.xls][Spt-BH.xls]_Sp_162"/>
      <sheetName val="[Spt-BH.xls][Spt-BH_xls]B___117"/>
      <sheetName val="[Spt-BH.xls][Spt-BH_xls]B___118"/>
      <sheetName val="[Spt-BH.xls][Spt-BH_xls]_Spt_48"/>
      <sheetName val="[Spt-BH.xls][Spt-BH_xls]B___119"/>
      <sheetName val="[Spt-BH.xls][Spt-BH_xls]B___120"/>
      <sheetName val="[Spt-BH.xls][Spt-BH_xls]B___121"/>
      <sheetName val="[Spt-BH.xls][Spt-BH_xls]_Spt_49"/>
      <sheetName val="[Spt-BH.xls][Spt-BH.xls]_Sp_159"/>
      <sheetName val="[Spt-BH.xls][Spt-BH.xls]_Sp_157"/>
      <sheetName val="[Spt-BH.xls][Spt-BH.xls]B___556"/>
      <sheetName val="[Spt-BH.xls][Spt-BH.xls]B___557"/>
      <sheetName val="[Spt-BH.xls][Spt-BH.xls]B___558"/>
      <sheetName val="[Spt-BH.xls][Spt-BH.xls]B___559"/>
      <sheetName val="[Spt-BH.xls][Spt-BH.xls]B___560"/>
      <sheetName val="[Spt-BH.xls][Spt-BH.xls]B___561"/>
      <sheetName val="[Spt-BH.xls][Spt-BH.xls]_Sp_158"/>
      <sheetName val="[Spt-BH.xls][Spt-BH.xls]B___562"/>
      <sheetName val="[Spt-BH.xls][Spt-BH.xls]B___563"/>
      <sheetName val="[Spt-BH.xls][Spt-BH.xls]B___564"/>
      <sheetName val="[Spt-BH.xls][Spt-BH.xls]B___565"/>
      <sheetName val="[Spt-BH.xls][Spt-BH.xls]B___566"/>
      <sheetName val="[Spt-BH.xls][Spt-BH.xls]_Sp_160"/>
      <sheetName val="[Spt-BH.xls][Spt-BH.xls]B___567"/>
      <sheetName val="[Spt-BH.xls]B____x005f_x0004_______45"/>
      <sheetName val="[Spt-BH.xls]B___x005f_x0000__x005f_x0004_45"/>
      <sheetName val="[Spt-BH.xls][Spt-BH.xls]_Sp_164"/>
      <sheetName val="[Spt-BH.xls][Spt-BH.xls]_Sp_165"/>
      <sheetName val="[Spt-BH.xls][Spt-BH.xls]_Sp_166"/>
      <sheetName val="[Spt-BH.xls][Spt-BH.xls]_Sp_167"/>
      <sheetName val="[Spt-BH.xls][Spt-BH.xls]B___574"/>
      <sheetName val="[Spt-BH.xls][Spt-BH.xls]B___575"/>
      <sheetName val="[Spt-BH.xls][Spt-BH.xls]_Sp_168"/>
      <sheetName val="[Spt-BH.xls][Spt-BH.xls]B___576"/>
      <sheetName val="[Spt-BH.xls][Spt-BH.xls]B___577"/>
      <sheetName val="[Spt-BH.xls][Spt-BH.xls]B___578"/>
      <sheetName val="[Spt-BH.xls][Spt-BH.xls]_Sp_169"/>
      <sheetName val="[Spt-BH.xls][Spt-BH.xls]B___579"/>
      <sheetName val="[Spt-BH.xls][Spt-BH.xls]B___580"/>
      <sheetName val="[Spt-BH.xls][Spt-BH.xls]_Sp_171"/>
      <sheetName val="[Spt-BH.xls][Spt-BH.xls]B___581"/>
      <sheetName val="[Spt-BH.xls][Spt-BH.xls]B___582"/>
      <sheetName val="[Spt-BH.xls][Spt-BH.xls]B___583"/>
      <sheetName val="[Spt-BH.xls][Spt-BH.xls]B___584"/>
      <sheetName val="[Spt-BH.xls][Spt-BH.xls]_Sp_170"/>
      <sheetName val="[Spt-BH.xls][Spt-BH.xls]B___585"/>
      <sheetName val="[Spt-BH.xls][Spt-BH.xls]B___586"/>
      <sheetName val="[Spt-BH.xls][Spt-BH.xls]_Sp_173"/>
      <sheetName val="[Spt-BH.xls][Spt-BH.xls]B___587"/>
      <sheetName val="[Spt-BH.xls][Spt-BH.xls]B___588"/>
      <sheetName val="[Spt-BH.xls][Spt-BH.xls]B___589"/>
      <sheetName val="[Spt-BH.xls]B____x005f_x0004_______46"/>
      <sheetName val="[Spt-BH.xls]B___x005f_x0000__x005f_x0004_46"/>
      <sheetName val="[Spt-BH.xls][Spt-BH.xls]B___590"/>
      <sheetName val="[Spt-BH.xls][Spt-BH.xls]_Sp_172"/>
      <sheetName val="[Spt-BH.xls][Spt-BH_xls]B___122"/>
      <sheetName val="[Spt-BH.xls][Spt-BH_xls]B___123"/>
      <sheetName val="[Spt-BH.xls][Spt-BH_xls]_Spt_50"/>
      <sheetName val="[Spt-BH.xls][Spt-BH_xls]B___124"/>
      <sheetName val="[Spt-BH.xls][Spt-BH_xls]B___125"/>
      <sheetName val="[Spt-BH.xls][Spt-BH_xls]B___126"/>
      <sheetName val="[Spt-BH.xls][Spt-BH_xls]_Spt_51"/>
      <sheetName val="[Spt-BH.xls][Spt-BH.xls]_Sp_174"/>
      <sheetName val="[Spt-BH.xls][Spt-BH.xls]_Sp_175"/>
      <sheetName val="[Spt-BH.xls][Spt-BH.xls]B___591"/>
      <sheetName val="[Spt-BH.xls][Spt-BH.xls]B___592"/>
      <sheetName val="[Spt-BH.xls][Spt-BH.xls]_Sp_177"/>
      <sheetName val="[Spt-BH.xls][Spt-BH.xls]B___593"/>
      <sheetName val="[Spt-BH.xls][Spt-BH.xls]B___594"/>
      <sheetName val="[Spt-BH.xls][Spt-BH.xls]B___595"/>
      <sheetName val="[Spt-BH.xls][Spt-BH.xls]_Sp_176"/>
      <sheetName val="[Spt-BH.xls][Spt-BH.xls]B___596"/>
      <sheetName val="[Spt-BH.xls][Spt-BH.xls]B___597"/>
      <sheetName val="[Spt-BH.xls][Spt-BH.xls]B___598"/>
      <sheetName val="[Spt-BH.xls][Spt-BH.xls]_Sp_178"/>
      <sheetName val="[Spt-BH.xls][Spt-BH.xls]B___599"/>
      <sheetName val="[Spt-BH.xls][Spt-BH.xls]B___600"/>
      <sheetName val="[Spt-BH.xls]B____x005f_x0004_______47"/>
      <sheetName val="[Spt-BH.xls]B___x005f_x0000__x005f_x0004_47"/>
      <sheetName val="[Spt-BH.xls][Spt-BH.xls]B___601"/>
      <sheetName val="[Spt-BH.xls][Spt-BH.xls]_Sp_182"/>
      <sheetName val="[Spt-BH.xls][Spt-BH.xls]_Sp_183"/>
      <sheetName val="[Spt-BH.xls][Spt-BH.xls]B___636"/>
      <sheetName val="[Spt-BH.xls][Spt-BH.xls]_Sp_190"/>
      <sheetName val="[Spt-BH.xls][Spt-BH.xls]_Sp_185"/>
      <sheetName val="[Spt-BH.xls][Spt-BH.xls]B___619"/>
      <sheetName val="[Spt-BH.xls][Spt-BH.xls]B___620"/>
      <sheetName val="[Spt-BH.xls][Spt-BH.xls]B___621"/>
      <sheetName val="[Spt-BH.xls][Spt-BH.xls]B___622"/>
      <sheetName val="[Spt-BH.xls][Spt-BH.xls]B___623"/>
      <sheetName val="[Spt-BH.xls][Spt-BH.xls]B___624"/>
      <sheetName val="[Spt-BH.xls][Spt-BH.xls]_Sp_186"/>
      <sheetName val="[Spt-BH.xls][Spt-BH.xls]_Sp_187"/>
      <sheetName val="[Spt-BH.xls][Spt-BH.xls]B___625"/>
      <sheetName val="[Spt-BH.xls][Spt-BH.xls]B___626"/>
      <sheetName val="[Spt-BH.xls][Spt-BH.xls]B___627"/>
      <sheetName val="[Spt-BH.xls][Spt-BH.xls]B___628"/>
      <sheetName val="[Spt-BH.xls][Spt-BH.xls]B___629"/>
      <sheetName val="[Spt-BH.xls][Spt-BH.xls]B___630"/>
      <sheetName val="[Spt-BH.xls][Spt-BH.xls]_Sp_188"/>
      <sheetName val="[Spt-BH.xls][Spt-BH.xls]_Sp_192"/>
      <sheetName val="[Spt-BH.xls][Spt-BH.xls]_Sp_193"/>
      <sheetName val="[Spt-BH.xls][Spt-BH.xls]B___637"/>
      <sheetName val="[Spt-BH.xls][Spt-BH.xls]B___638"/>
      <sheetName val="[Spt-BH.xls][Spt-BH.xls]_Sp_196"/>
      <sheetName val="[Spt-BH.xls][Spt-BH.xls]B___639"/>
      <sheetName val="[Spt-BH.xls][Spt-BH.xls]B___640"/>
      <sheetName val="[Spt-BH.xls][Spt-BH.xls]B___641"/>
      <sheetName val="[Spt-BH.xls][Spt-BH.xls]B___642"/>
      <sheetName val="[Spt-BH.xls][Spt-BH.xls]_Sp_194"/>
      <sheetName val="[Spt-BH.xls][Spt-BH.xls]_Sp_195"/>
      <sheetName val="[Spt-BH.xls][Spt-BH.xls]B___643"/>
      <sheetName val="[Spt-BH.xls][Spt-BH.xls]B___644"/>
      <sheetName val="[Spt-BH.xls][Spt-BH.xls]_Sp_198"/>
      <sheetName val="[Spt-BH.xls][Spt-BH.xls]B___645"/>
      <sheetName val="[Spt-BH.xls][Spt-BH.xls]B___646"/>
      <sheetName val="[Spt-BH.xls][Spt-BH.xls]B___647"/>
      <sheetName val="[Spt-BH.xls]B____x005f_x0004_______50"/>
      <sheetName val="[Spt-BH.xls]B___x005f_x0000__x005f_x0004_50"/>
      <sheetName val="[Spt-BH.xls][Spt-BH.xls]B___648"/>
      <sheetName val="[Spt-BH.xls][Spt-BH.xls]_Sp_197"/>
      <sheetName val="[Spt-BH.xls][Spt-BH_xls]B___127"/>
      <sheetName val="[Spt-BH.xls][Spt-BH_xls]B___128"/>
      <sheetName val="[Spt-BH.xls][Spt-BH_xls]_Spt_52"/>
      <sheetName val="[Spt-BH.xls][Spt-BH_xls]B___129"/>
      <sheetName val="[Spt-BH.xls][Spt-BH_xls]B___130"/>
      <sheetName val="[Spt-BH.xls][Spt-BH_xls]B___131"/>
      <sheetName val="[Spt-BH.xls][Spt-BH_xls]_Spt_53"/>
      <sheetName val="[Spt-BH.xls][Spt-BH.xls]B___685"/>
      <sheetName val="[Spt-BH.xls][Spt-BH.xls]B___686"/>
      <sheetName val="[Spt-BH.xls][Spt-BH.xls]_Sp_210"/>
      <sheetName val="[Spt-BH.xls][Spt-BH.xls]B___687"/>
      <sheetName val="[Spt-BH.xls][Spt-BH.xls]B___688"/>
      <sheetName val="[Spt-BH.xls][Spt-BH.xls]B___679"/>
      <sheetName val="[Spt-BH.xls][Spt-BH.xls]B___680"/>
      <sheetName val="[Spt-BH.xls][Spt-BH.xls]_Sp_208"/>
      <sheetName val="[Spt-BH.xls][Spt-BH.xls]B___681"/>
      <sheetName val="[Spt-BH.xls]B____x005f_x0004_______54"/>
      <sheetName val="[Spt-BH.xls]B___x005f_x0000__x005f_x0004_54"/>
      <sheetName val="[Spt-BH.xls][Spt-BH.xls]B___689"/>
      <sheetName val="[Spt-BH.xls][Spt-BH.xls]B___682"/>
      <sheetName val="[Spt-BH.xls][Spt-BH.xls]_Sp_207"/>
      <sheetName val="[Spt-BH.xls][Spt-BH.xls]B___683"/>
      <sheetName val="[Spt-BH.xls][Spt-BH.xls]B___654"/>
      <sheetName val="[Spt-BH.xls][Spt-BH.xls]B___655"/>
      <sheetName val="[Spt-BH.xls][Spt-BH.xls]B___656"/>
      <sheetName val="[Spt-BH.xls][Spt-BH.xls]B___657"/>
      <sheetName val="[Spt-BH.xls][Spt-BH.xls]B___649"/>
      <sheetName val="[Spt-BH.xls][Spt-BH.xls]B___650"/>
      <sheetName val="[Spt-BH.xls][Spt-BH.xls]_Sp_200"/>
      <sheetName val="[Spt-BH.xls][Spt-BH.xls]B___651"/>
      <sheetName val="[Spt-BH.xls]B____x005f_x0004_______51"/>
      <sheetName val="[Spt-BH.xls]B___x005f_x0000__x005f_x0004_51"/>
      <sheetName val="[Spt-BH.xls][Spt-BH.xls]B___658"/>
      <sheetName val="[Spt-BH.xls][Spt-BH.xls]B___652"/>
      <sheetName val="[Spt-BH.xls][Spt-BH.xls]_Sp_199"/>
      <sheetName val="[Spt-BH.xls][Spt-BH.xls]B___653"/>
      <sheetName val="[Spt-BH.xls][Spt-BH.xls]B___664"/>
      <sheetName val="[Spt-BH.xls][Spt-BH.xls]B___665"/>
      <sheetName val="[Spt-BH.xls][Spt-BH.xls]_Sp_203"/>
      <sheetName val="[Spt-BH.xls][Spt-BH.xls]B___666"/>
      <sheetName val="[Spt-BH.xls][Spt-BH.xls]B___667"/>
      <sheetName val="[Spt-BH.xls][Spt-BH.xls]B___659"/>
      <sheetName val="[Spt-BH.xls][Spt-BH.xls]B___660"/>
      <sheetName val="[Spt-BH.xls][Spt-BH.xls]_Sp_202"/>
      <sheetName val="[Spt-BH.xls][Spt-BH.xls]B___661"/>
      <sheetName val="[Spt-BH.xls]B____x005f_x0004_______52"/>
      <sheetName val="[Spt-BH.xls]B___x005f_x0000__x005f_x0004_52"/>
      <sheetName val="[Spt-BH.xls][Spt-BH.xls]B___668"/>
      <sheetName val="[Spt-BH.xls][Spt-BH.xls]B___662"/>
      <sheetName val="[Spt-BH.xls][Spt-BH.xls]_Sp_201"/>
      <sheetName val="[Spt-BH.xls][Spt-BH.xls]B___663"/>
      <sheetName val="[Spt-BH.xls][Spt-BH.xls]B___674"/>
      <sheetName val="[Spt-BH.xls][Spt-BH.xls]B___675"/>
      <sheetName val="[Spt-BH.xls][Spt-BH.xls]B___676"/>
      <sheetName val="[Spt-BH.xls][Spt-BH.xls]B___677"/>
      <sheetName val="[Spt-BH.xls][Spt-BH.xls]B___669"/>
      <sheetName val="[Spt-BH.xls][Spt-BH.xls]B___670"/>
      <sheetName val="[Spt-BH.xls][Spt-BH.xls]_Sp_205"/>
      <sheetName val="[Spt-BH.xls][Spt-BH.xls]B___671"/>
      <sheetName val="[Spt-BH.xls]B____x005f_x0004_______53"/>
      <sheetName val="[Spt-BH.xls]B___x005f_x0000__x005f_x0004_53"/>
      <sheetName val="[Spt-BH.xls][Spt-BH.xls]B___678"/>
      <sheetName val="[Spt-BH.xls][Spt-BH.xls]B___672"/>
      <sheetName val="[Spt-BH.xls][Spt-BH.xls]_Sp_204"/>
      <sheetName val="[Spt-BH.xls][Spt-BH.xls]B___673"/>
      <sheetName val="[Spt-BH.xls][Spt-BH.xls]B___684"/>
      <sheetName val="[Spt-BH.xls][Spt-BH.xls]_Sp_206"/>
      <sheetName val="[Spt-BH.xls][Spt-BH.xls]_Sp_209"/>
      <sheetName val="[Spt-BH.xls][Spt-BH.xls]B___726"/>
      <sheetName val="[Spt-BH.xls][Spt-BH.xls]B___727"/>
      <sheetName val="[Spt-BH.xls][Spt-BH.xls]_Sp_219"/>
      <sheetName val="[Spt-BH.xls][Spt-BH.xls]B___728"/>
      <sheetName val="[Spt-BH.xls][Spt-BH.xls]B___729"/>
      <sheetName val="[Spt-BH.xls][Spt-BH.xls]B___720"/>
      <sheetName val="[Spt-BH.xls][Spt-BH.xls]B___721"/>
      <sheetName val="[Spt-BH.xls][Spt-BH.xls]_Sp_218"/>
      <sheetName val="[Spt-BH.xls][Spt-BH.xls]B___722"/>
      <sheetName val="[Spt-BH.xls][Spt-BH.xls]B___723"/>
      <sheetName val="[Spt-BH.xls][Spt-BH.xls]_Sp_217"/>
      <sheetName val="[Spt-BH.xls][Spt-BH.xls]B___724"/>
      <sheetName val="[Spt-BH.xls][Spt-BH.xls]B___725"/>
      <sheetName val="[Spt-BH.xls][Spt-BH.xls]B___730"/>
      <sheetName val="[Spt-BH.xls][Spt-BH.xls]B___698"/>
      <sheetName val="[Spt-BH.xls][Spt-BH.xls]B___699"/>
      <sheetName val="[Spt-BH.xls][Spt-BH.xls]_Sp_212"/>
      <sheetName val="[Spt-BH.xls][Spt-BH.xls]B___700"/>
      <sheetName val="[Spt-BH.xls][Spt-BH.xls]B___701"/>
      <sheetName val="[Spt-BH.xls][Spt-BH.xls]B___692"/>
      <sheetName val="[Spt-BH.xls][Spt-BH.xls]B___693"/>
      <sheetName val="[Spt-BH.xls][Spt-BH.xls]B___702"/>
      <sheetName val="[Spt-BH.xls][Spt-BH.xls]_Sp_211"/>
      <sheetName val="[Spt-BH.xls][Spt-BH.xls]B___694"/>
      <sheetName val="[Spt-BH.xls][Spt-BH.xls]B___695"/>
      <sheetName val="[Spt-BH.xls][Spt-BH.xls]B___696"/>
      <sheetName val="[Spt-BH.xls][Spt-BH.xls]B___697"/>
      <sheetName val="[Spt-BH.xls]B____x005f_x0004_______56"/>
      <sheetName val="[Spt-BH.xls]B___x005f_x0000__x005f_x0004_56"/>
      <sheetName val="[Spt-BH.xls][Spt-BH.xls]B___690"/>
      <sheetName val="[Spt-BH.xls][Spt-BH.xls]B___691"/>
      <sheetName val="[Spt-BH.xls]B____x005f_x0004_______55"/>
      <sheetName val="[Spt-BH.xls]B___x005f_x0000__x005f_x0004_55"/>
      <sheetName val="[Spt-BH.xls]B____x005f_x0004_______59"/>
      <sheetName val="[Spt-BH.xls]B___x005f_x0000__x005f_x0004_59"/>
      <sheetName val="[Spt-BH.xls][Spt-BH.xls]B___703"/>
      <sheetName val="[Spt-BH.xls][Spt-BH.xls]B___704"/>
      <sheetName val="[Spt-BH.xls][Spt-BH.xls]_Sp_214"/>
      <sheetName val="[Spt-BH.xls][Spt-BH.xls]B___705"/>
      <sheetName val="[Spt-BH.xls][Spt-BH.xls]B___706"/>
      <sheetName val="[Spt-BH.xls][Spt-BH.xls]B___707"/>
      <sheetName val="[Spt-BH.xls][Spt-BH.xls]_Sp_213"/>
      <sheetName val="[Spt-BH.xls][Spt-BH.xls]B___708"/>
      <sheetName val="[Spt-BH.xls][Spt-BH.xls]B___709"/>
      <sheetName val="[Spt-BH.xls][Spt-BH.xls]B___710"/>
      <sheetName val="[Spt-BH.xls][Spt-BH.xls]B___711"/>
      <sheetName val="[Spt-BH.xls][Spt-BH.xls]_Sp_215"/>
      <sheetName val="[Spt-BH.xls][Spt-BH.xls]B___712"/>
      <sheetName val="[Spt-BH.xls][Spt-BH.xls]B___713"/>
      <sheetName val="[Spt-BH.xls]B____x005f_x0004_______57"/>
      <sheetName val="[Spt-BH.xls]B___x005f_x0000__x005f_x0004_57"/>
      <sheetName val="[Spt-BH.xls][Spt-BH.xls]B___714"/>
      <sheetName val="[Spt-BH.xls][Spt-BH.xls]B___715"/>
      <sheetName val="[Spt-BH.xls][Spt-BH.xls]B___716"/>
      <sheetName val="[Spt-BH.xls][Spt-BH.xls]B___717"/>
      <sheetName val="[Spt-BH.xls][Spt-BH.xls]_Sp_216"/>
      <sheetName val="[Spt-BH.xls][Spt-BH.xls]B___718"/>
      <sheetName val="[Spt-BH.xls][Spt-BH.xls]B___719"/>
      <sheetName val="[Spt-BH.xls]B____x005f_x0004_______58"/>
      <sheetName val="[Spt-BH.xls]B___x005f_x0000__x005f_x0004_58"/>
      <sheetName val="[Spt-BH.xls][Spt-BH.xls]B___766"/>
      <sheetName val="[Spt-BH.xls][Spt-BH.xls]B___767"/>
      <sheetName val="[Spt-BH.xls][Spt-BH.xls]_Sp_229"/>
      <sheetName val="[Spt-BH.xls][Spt-BH.xls]B___768"/>
      <sheetName val="[Spt-BH.xls][Spt-BH.xls]B___769"/>
      <sheetName val="[Spt-BH.xls][Spt-BH.xls]B___743"/>
      <sheetName val="[Spt-BH.xls][Spt-BH.xls]B___744"/>
      <sheetName val="[Spt-BH.xls][Spt-BH.xls]_Sp_228"/>
      <sheetName val="[Spt-BH.xls][Spt-BH.xls]B___745"/>
      <sheetName val="[Spt-BH.xls]B____x005f_x0004_______62"/>
      <sheetName val="[Spt-BH.xls]B___x005f_x0000__x005f_x0004_62"/>
      <sheetName val="[Spt-BH.xls][Spt-BH.xls]B___770"/>
      <sheetName val="[Spt-BH.xls][Spt-BH.xls]B___746"/>
      <sheetName val="[Spt-BH.xls][Spt-BH.xls]_Sp_222"/>
      <sheetName val="[Spt-BH.xls][Spt-BH.xls]B___747"/>
      <sheetName val="[Spt-BH.xls][Spt-BH.xls]B___748"/>
      <sheetName val="[Spt-BH.xls][Spt-BH.xls]B___731"/>
      <sheetName val="[Spt-BH.xls][Spt-BH.xls]B___732"/>
      <sheetName val="[Spt-BH.xls][Spt-BH.xls]B___733"/>
      <sheetName val="[Spt-BH.xls]B____x005f_x0004_______60"/>
      <sheetName val="[Spt-BH.xls]B___x005f_x0000__x005f_x0004_60"/>
      <sheetName val="[Spt-BH.xls][Spt-BH.xls]B___734"/>
      <sheetName val="[Spt-BH.xls][Spt-BH.xls]_Sp_220"/>
      <sheetName val="[Spt-BH.xls][Spt-BH.xls]B___735"/>
      <sheetName val="[Spt-BH.xls][Spt-BH.xls]B___736"/>
      <sheetName val="[Spt-BH.xls][Spt-BH.xls]B___737"/>
      <sheetName val="[Spt-BH.xls][Spt-BH.xls]B___738"/>
      <sheetName val="[Spt-BH.xls][Spt-BH.xls]B___739"/>
      <sheetName val="[Spt-BH.xls]B____x005f_x0004_______61"/>
      <sheetName val="[Spt-BH.xls]B___x005f_x0000__x005f_x0004_61"/>
      <sheetName val="[Spt-BH.xls][Spt-BH.xls]B___740"/>
      <sheetName val="[Spt-BH.xls][Spt-BH.xls]_Sp_221"/>
      <sheetName val="[Spt-BH.xls][Spt-BH.xls]B___741"/>
      <sheetName val="[Spt-BH.xls][Spt-BH.xls]B___742"/>
      <sheetName val="[Spt-BH.xls][Spt-BH.xls]B___772"/>
      <sheetName val="[Spt-BH.xls][Spt-BH.xls]B___773"/>
      <sheetName val="[Spt-BH.xls][Spt-BH.xls]_Sp_230"/>
      <sheetName val="[Spt-BH.xls][Spt-BH.xls]B___774"/>
      <sheetName val="[Spt-BH.xls][Spt-BH.xls]B___775"/>
      <sheetName val="[Spt-BH.xls][Spt-BH.xls]B___776"/>
      <sheetName val="[Spt-BH.xls][Spt-BH.xls]B___771"/>
      <sheetName val="[Spt-BH.xls]B____x005f_x0004_______65"/>
      <sheetName val="[Spt-BH.xls]B___x005f_x0000__x005f_x0004_65"/>
      <sheetName val="[Spt-BH.xls][Spt-BH.xls]B___755"/>
      <sheetName val="[Spt-BH.xls][Spt-BH.xls]B___756"/>
      <sheetName val="[Spt-BH.xls][Spt-BH.xls]_Sp_225"/>
      <sheetName val="[Spt-BH.xls][Spt-BH.xls]B___757"/>
      <sheetName val="[Spt-BH.xls][Spt-BH.xls]B___758"/>
      <sheetName val="[Spt-BH.xls][Spt-BH.xls]B___749"/>
      <sheetName val="[Spt-BH.xls][Spt-BH.xls]B___750"/>
      <sheetName val="[Spt-BH.xls][Spt-BH.xls]_Sp_224"/>
      <sheetName val="[Spt-BH.xls][Spt-BH.xls]B___751"/>
      <sheetName val="[Spt-BH.xls]B____x005f_x0004_______63"/>
      <sheetName val="[Spt-BH.xls]B___x005f_x0000__x005f_x0004_63"/>
      <sheetName val="[Spt-BH.xls][Spt-BH.xls]B___759"/>
      <sheetName val="[Spt-BH.xls][Spt-BH.xls]B___752"/>
      <sheetName val="[Spt-BH.xls][Spt-BH.xls]_Sp_223"/>
      <sheetName val="[Spt-BH.xls][Spt-BH.xls]B___753"/>
      <sheetName val="[Spt-BH.xls][Spt-BH.xls]B___754"/>
      <sheetName val="[Spt-BH.xls][Spt-BH.xls]_Sp_226"/>
      <sheetName val="[Spt-BH.xls][Spt-BH.xls]B___760"/>
      <sheetName val="[Spt-BH.xls][Spt-BH.xls]B___761"/>
      <sheetName val="[Spt-BH.xls][Spt-BH.xls]B___762"/>
      <sheetName val="[Spt-BH.xls][Spt-BH.xls]B___763"/>
      <sheetName val="[Spt-BH.xls][Spt-BH.xls]_Sp_227"/>
      <sheetName val="[Spt-BH.xls][Spt-BH.xls]B___764"/>
      <sheetName val="[Spt-BH.xls][Spt-BH.xls]B___765"/>
      <sheetName val="[Spt-BH.xls]B____x005f_x0004_______64"/>
      <sheetName val="[Spt-BH.xls]B___x005f_x0000__x005f_x0004_64"/>
      <sheetName val="[Spt-BH.xls][Spt-BH.xls]_Sp_242"/>
      <sheetName val="[Spt-BH.xls][Spt-BH.xls]B___820"/>
      <sheetName val="[Spt-BH.xls][Spt-BH.xls]B___821"/>
      <sheetName val="[Spt-BH.xls][Spt-BH.xls]_Sp_426"/>
      <sheetName val="[Spt-BH.xls][Spt-BH.xls]B___822"/>
      <sheetName val="[Spt-BH.xls][Spt-BH.xls]B___823"/>
      <sheetName val="[Spt-BH.xls][Spt-BH.xls]B___824"/>
      <sheetName val="[Spt-BH.xls][Spt-BH.xls]B__1418"/>
      <sheetName val="[Spt-BH.xls][Spt-BH.xls]B__1419"/>
      <sheetName val="[Spt-BH.xls][Spt-BH.xls]_Sp_428"/>
      <sheetName val="[Spt-BH.xls][Spt-BH.xls]B__1420"/>
      <sheetName val="[Spt-BH.xls][Spt-BH.xls]B__1421"/>
      <sheetName val="[Spt-BH.xls][Spt-BH.xls]B___825"/>
      <sheetName val="[Spt-BH.xls][Spt-BH.xls]B__1422"/>
      <sheetName val="[Spt-BH.xls]B____x005f_x0004_______69"/>
      <sheetName val="[Spt-BH.xls]B___x005f_x0000__x005f_x0004_69"/>
      <sheetName val="[Spt-BH.xls][Spt-BH.xls]B___788"/>
      <sheetName val="[Spt-BH.xls][Spt-BH.xls]B___789"/>
      <sheetName val="[Spt-BH.xls][Spt-BH.xls]_Sp_233"/>
      <sheetName val="[Spt-BH.xls][Spt-BH.xls]B___790"/>
      <sheetName val="[Spt-BH.xls][Spt-BH.xls]B___791"/>
      <sheetName val="[Spt-BH.xls][Spt-BH.xls]B___782"/>
      <sheetName val="[Spt-BH.xls][Spt-BH.xls]B___783"/>
      <sheetName val="[Spt-BH.xls][Spt-BH.xls]B___792"/>
      <sheetName val="[Spt-BH.xls][Spt-BH.xls]_Sp_231"/>
      <sheetName val="[Spt-BH.xls][Spt-BH.xls]_Sp_232"/>
      <sheetName val="[Spt-BH.xls][Spt-BH.xls]B___784"/>
      <sheetName val="[Spt-BH.xls][Spt-BH.xls]B___785"/>
      <sheetName val="[Spt-BH.xls][Spt-BH.xls]B___786"/>
      <sheetName val="[Spt-BH.xls][Spt-BH.xls]B___787"/>
      <sheetName val="[Spt-BH.xls]B____x005f_x0004_______66"/>
      <sheetName val="[Spt-BH.xls]B___x005f_x0000__x005f_x0004_66"/>
      <sheetName val="[Spt-BH.xls][Spt-BH.xls]B___777"/>
      <sheetName val="[Spt-BH.xls][Spt-BH.xls]B___778"/>
      <sheetName val="[Spt-BH.xls][Spt-BH.xls]B___779"/>
      <sheetName val="[Spt-BH.xls][Spt-BH.xls]B___780"/>
      <sheetName val="[Spt-BH.xls][Spt-BH.xls]B___781"/>
      <sheetName val="[Spt-BH.xls][Spt-BH.xls]B___799"/>
      <sheetName val="[Spt-BH.xls][Spt-BH.xls]B___800"/>
      <sheetName val="[Spt-BH.xls][Spt-BH.xls]_Sp_237"/>
      <sheetName val="[Spt-BH.xls][Spt-BH.xls]B___801"/>
      <sheetName val="[Spt-BH.xls][Spt-BH.xls]B___802"/>
      <sheetName val="[Spt-BH.xls][Spt-BH.xls]B___793"/>
      <sheetName val="[Spt-BH.xls][Spt-BH.xls]B___794"/>
      <sheetName val="[Spt-BH.xls][Spt-BH.xls]_Sp_235"/>
      <sheetName val="[Spt-BH.xls][Spt-BH.xls]B___795"/>
      <sheetName val="[Spt-BH.xls][Spt-BH.xls]B___796"/>
      <sheetName val="[Spt-BH.xls][Spt-BH.xls]_Sp_234"/>
      <sheetName val="[Spt-BH.xls][Spt-BH.xls]B___797"/>
      <sheetName val="[Spt-BH.xls][Spt-BH.xls]B___798"/>
      <sheetName val="[Spt-BH.xls][Spt-BH.xls]B___803"/>
      <sheetName val="[Spt-BH.xls]B____x005f_x0004_______67"/>
      <sheetName val="[Spt-BH.xls]B___x005f_x0000__x005f_x0004_67"/>
      <sheetName val="[Spt-BH.xls][Spt-BH.xls]_Sp_236"/>
      <sheetName val="[Spt-BH.xls][Spt-BH.xls]_Sp_238"/>
      <sheetName val="[Spt-BH.xls][Spt-BH.xls]B___804"/>
      <sheetName val="[Spt-BH.xls][Spt-BH.xls]B___805"/>
      <sheetName val="[Spt-BH.xls][Spt-BH.xls]_Sp_240"/>
      <sheetName val="[Spt-BH.xls][Spt-BH.xls]B___806"/>
      <sheetName val="[Spt-BH.xls][Spt-BH.xls]B___807"/>
      <sheetName val="[Spt-BH.xls][Spt-BH.xls]B___808"/>
      <sheetName val="[Spt-BH.xls][Spt-BH.xls]B___815"/>
      <sheetName val="[Spt-BH.xls][Spt-BH.xls]B___816"/>
      <sheetName val="[Spt-BH.xls][Spt-BH.xls]_Sp_241"/>
      <sheetName val="[Spt-BH.xls][Spt-BH.xls]B___817"/>
      <sheetName val="[Spt-BH.xls][Spt-BH.xls]B___818"/>
      <sheetName val="[Spt-BH.xls][Spt-BH.xls]B___809"/>
      <sheetName val="[Spt-BH.xls][Spt-BH.xls]B___819"/>
      <sheetName val="[Spt-BH.xls]B____x005f_x0004_______68"/>
      <sheetName val="[Spt-BH.xls]B___x005f_x0000__x005f_x0004_68"/>
      <sheetName val="[Spt-BH.xls][Spt-BH.xls]_Sp_239"/>
      <sheetName val="[Spt-BH.xls][Spt-BH.xls]B___810"/>
      <sheetName val="[Spt-BH.xls][Spt-BH.xls]B___811"/>
      <sheetName val="[Spt-BH.xls][Spt-BH.xls]B___812"/>
      <sheetName val="[Spt-BH.xls][Spt-BH.xls]B___813"/>
      <sheetName val="[Spt-BH.xls][Spt-BH.xls]B___814"/>
      <sheetName val="[Spt-BH.xls][Spt-BH.xls]B__1425"/>
      <sheetName val="[Spt-BH.xls][Spt-BH.xls]B__1426"/>
      <sheetName val="[Spt-BH.xls][Spt-BH.xls]_Sp_431"/>
      <sheetName val="[Spt-BH.xls][Spt-BH.xls]B__1427"/>
      <sheetName val="[Spt-BH.xls][Spt-BH.xls]B__1428"/>
      <sheetName val="[Spt-BH.xls][Spt-BH.xls]B__1423"/>
      <sheetName val="[Spt-BH.xls][Spt-BH.xls]B__1429"/>
      <sheetName val="[Spt-BH.xls]B____x005f_x0004_______97"/>
      <sheetName val="[Spt-BH.xls]B___x005f_x0000__x005f_x0004_97"/>
      <sheetName val="[Spt-BH.xls][Spt-BH.xls]B__1178"/>
      <sheetName val="[Spt-BH.xls][Spt-BH.xls]B__1179"/>
      <sheetName val="[Spt-BH.xls][Spt-BH.xls]B__1172"/>
      <sheetName val="[Spt-BH.xls][Spt-BH.xls]B__1173"/>
      <sheetName val="[Spt-BH.xls][Spt-BH.xls]_Sp_346"/>
      <sheetName val="[Spt-BH.xls][Spt-BH.xls]B__1180"/>
      <sheetName val="[Spt-BH.xls][Spt-BH.xls]B__1181"/>
      <sheetName val="[Spt-BH.xls][Spt-BH.xls]B__1182"/>
      <sheetName val="[Spt-BH.xls][Spt-BH.xls]_Sp_343"/>
      <sheetName val="[Spt-BH.xls][Spt-BH.xls]_Sp_345"/>
      <sheetName val="[Spt-BH.xls][Spt-BH.xls]B__1174"/>
      <sheetName val="[Spt-BH.xls][Spt-BH.xls]B__1175"/>
      <sheetName val="[Spt-BH.xls][Spt-BH.xls]B__1176"/>
      <sheetName val="[Spt-BH.xls]B____x005f_x0004_______73"/>
      <sheetName val="[Spt-BH.xls]B___x005f_x0000__x005f_x0004_73"/>
      <sheetName val="[Spt-BH.xls][Spt-BH.xls]B__1183"/>
      <sheetName val="[Spt-BH.xls][Spt-BH.xls]B__1177"/>
      <sheetName val="factor sheet"/>
      <sheetName val="[Spt-BH.xls][Spt-BH.xls]B___826"/>
      <sheetName val="[Spt-BH.xls][Spt-BH.xls]B___827"/>
      <sheetName val="[Spt-BH.xls][Spt-BH.xls]B___828"/>
      <sheetName val="[Spt-BH.xls][Spt-BH.xls]B___829"/>
      <sheetName val="SPT_vs_PHI35"/>
      <sheetName val="glass_project_concrete35"/>
      <sheetName val="glass_project_reift35"/>
      <sheetName val="glass_project_indices35"/>
      <sheetName val="Summary_050634"/>
      <sheetName val="Summary_0607-_31_MAR34"/>
      <sheetName val="Civil_Boq33"/>
      <sheetName val="Break_up_Sheet33"/>
      <sheetName val="SBC-BH_1934"/>
      <sheetName val="Rate_Analysis34"/>
      <sheetName val="TBAL9697_-group_wise__sdpl33"/>
      <sheetName val="Abstract_Sheet33"/>
      <sheetName val="Pile_cap33"/>
      <sheetName val="V_O_4_-_PCC_Qty33"/>
      <sheetName val="Legal_Risk_Analysis33"/>
      <sheetName val="BH_12-11-10-1334"/>
      <sheetName val="BH_12-11-10-934"/>
      <sheetName val="BH_36-15-3734"/>
      <sheetName val="BH_16-35-25-1734"/>
      <sheetName val="BH_35-25-1734"/>
      <sheetName val="Sheet1_(2)34"/>
      <sheetName val="d-safe_DELUXE33"/>
      <sheetName val="PRECAST_lightconc-II33"/>
      <sheetName val="RCC,Ret__Wall33"/>
      <sheetName val="Form_634"/>
      <sheetName val="PointNo_533"/>
      <sheetName val="E_&amp;_R33"/>
      <sheetName val="Mix_Design33"/>
      <sheetName val="Fill_this_out_first___33"/>
      <sheetName val="REVISED4A_PROG_PERF-SITE_133"/>
      <sheetName val="CABLE_DATA33"/>
      <sheetName val="BOQ_Direct_selling_cost33"/>
      <sheetName val="BOQ_(2)33"/>
      <sheetName val="final_abstract33"/>
      <sheetName val="Rev_S1_Abstract33"/>
      <sheetName val="Quantity_Abstract33"/>
      <sheetName val="Staff_Acco_33"/>
      <sheetName val="Pipe_Supports33"/>
      <sheetName val="M-Book_for_Conc33"/>
      <sheetName val="M-Book_for_FW33"/>
      <sheetName val="Load_Details-220kV33"/>
      <sheetName val="beam-reinft-IIInd_floor33"/>
      <sheetName val="INPUT_SHEET33"/>
      <sheetName val="Project_Budget_Worksheet33"/>
      <sheetName val="SANJAY_PAL33"/>
      <sheetName val="P_A_SELVAM33"/>
      <sheetName val="ANSARI_33"/>
      <sheetName val="abdesh_pal33"/>
      <sheetName val="sujay_bagchi33"/>
      <sheetName val="S_K_SINHA_BASU33"/>
      <sheetName val="KRISHNA_PRASAD33"/>
      <sheetName val="BARATH_&amp;_CO33"/>
      <sheetName val="L_B_YADAV33"/>
      <sheetName val="DEEPAK_KUMAR33"/>
      <sheetName val="MUKLAL_YADAV33"/>
      <sheetName val="MADHU_SUDHAN33"/>
      <sheetName val="SAUD_ALAM_33"/>
      <sheetName val="RAMESH_BABU33"/>
      <sheetName val="SAILEN_SARKAR33"/>
      <sheetName val="SANJAY_JENA133"/>
      <sheetName val="upendra_saw_33"/>
      <sheetName val="ALLOK_KUMAR_33"/>
      <sheetName val="except_wiring33"/>
      <sheetName val="BOQ_-II_ph_233"/>
      <sheetName val="STAFFSCHED_32"/>
      <sheetName val="Fee_Rate_Summary32"/>
      <sheetName val="d-safe_specs32"/>
      <sheetName val="class_&amp;_category32"/>
      <sheetName val="Rein-Final_(Ph_1+Ph2)32"/>
      <sheetName val="Metso_-_Forth_&amp;_Slurry_11_02_42"/>
      <sheetName val="220_11__BS_32"/>
      <sheetName val="SSR_&amp;_NSSR_Market_final32"/>
      <sheetName val="India_F&amp;S_Template32"/>
      <sheetName val="Quote_Sheet32"/>
      <sheetName val="Site_wise_NADs32"/>
      <sheetName val="precast_RC_element32"/>
      <sheetName val="Materials_Cost(PCC)32"/>
      <sheetName val="Stress_Calculation32"/>
      <sheetName val="RA_RCC_F32"/>
      <sheetName val="plinth_Beam_+_Stirrups_32"/>
      <sheetName val="GF_COLUMNS32"/>
      <sheetName val="G_F_ROOF_BEAM_32"/>
      <sheetName val="GF_SLAB_STEEL32"/>
      <sheetName val="GF_Lintel32"/>
      <sheetName val="GF_Stair32"/>
      <sheetName val="FF_COLUMNS32"/>
      <sheetName val="F_F__Steel_FINAL_(2)32"/>
      <sheetName val="FF_Lintel32"/>
      <sheetName val="FF_Stair32"/>
      <sheetName val="S_F__Steel_FINAL_32"/>
      <sheetName val="SF_Lintel32"/>
      <sheetName val="2_2_띠장의_설계5"/>
      <sheetName val="Ra__stair5"/>
      <sheetName val="SPT_vs_PHI33"/>
      <sheetName val="glass_project_concrete33"/>
      <sheetName val="glass_project_reift33"/>
      <sheetName val="glass_project_indices33"/>
      <sheetName val="Summary_050632"/>
      <sheetName val="Summary_0607-_31_MAR32"/>
      <sheetName val="Civil_Boq31"/>
      <sheetName val="Break_up_Sheet31"/>
      <sheetName val="SBC-BH_1932"/>
      <sheetName val="Rate_Analysis32"/>
      <sheetName val="TBAL9697_-group_wise__sdpl31"/>
      <sheetName val="Abstract_Sheet31"/>
      <sheetName val="Pile_cap31"/>
      <sheetName val="V_O_4_-_PCC_Qty31"/>
      <sheetName val="Legal_Risk_Analysis31"/>
      <sheetName val="BH_12-11-10-1332"/>
      <sheetName val="BH_12-11-10-932"/>
      <sheetName val="BH_36-15-3732"/>
      <sheetName val="BH_16-35-25-1732"/>
      <sheetName val="BH_35-25-1732"/>
      <sheetName val="Sheet1_(2)32"/>
      <sheetName val="d-safe_DELUXE31"/>
      <sheetName val="PRECAST_lightconc-II31"/>
      <sheetName val="RCC,Ret__Wall31"/>
      <sheetName val="Form_632"/>
      <sheetName val="PointNo_531"/>
      <sheetName val="E_&amp;_R31"/>
      <sheetName val="Mix_Design31"/>
      <sheetName val="Fill_this_out_first___31"/>
      <sheetName val="REVISED4A_PROG_PERF-SITE_131"/>
      <sheetName val="CABLE_DATA31"/>
      <sheetName val="BOQ_Direct_selling_cost31"/>
      <sheetName val="BOQ_(2)31"/>
      <sheetName val="final_abstract31"/>
      <sheetName val="Rev_S1_Abstract31"/>
      <sheetName val="Quantity_Abstract31"/>
      <sheetName val="Staff_Acco_31"/>
      <sheetName val="Pipe_Supports31"/>
      <sheetName val="M-Book_for_Conc31"/>
      <sheetName val="M-Book_for_FW31"/>
      <sheetName val="Load_Details-220kV31"/>
      <sheetName val="beam-reinft-IIInd_floor31"/>
      <sheetName val="INPUT_SHEET31"/>
      <sheetName val="Project_Budget_Worksheet31"/>
      <sheetName val="SANJAY_PAL31"/>
      <sheetName val="P_A_SELVAM31"/>
      <sheetName val="ANSARI_31"/>
      <sheetName val="abdesh_pal31"/>
      <sheetName val="sujay_bagchi31"/>
      <sheetName val="S_K_SINHA_BASU31"/>
      <sheetName val="KRISHNA_PRASAD31"/>
      <sheetName val="BARATH_&amp;_CO31"/>
      <sheetName val="L_B_YADAV31"/>
      <sheetName val="DEEPAK_KUMAR31"/>
      <sheetName val="MUKLAL_YADAV31"/>
      <sheetName val="MADHU_SUDHAN31"/>
      <sheetName val="SAUD_ALAM_31"/>
      <sheetName val="RAMESH_BABU31"/>
      <sheetName val="SAILEN_SARKAR31"/>
      <sheetName val="SANJAY_JENA131"/>
      <sheetName val="upendra_saw_31"/>
      <sheetName val="ALLOK_KUMAR_31"/>
      <sheetName val="except_wiring31"/>
      <sheetName val="BOQ_-II_ph_231"/>
      <sheetName val="STAFFSCHED_30"/>
      <sheetName val="Fee_Rate_Summary30"/>
      <sheetName val="d-safe_specs30"/>
      <sheetName val="class_&amp;_category30"/>
      <sheetName val="Rein-Final_(Ph_1+Ph2)30"/>
      <sheetName val="Metso_-_Forth_&amp;_Slurry_11_02_40"/>
      <sheetName val="220_11__BS_30"/>
      <sheetName val="SSR_&amp;_NSSR_Market_final30"/>
      <sheetName val="India_F&amp;S_Template30"/>
      <sheetName val="Quote_Sheet30"/>
      <sheetName val="Site_wise_NADs30"/>
      <sheetName val="precast_RC_element30"/>
      <sheetName val="Materials_Cost(PCC)30"/>
      <sheetName val="Stress_Calculation30"/>
      <sheetName val="RA_RCC_F30"/>
      <sheetName val="plinth_Beam_+_Stirrups_30"/>
      <sheetName val="GF_COLUMNS30"/>
      <sheetName val="G_F_ROOF_BEAM_30"/>
      <sheetName val="GF_SLAB_STEEL30"/>
      <sheetName val="GF_Lintel30"/>
      <sheetName val="GF_Stair30"/>
      <sheetName val="FF_COLUMNS30"/>
      <sheetName val="F_F__Steel_FINAL_(2)30"/>
      <sheetName val="FF_Lintel30"/>
      <sheetName val="FF_Stair30"/>
      <sheetName val="S_F__Steel_FINAL_30"/>
      <sheetName val="SF_Lintel30"/>
      <sheetName val="Ra__stair3"/>
      <sheetName val="SPT_vs_PHI32"/>
      <sheetName val="glass_project_concrete32"/>
      <sheetName val="glass_project_reift32"/>
      <sheetName val="glass_project_indices32"/>
      <sheetName val="Summary_050631"/>
      <sheetName val="Summary_0607-_31_MAR31"/>
      <sheetName val="Civil_Boq30"/>
      <sheetName val="Break_up_Sheet30"/>
      <sheetName val="SBC-BH_1931"/>
      <sheetName val="Rate_Analysis31"/>
      <sheetName val="TBAL9697_-group_wise__sdpl30"/>
      <sheetName val="Abstract_Sheet30"/>
      <sheetName val="Pile_cap30"/>
      <sheetName val="V_O_4_-_PCC_Qty30"/>
      <sheetName val="Legal_Risk_Analysis30"/>
      <sheetName val="BH_12-11-10-1331"/>
      <sheetName val="BH_12-11-10-931"/>
      <sheetName val="BH_36-15-3731"/>
      <sheetName val="BH_16-35-25-1731"/>
      <sheetName val="BH_35-25-1731"/>
      <sheetName val="Sheet1_(2)31"/>
      <sheetName val="d-safe_DELUXE30"/>
      <sheetName val="PRECAST_lightconc-II30"/>
      <sheetName val="RCC,Ret__Wall30"/>
      <sheetName val="Form_631"/>
      <sheetName val="PointNo_530"/>
      <sheetName val="E_&amp;_R30"/>
      <sheetName val="Mix_Design30"/>
      <sheetName val="Fill_this_out_first___30"/>
      <sheetName val="REVISED4A_PROG_PERF-SITE_130"/>
      <sheetName val="CABLE_DATA30"/>
      <sheetName val="BOQ_Direct_selling_cost30"/>
      <sheetName val="BOQ_(2)30"/>
      <sheetName val="final_abstract30"/>
      <sheetName val="Rev_S1_Abstract30"/>
      <sheetName val="Quantity_Abstract30"/>
      <sheetName val="Staff_Acco_30"/>
      <sheetName val="Pipe_Supports30"/>
      <sheetName val="M-Book_for_Conc30"/>
      <sheetName val="M-Book_for_FW30"/>
      <sheetName val="Load_Details-220kV30"/>
      <sheetName val="beam-reinft-IIInd_floor30"/>
      <sheetName val="INPUT_SHEET30"/>
      <sheetName val="Project_Budget_Worksheet30"/>
      <sheetName val="SANJAY_PAL30"/>
      <sheetName val="P_A_SELVAM30"/>
      <sheetName val="ANSARI_30"/>
      <sheetName val="abdesh_pal30"/>
      <sheetName val="sujay_bagchi30"/>
      <sheetName val="S_K_SINHA_BASU30"/>
      <sheetName val="KRISHNA_PRASAD30"/>
      <sheetName val="BARATH_&amp;_CO30"/>
      <sheetName val="L_B_YADAV30"/>
      <sheetName val="DEEPAK_KUMAR30"/>
      <sheetName val="MUKLAL_YADAV30"/>
      <sheetName val="MADHU_SUDHAN30"/>
      <sheetName val="SAUD_ALAM_30"/>
      <sheetName val="RAMESH_BABU30"/>
      <sheetName val="SAILEN_SARKAR30"/>
      <sheetName val="SANJAY_JENA130"/>
      <sheetName val="upendra_saw_30"/>
      <sheetName val="ALLOK_KUMAR_30"/>
      <sheetName val="except_wiring30"/>
      <sheetName val="BOQ_-II_ph_230"/>
      <sheetName val="220_11__BS_29"/>
      <sheetName val="SSR_&amp;_NSSR_Market_final29"/>
      <sheetName val="India_F&amp;S_Template29"/>
      <sheetName val="precast_RC_element29"/>
      <sheetName val="Materials_Cost(PCC)29"/>
      <sheetName val="RA_RCC_F29"/>
      <sheetName val="plinth_Beam_+_Stirrups_29"/>
      <sheetName val="GF_COLUMNS29"/>
      <sheetName val="G_F_ROOF_BEAM_29"/>
      <sheetName val="GF_SLAB_STEEL29"/>
      <sheetName val="GF_Lintel29"/>
      <sheetName val="GF_Stair29"/>
      <sheetName val="FF_COLUMNS29"/>
      <sheetName val="F_F__Steel_FINAL_(2)29"/>
      <sheetName val="FF_Lintel29"/>
      <sheetName val="FF_Stair29"/>
      <sheetName val="S_F__Steel_FINAL_29"/>
      <sheetName val="SF_Lintel29"/>
      <sheetName val="Ra__stair2"/>
      <sheetName val="[Spt-BH_xls][Spt-BH_xls][Spt-B1"/>
      <sheetName val="[Spt-BH_xls][Spt-BH_xls]B@[?@?1"/>
      <sheetName val="Tender_Appraisal1"/>
      <sheetName val="[Spt-BH_xls]B@[_x005f_x0000__x005f_x0004_@1"/>
      <sheetName val="Labour_Rate_1"/>
      <sheetName val="[Spt-BH_xls][Spt-BH_xls][Spt-B2"/>
      <sheetName val="[Spt-BH_xls][Spt-BH_xls]B@[?@?2"/>
      <sheetName val="IO_List2"/>
      <sheetName val="syndicate_codes2"/>
      <sheetName val="Basic_Rate2"/>
      <sheetName val="INFLUENCES_ON_GM2"/>
      <sheetName val="Break_Up_(bc)2"/>
      <sheetName val="Break_Up_(bc1)2"/>
      <sheetName val="Break_Up_(bc2)2"/>
      <sheetName val="Steel_Payment_Doc2"/>
      <sheetName val="_AT-1-220_2"/>
      <sheetName val="_BC-2202"/>
      <sheetName val="DETAILED__BOQ2"/>
      <sheetName val="Works_-_Quote_Sheet2"/>
      <sheetName val="Page_12"/>
      <sheetName val="Page_22"/>
      <sheetName val="Page_32"/>
      <sheetName val="Page_4_Installed2"/>
      <sheetName val="Page_4_Required2"/>
      <sheetName val="Page_5a2"/>
      <sheetName val="Page_5b2"/>
      <sheetName val="Page_5c2"/>
      <sheetName val="Page_5d2"/>
      <sheetName val="Page_5e2"/>
      <sheetName val="Page_5f2"/>
      <sheetName val="Page_5f_(2)2"/>
      <sheetName val="Page_6a2"/>
      <sheetName val="Page_6b2"/>
      <sheetName val="Page_7-12"/>
      <sheetName val="Page_7-2a1-I2"/>
      <sheetName val="Page_7-2a1-II2"/>
      <sheetName val="Page_7-2a1-III2"/>
      <sheetName val="Page_7-2a22"/>
      <sheetName val="Page_7-32"/>
      <sheetName val="Page_7-5a2"/>
      <sheetName val="Page_7-5b12"/>
      <sheetName val="Page_7-5b22"/>
      <sheetName val="Page_7-5c2"/>
      <sheetName val="Page_7-9a2"/>
      <sheetName val="Page_7-9b12"/>
      <sheetName val="Page_7-9b22"/>
      <sheetName val="Page_7-9c2"/>
      <sheetName val="Page_7-11a1-I2"/>
      <sheetName val="Page_7-11a1-II2"/>
      <sheetName val="Page_7-11a1-III2"/>
      <sheetName val="Page_7-11a22"/>
      <sheetName val="Page_7-152"/>
      <sheetName val="Page_7-16a2"/>
      <sheetName val="Page_7-16b2"/>
      <sheetName val="Page_82"/>
      <sheetName val="Havells__LT_(XLPE)2"/>
      <sheetName val="PL_Inst_RA_122"/>
      <sheetName val="PACK_(B)2"/>
      <sheetName val="Assumption_Inputs2"/>
      <sheetName val="Mat_Cost2"/>
      <sheetName val="_2"/>
      <sheetName val="Tender_Appraisal2"/>
      <sheetName val="Ins_&amp;_Bonds2"/>
      <sheetName val="Site_facilities2"/>
      <sheetName val="Clients_Requirements2"/>
      <sheetName val="DB_ET200(R__A)2"/>
      <sheetName val="[Spt-BH_xls]B@[_x005f_x0000__x005f_x0004_@2"/>
      <sheetName val="Labour_Rate_2"/>
      <sheetName val="1_01_(a)2"/>
      <sheetName val="SPT_vs_PHI34"/>
      <sheetName val="glass_project_concrete34"/>
      <sheetName val="glass_project_reift34"/>
      <sheetName val="glass_project_indices34"/>
      <sheetName val="Summary_050633"/>
      <sheetName val="Summary_0607-_31_MAR33"/>
      <sheetName val="Civil_Boq32"/>
      <sheetName val="Break_up_Sheet32"/>
      <sheetName val="SBC-BH_1933"/>
      <sheetName val="Rate_Analysis33"/>
      <sheetName val="TBAL9697_-group_wise__sdpl32"/>
      <sheetName val="Abstract_Sheet32"/>
      <sheetName val="Pile_cap32"/>
      <sheetName val="V_O_4_-_PCC_Qty32"/>
      <sheetName val="Legal_Risk_Analysis32"/>
      <sheetName val="BH_12-11-10-1333"/>
      <sheetName val="BH_12-11-10-933"/>
      <sheetName val="BH_36-15-3733"/>
      <sheetName val="BH_16-35-25-1733"/>
      <sheetName val="BH_35-25-1733"/>
      <sheetName val="Sheet1_(2)33"/>
      <sheetName val="d-safe_DELUXE32"/>
      <sheetName val="PRECAST_lightconc-II32"/>
      <sheetName val="RCC,Ret__Wall32"/>
      <sheetName val="Form_633"/>
      <sheetName val="PointNo_532"/>
      <sheetName val="E_&amp;_R32"/>
      <sheetName val="Mix_Design32"/>
      <sheetName val="Fill_this_out_first___32"/>
      <sheetName val="REVISED4A_PROG_PERF-SITE_132"/>
      <sheetName val="CABLE_DATA32"/>
      <sheetName val="BOQ_Direct_selling_cost32"/>
      <sheetName val="BOQ_(2)32"/>
      <sheetName val="final_abstract32"/>
      <sheetName val="Rev_S1_Abstract32"/>
      <sheetName val="Quantity_Abstract32"/>
      <sheetName val="Staff_Acco_32"/>
      <sheetName val="Pipe_Supports32"/>
      <sheetName val="M-Book_for_Conc32"/>
      <sheetName val="M-Book_for_FW32"/>
      <sheetName val="Load_Details-220kV32"/>
      <sheetName val="beam-reinft-IIInd_floor32"/>
      <sheetName val="INPUT_SHEET32"/>
      <sheetName val="Project_Budget_Worksheet32"/>
      <sheetName val="SANJAY_PAL32"/>
      <sheetName val="P_A_SELVAM32"/>
      <sheetName val="ANSARI_32"/>
      <sheetName val="abdesh_pal32"/>
      <sheetName val="sujay_bagchi32"/>
      <sheetName val="S_K_SINHA_BASU32"/>
      <sheetName val="KRISHNA_PRASAD32"/>
      <sheetName val="BARATH_&amp;_CO32"/>
      <sheetName val="L_B_YADAV32"/>
      <sheetName val="DEEPAK_KUMAR32"/>
      <sheetName val="MUKLAL_YADAV32"/>
      <sheetName val="MADHU_SUDHAN32"/>
      <sheetName val="SAUD_ALAM_32"/>
      <sheetName val="RAMESH_BABU32"/>
      <sheetName val="SAILEN_SARKAR32"/>
      <sheetName val="SANJAY_JENA132"/>
      <sheetName val="upendra_saw_32"/>
      <sheetName val="ALLOK_KUMAR_32"/>
      <sheetName val="except_wiring32"/>
      <sheetName val="BOQ_-II_ph_232"/>
      <sheetName val="STAFFSCHED_31"/>
      <sheetName val="Fee_Rate_Summary31"/>
      <sheetName val="d-safe_specs31"/>
      <sheetName val="class_&amp;_category31"/>
      <sheetName val="Rein-Final_(Ph_1+Ph2)31"/>
      <sheetName val="Metso_-_Forth_&amp;_Slurry_11_02_41"/>
      <sheetName val="220_11__BS_31"/>
      <sheetName val="SSR_&amp;_NSSR_Market_final31"/>
      <sheetName val="India_F&amp;S_Template31"/>
      <sheetName val="Quote_Sheet31"/>
      <sheetName val="Site_wise_NADs31"/>
      <sheetName val="precast_RC_element31"/>
      <sheetName val="Materials_Cost(PCC)31"/>
      <sheetName val="Stress_Calculation31"/>
      <sheetName val="RA_RCC_F31"/>
      <sheetName val="plinth_Beam_+_Stirrups_31"/>
      <sheetName val="GF_COLUMNS31"/>
      <sheetName val="G_F_ROOF_BEAM_31"/>
      <sheetName val="GF_SLAB_STEEL31"/>
      <sheetName val="GF_Lintel31"/>
      <sheetName val="GF_Stair31"/>
      <sheetName val="FF_COLUMNS31"/>
      <sheetName val="F_F__Steel_FINAL_(2)31"/>
      <sheetName val="FF_Lintel31"/>
      <sheetName val="FF_Stair31"/>
      <sheetName val="S_F__Steel_FINAL_31"/>
      <sheetName val="SF_Lintel31"/>
      <sheetName val="Ra__stair4"/>
      <sheetName val="[Spt-BH.xls][Spt-BH_xls]B___132"/>
      <sheetName val="[Spt-BH.xls][Spt-BH_xls]B___133"/>
      <sheetName val="[Spt-BH.xls][Spt-BH_xls]B___134"/>
      <sheetName val="[Spt-BH.xls][Spt-BH_xls]B___135"/>
      <sheetName val="[Spt-BH.xls][Spt-BH_xls]B___136"/>
      <sheetName val="[Spt-BH.xls][Spt-BH_xls]B___137"/>
      <sheetName val="[Spt-BH.xls][Spt-BH_xls]B___138"/>
      <sheetName val="[Spt-BH.xls][Spt-BH_xls]B___139"/>
      <sheetName val="[Spt-BH.xls][Spt-BH_xls]B___140"/>
      <sheetName val="Contract Status"/>
      <sheetName val="Budget"/>
      <sheetName val="COP"/>
      <sheetName val="INDIGINEOUS ITEMS "/>
      <sheetName val="intr stool brkup"/>
      <sheetName val="_Spt-BH_xls__Spt-BH_xls_B@_@"/>
      <sheetName val="_Spt-BH_xls__Spt-BH_xls_B@__@_"/>
      <sheetName val="Meas.-Hotel Part"/>
      <sheetName val="[Spt-BH.xls][Spt-BH_xls]B___141"/>
      <sheetName val="[Spt-BH.xls][Spt-BH_xls]B___142"/>
      <sheetName val="[Spt-BH.xls][Spt-BH_xls]B___143"/>
      <sheetName val="[Spt-BH.xls][Spt-BH_xls]B___144"/>
      <sheetName val="[Spt-BH.xls][Spt-BH_xls]B___145"/>
      <sheetName val="[Spt-BH.xls][Spt-BH_xls]B___146"/>
      <sheetName val="[Spt-BH.xls][Spt-BH_xls]B___147"/>
      <sheetName val="[Spt-BH.xls][Spt-BH_xls]B___148"/>
      <sheetName val="[Spt-BH.xls][Spt-BH_xls]B___149"/>
      <sheetName val="[Spt-BH.xls][Spt-BH_xls]B___150"/>
      <sheetName val="[Spt-BH.xls][Spt-BH_xls]B___151"/>
      <sheetName val="[Spt-BH.xls][Spt-BH_xls]_Spt_54"/>
      <sheetName val="[Spt-BH.xls][Spt-BH_xls]B___152"/>
      <sheetName val="[Spt-BH.xls][Spt-BH_xls]B___153"/>
      <sheetName val="[Spt-BH.xls][Spt-BH_xls]_Spt_55"/>
      <sheetName val="[Spt-BH.xls][Spt-BH_xls]B___154"/>
      <sheetName val="[Spt-BH.xls][Spt-BH_xls]B___155"/>
      <sheetName val="[Spt-BH.xls][Spt-BH_xls]B___156"/>
      <sheetName val="[Spt-BH.xls][Spt-BH_xls]_Spt_56"/>
      <sheetName val="[Spt-BH.xls][Spt-BH_xls]B___157"/>
      <sheetName val="[Spt-BH.xls][Spt-BH_xls]B___158"/>
      <sheetName val="[Spt-BH.xls][Spt-BH_xls]B___159"/>
      <sheetName val="[Spt-BH.xls][Spt-BH_xls]B___160"/>
      <sheetName val="[Spt-BH.xls][Spt-BH_xls]B___161"/>
      <sheetName val="[Spt-BH.xls][Spt-BH_xls]B___162"/>
      <sheetName val="[Spt-BH.xls][Spt-BH_xls]_Spt_57"/>
      <sheetName val="[Spt-BH.xls][Spt-BH_xls]B___163"/>
      <sheetName val="[Spt-BH.xls][Spt-BH_xls]B___164"/>
      <sheetName val="[Spt-BH.xls][Spt-BH_xls]_Spt_58"/>
      <sheetName val="[Spt-BH.xls][Spt-BH_xls]B___165"/>
      <sheetName val="[Spt-BH.xls][Spt-BH_xls]B___166"/>
      <sheetName val="[Spt-BH.xls][Spt-BH_xls]B___167"/>
      <sheetName val="[Spt-BH.xls][Spt-BH_xls]_Spt_59"/>
      <sheetName val="[Spt-BH.xls][Spt-BH_xls]B___168"/>
      <sheetName val="[Spt-BH.xls][Spt-BH_xls]B___169"/>
      <sheetName val="[Spt-BH.xls][Spt-BH_xls]B___170"/>
      <sheetName val="[Spt-BH.xls][Spt-BH_xls]B___171"/>
      <sheetName val="[Spt-BH.xls][Spt-BH_xls]B___172"/>
      <sheetName val="[Spt-BH.xls][Spt-BH_xls]B___173"/>
      <sheetName val="[Spt-BH.xls][Spt-BH_xls]_Spt_60"/>
      <sheetName val="[Spt-BH.xls][Spt-BH_xls]B___174"/>
      <sheetName val="[Spt-BH.xls][Spt-BH_xls]B___175"/>
      <sheetName val="[Spt-BH.xls][Spt-BH_xls]_Spt_61"/>
      <sheetName val="[Spt-BH.xls][Spt-BH_xls]B___176"/>
      <sheetName val="[Spt-BH.xls][Spt-BH_xls]B___177"/>
      <sheetName val="[Spt-BH.xls][Spt-BH_xls]B___178"/>
      <sheetName val="[Spt-BH.xls][Spt-BH_xls]_Spt_62"/>
      <sheetName val="[Spt-BH.xls][Spt-BH_xls]B___179"/>
      <sheetName val="[Spt-BH.xls][Spt-BH_xls]B___180"/>
      <sheetName val="[Spt-BH.xls][Spt-BH_xls]B___181"/>
      <sheetName val="[Spt-BH.xls][Spt-BH_xls]B___182"/>
      <sheetName val="[Spt-BH.xls][Spt-BH_xls]B___183"/>
      <sheetName val="[Spt-BH.xls][Spt-BH_xls]B___184"/>
      <sheetName val="[Spt-BH.xls][Spt-BH_xls]_Spt_63"/>
      <sheetName val="[Spt-BH.xls][Spt-BH.xls]B___830"/>
      <sheetName val="[Spt-BH.xls][Spt-BH.xls]_Sp_344"/>
      <sheetName val="[Spt-BH.xls][Spt-BH_xls]B___229"/>
      <sheetName val="[Spt-BH.xls][Spt-BH_xls]B___230"/>
      <sheetName val="[Spt-BH.xls][Spt-BH_xls]B___231"/>
      <sheetName val="[Spt-BH.xls][Spt-BH_xls]B___232"/>
      <sheetName val="[Spt-BH.xls][Spt-BH_xls]_Spt_76"/>
      <sheetName val="[Spt-BH.xls][Spt-BH_xls]B___233"/>
      <sheetName val="[Spt-BH.xls][Spt-BH_xls]B___234"/>
      <sheetName val="[Spt-BH.xls][Spt-BH_xls]B___235"/>
      <sheetName val="[Spt-BH.xls][Spt-BH_xls]_Spt_77"/>
      <sheetName val="[Spt-BH.xls][Spt-BH_xls]B___236"/>
      <sheetName val="[Spt-BH.xls][Spt-BH_xls]B___237"/>
      <sheetName val="[Spt-BH.xls][Spt-BH_xls]B___238"/>
      <sheetName val="[Spt-BH.xls][Spt-BH_xls]B___239"/>
      <sheetName val="[Spt-BH.xls][Spt-BH_xls]_Spt_78"/>
      <sheetName val="[Spt-BH.xls][Spt-BH_xls]B___196"/>
      <sheetName val="[Spt-BH.xls][Spt-BH_xls]B___197"/>
      <sheetName val="[Spt-BH.xls][Spt-BH_xls]_Spt_67"/>
      <sheetName val="[Spt-BH.xls][Spt-BH_xls]B___198"/>
      <sheetName val="[Spt-BH.xls][Spt-BH_xls]B___199"/>
      <sheetName val="[Spt-BH.xls][Spt-BH_xls]B___200"/>
      <sheetName val="[Spt-BH.xls][Spt-BH_xls]_Spt_68"/>
      <sheetName val="[Spt-BH.xls][Spt-BH_xls]B___201"/>
      <sheetName val="[Spt-BH.xls][Spt-BH_xls]B___202"/>
      <sheetName val="[Spt-BH.xls][Spt-BH_xls]B___203"/>
      <sheetName val="[Spt-BH.xls][Spt-BH_xls]B___204"/>
      <sheetName val="[Spt-BH.xls][Spt-BH_xls]B___205"/>
      <sheetName val="[Spt-BH.xls][Spt-BH_xls]B___206"/>
      <sheetName val="[Spt-BH.xls][Spt-BH_xls]_Spt_69"/>
      <sheetName val="[Spt-BH.xls][Spt-BH_xls]B___185"/>
      <sheetName val="[Spt-BH.xls][Spt-BH_xls]B___186"/>
      <sheetName val="[Spt-BH.xls][Spt-BH_xls]_Spt_64"/>
      <sheetName val="[Spt-BH.xls][Spt-BH_xls]B___187"/>
      <sheetName val="[Spt-BH.xls][Spt-BH_xls]B___188"/>
      <sheetName val="[Spt-BH.xls][Spt-BH_xls]B___189"/>
      <sheetName val="[Spt-BH.xls][Spt-BH_xls]_Spt_65"/>
      <sheetName val="[Spt-BH.xls][Spt-BH_xls]B___190"/>
      <sheetName val="[Spt-BH.xls][Spt-BH_xls]B___191"/>
      <sheetName val="[Spt-BH.xls][Spt-BH_xls]B___192"/>
      <sheetName val="[Spt-BH.xls][Spt-BH_xls]B___193"/>
      <sheetName val="[Spt-BH.xls][Spt-BH_xls]B___194"/>
      <sheetName val="[Spt-BH.xls][Spt-BH_xls]B___195"/>
      <sheetName val="[Spt-BH.xls][Spt-BH_xls]_Spt_66"/>
      <sheetName val="[Spt-BH.xls][Spt-BH_xls]B___218"/>
      <sheetName val="[Spt-BH.xls][Spt-BH_xls]B___219"/>
      <sheetName val="[Spt-BH.xls][Spt-BH_xls]B___220"/>
      <sheetName val="[Spt-BH.xls][Spt-BH_xls]B___221"/>
      <sheetName val="[Spt-BH.xls][Spt-BH_xls]_Spt_73"/>
      <sheetName val="[Spt-BH.xls][Spt-BH_xls]B___222"/>
      <sheetName val="[Spt-BH.xls][Spt-BH_xls]B___223"/>
      <sheetName val="[Spt-BH.xls][Spt-BH_xls]B___224"/>
      <sheetName val="[Spt-BH.xls][Spt-BH_xls]_Spt_74"/>
      <sheetName val="[Spt-BH.xls][Spt-BH_xls]B___225"/>
      <sheetName val="[Spt-BH.xls][Spt-BH_xls]B___226"/>
      <sheetName val="[Spt-BH.xls][Spt-BH_xls]B___227"/>
      <sheetName val="[Spt-BH.xls][Spt-BH_xls]B___228"/>
      <sheetName val="[Spt-BH.xls][Spt-BH_xls]_Spt_75"/>
      <sheetName val="[Spt-BH.xls][Spt-BH_xls]B___207"/>
      <sheetName val="[Spt-BH.xls][Spt-BH_xls]B___208"/>
      <sheetName val="[Spt-BH.xls][Spt-BH_xls]B___209"/>
      <sheetName val="[Spt-BH.xls][Spt-BH_xls]B___210"/>
      <sheetName val="[Spt-BH.xls][Spt-BH_xls]_Spt_70"/>
      <sheetName val="[Spt-BH.xls][Spt-BH_xls]B___211"/>
      <sheetName val="[Spt-BH.xls][Spt-BH_xls]B___212"/>
      <sheetName val="[Spt-BH.xls][Spt-BH_xls]B___213"/>
      <sheetName val="[Spt-BH.xls][Spt-BH_xls]_Spt_71"/>
      <sheetName val="[Spt-BH.xls][Spt-BH_xls]B___214"/>
      <sheetName val="[Spt-BH.xls][Spt-BH_xls]B___215"/>
      <sheetName val="[Spt-BH.xls][Spt-BH_xls]B___216"/>
      <sheetName val="[Spt-BH.xls][Spt-BH_xls]B___217"/>
      <sheetName val="[Spt-BH.xls][Spt-BH_xls]_Spt_72"/>
      <sheetName val="[Spt-BH.xls][Spt-BH.xls]B___843"/>
      <sheetName val="[Spt-BH.xls][Spt-BH.xls]B___844"/>
      <sheetName val="[Spt-BH.xls][Spt-BH.xls]B___845"/>
      <sheetName val="[Spt-BH.xls][Spt-BH.xls]B___846"/>
      <sheetName val="[Spt-BH.xls][Spt-BH.xls]B___847"/>
      <sheetName val="[Spt-BH.xls][Spt-BH.xls]B___848"/>
      <sheetName val="[Spt-BH.xls][Spt-BH.xls]B___837"/>
      <sheetName val="[Spt-BH.xls][Spt-BH.xls]B___838"/>
      <sheetName val="[Spt-BH.xls][Spt-BH.xls]B___831"/>
      <sheetName val="[Spt-BH.xls][Spt-BH.xls]B___832"/>
      <sheetName val="[Spt-BH.xls][Spt-BH.xls]B___839"/>
      <sheetName val="[Spt-BH.xls][Spt-BH.xls]B___840"/>
      <sheetName val="[Spt-BH.xls][Spt-BH.xls]B___841"/>
      <sheetName val="[Spt-BH.xls][Spt-BH.xls]B___833"/>
      <sheetName val="[Spt-BH.xls][Spt-BH.xls]B___834"/>
      <sheetName val="[Spt-BH.xls][Spt-BH.xls]B___835"/>
      <sheetName val="[Spt-BH.xls][Spt-BH.xls]B___842"/>
      <sheetName val="[Spt-BH.xls][Spt-BH.xls]B___836"/>
      <sheetName val="[Spt-BH.xls][Spt-BH.xls]B__1166"/>
      <sheetName val="[Spt-BH.xls][Spt-BH.xls]B__1167"/>
      <sheetName val="[Spt-BH.xls][Spt-BH.xls]B__1160"/>
      <sheetName val="[Spt-BH.xls][Spt-BH.xls]B__1161"/>
      <sheetName val="[Spt-BH.xls][Spt-BH.xls]_Sp_342"/>
      <sheetName val="[Spt-BH.xls][Spt-BH.xls]B__1168"/>
      <sheetName val="[Spt-BH.xls][Spt-BH.xls]B__1169"/>
      <sheetName val="[Spt-BH.xls][Spt-BH.xls]B__1170"/>
      <sheetName val="[Spt-BH.xls][Spt-BH.xls]_Sp_339"/>
      <sheetName val="[Spt-BH.xls][Spt-BH.xls]_Sp_341"/>
      <sheetName val="[Spt-BH.xls][Spt-BH.xls]B__1162"/>
      <sheetName val="[Spt-BH.xls][Spt-BH.xls]B__1163"/>
      <sheetName val="[Spt-BH.xls][Spt-BH.xls]B__1164"/>
      <sheetName val="[Spt-BH.xls]B____x005f_x0004_______72"/>
      <sheetName val="[Spt-BH.xls]B___x005f_x0000__x005f_x0004_72"/>
      <sheetName val="[Spt-BH.xls][Spt-BH.xls]B__1171"/>
      <sheetName val="[Spt-BH.xls][Spt-BH.xls]B__1165"/>
      <sheetName val="[Spt-BH.xls][Spt-BH.xls]_Sp_340"/>
      <sheetName val="[Spt-BH.xls][Spt-BH.xls]B__1074"/>
      <sheetName val="[Spt-BH.xls][Spt-BH.xls]B__1075"/>
      <sheetName val="[Spt-BH.xls][Spt-BH.xls]B__1061"/>
      <sheetName val="[Spt-BH.xls][Spt-BH.xls]B__1062"/>
      <sheetName val="[Spt-BH.xls][Spt-BH.xls]_Sp_314"/>
      <sheetName val="[Spt-BH.xls][Spt-BH.xls]B__1076"/>
      <sheetName val="[Spt-BH.xls][Spt-BH.xls]B__1077"/>
      <sheetName val="[Spt-BH.xls][Spt-BH.xls]B__1078"/>
      <sheetName val="[Spt-BH.xls][Spt-BH.xls]_Sp_308"/>
      <sheetName val="[Spt-BH.xls][Spt-BH.xls]_Sp_312"/>
      <sheetName val="[Spt-BH.xls][Spt-BH.xls]B__1063"/>
      <sheetName val="[Spt-BH.xls][Spt-BH.xls]B__1064"/>
      <sheetName val="[Spt-BH.xls][Spt-BH.xls]B__1065"/>
      <sheetName val="[Spt-BH.xls][Spt-BH.xls]B__1079"/>
      <sheetName val="[Spt-BH.xls][Spt-BH.xls]B__1066"/>
      <sheetName val="[Spt-BH.xls][Spt-BH.xls]_Sp_309"/>
      <sheetName val="[Spt-BH.xls][Spt-BH.xls]_Sp_263"/>
      <sheetName val="[Spt-BH.xls][Spt-BH.xls]B___849"/>
      <sheetName val="[Spt-BH.xls][Spt-BH_xls]B___240"/>
      <sheetName val="[Spt-BH.xls][Spt-BH_xls]B___241"/>
      <sheetName val="[Spt-BH.xls][Spt-BH_xls]B___242"/>
      <sheetName val="[Spt-BH.xls][Spt-BH_xls]B___243"/>
      <sheetName val="[Spt-BH.xls][Spt-BH_xls]_Spt_79"/>
      <sheetName val="[Spt-BH.xls][Spt-BH_xls]B___244"/>
      <sheetName val="[Spt-BH.xls][Spt-BH_xls]B___245"/>
      <sheetName val="[Spt-BH.xls][Spt-BH_xls]B___246"/>
      <sheetName val="[Spt-BH.xls][Spt-BH_xls]_Spt_80"/>
      <sheetName val="[Spt-BH.xls][Spt-BH_xls]B___247"/>
      <sheetName val="[Spt-BH.xls][Spt-BH_xls]B___248"/>
      <sheetName val="[Spt-BH.xls][Spt-BH_xls]B___249"/>
      <sheetName val="[Spt-BH.xls][Spt-BH_xls]B___250"/>
      <sheetName val="[Spt-BH.xls][Spt-BH_xls]_Spt_81"/>
      <sheetName val="[Spt-BH.xls][Spt-BH.xls]B___850"/>
      <sheetName val="[Spt-BH.xls][Spt-BH.xls]B___851"/>
      <sheetName val="[Spt-BH.xls][Spt-BH.xls]B___852"/>
      <sheetName val="[Spt-BH.xls][Spt-BH.xls]B___853"/>
      <sheetName val="[Spt-BH.xls][Spt-BH.xls]B___854"/>
      <sheetName val="[Spt-BH.xls][Spt-BH.xls]B___855"/>
      <sheetName val="[Spt-BH.xls][Spt-BH.xls]B___856"/>
      <sheetName val="[Spt-BH.xls][Spt-BH.xls]B___857"/>
      <sheetName val="[Spt-BH.xls][Spt-BH.xls]B___858"/>
      <sheetName val="[Spt-BH.xls][Spt-BH_xls]B___251"/>
      <sheetName val="[Spt-BH.xls][Spt-BH_xls]B___252"/>
      <sheetName val="[Spt-BH.xls][Spt-BH_xls]B___253"/>
      <sheetName val="[Spt-BH.xls][Spt-BH_xls]B___254"/>
      <sheetName val="[Spt-BH.xls][Spt-BH_xls]_Spt_82"/>
      <sheetName val="[Spt-BH.xls][Spt-BH_xls]B___255"/>
      <sheetName val="[Spt-BH.xls][Spt-BH_xls]B___256"/>
      <sheetName val="[Spt-BH.xls][Spt-BH_xls]B___257"/>
      <sheetName val="[Spt-BH.xls][Spt-BH_xls]_Spt_83"/>
      <sheetName val="[Spt-BH.xls][Spt-BH_xls]B___258"/>
      <sheetName val="[Spt-BH.xls][Spt-BH_xls]B___259"/>
      <sheetName val="[Spt-BH.xls][Spt-BH_xls]B___260"/>
      <sheetName val="[Spt-BH.xls][Spt-BH_xls]B___261"/>
      <sheetName val="[Spt-BH.xls][Spt-BH_xls]_Spt_84"/>
      <sheetName val="[Spt-BH.xls][Spt-BH.xls]B___948"/>
      <sheetName val="[Spt-BH.xls][Spt-BH.xls]B___949"/>
      <sheetName val="[Spt-BH.xls][Spt-BH.xls]_Sp_271"/>
      <sheetName val="[Spt-BH.xls][Spt-BH.xls]B___950"/>
      <sheetName val="[Spt-BH.xls][Spt-BH.xls]B___951"/>
      <sheetName val="[Spt-BH.xls][Spt-BH.xls]B___952"/>
      <sheetName val="[Spt-BH.xls][Spt-BH.xls]B___953"/>
      <sheetName val="[Spt-BH.xls][Spt-BH.xls]_Sp_264"/>
      <sheetName val="[Spt-BH.xls][Spt-BH.xls]B___967"/>
      <sheetName val="[Spt-BH.xls][Spt-BH.xls]B___968"/>
      <sheetName val="[Spt-BH.xls][Spt-BH.xls]_Sp_273"/>
      <sheetName val="[Spt-BH.xls][Spt-BH.xls]B___969"/>
      <sheetName val="[Spt-BH.xls][Spt-BH.xls]B___970"/>
      <sheetName val="[Spt-BH.xls][Spt-BH.xls]B___971"/>
      <sheetName val="[Spt-BH.xls][Spt-BH.xls]B___972"/>
      <sheetName val="[Spt-BH.xls][Spt-BH.xls]B___954"/>
      <sheetName val="[Spt-BH.xls][Spt-BH.xls]_Sp_272"/>
      <sheetName val="[Spt-BH.xls][Spt-BH_xls]B___339"/>
      <sheetName val="[Spt-BH.xls][Spt-BH_xls]B___340"/>
      <sheetName val="[Spt-BH.xls][Spt-BH_xls]B___341"/>
      <sheetName val="[Spt-BH.xls][Spt-BH_xls]B___342"/>
      <sheetName val="[Spt-BH.xls][Spt-BH_xls]_Sp_106"/>
      <sheetName val="[Spt-BH.xls][Spt-BH_xls]B___343"/>
      <sheetName val="[Spt-BH.xls][Spt-BH_xls]B___344"/>
      <sheetName val="[Spt-BH.xls][Spt-BH_xls]B___345"/>
      <sheetName val="[Spt-BH.xls][Spt-BH_xls]_Sp_107"/>
      <sheetName val="[Spt-BH.xls][Spt-BH_xls]B___346"/>
      <sheetName val="[Spt-BH.xls][Spt-BH_xls]B___347"/>
      <sheetName val="[Spt-BH.xls][Spt-BH_xls]B___348"/>
      <sheetName val="[Spt-BH.xls][Spt-BH_xls]B___349"/>
      <sheetName val="[Spt-BH.xls][Spt-BH_xls]_Sp_108"/>
      <sheetName val="[Spt-BH.xls][Spt-BH.xls]B___859"/>
      <sheetName val="[Spt-BH.xls][Spt-BH.xls]B___860"/>
      <sheetName val="[Spt-BH.xls][Spt-BH.xls]B___861"/>
      <sheetName val="[Spt-BH.xls][Spt-BH.xls]B___874"/>
      <sheetName val="[Spt-BH.xls][Spt-BH.xls]B___875"/>
      <sheetName val="[Spt-BH.xls][Spt-BH.xls]B___868"/>
      <sheetName val="[Spt-BH.xls][Spt-BH.xls]B___869"/>
      <sheetName val="[Spt-BH.xls][Spt-BH.xls]B___876"/>
      <sheetName val="[Spt-BH.xls][Spt-BH.xls]B___877"/>
      <sheetName val="[Spt-BH.xls][Spt-BH.xls]B___878"/>
      <sheetName val="[Spt-BH.xls][Spt-BH.xls]B___870"/>
      <sheetName val="[Spt-BH.xls][Spt-BH.xls]B___871"/>
      <sheetName val="[Spt-BH.xls][Spt-BH.xls]B___872"/>
      <sheetName val="[Spt-BH.xls][Spt-BH.xls]B___879"/>
      <sheetName val="[Spt-BH.xls][Spt-BH.xls]B___873"/>
      <sheetName val="[Spt-BH.xls][Spt-BH.xls]B___862"/>
      <sheetName val="[Spt-BH.xls][Spt-BH.xls]B___863"/>
      <sheetName val="[Spt-BH.xls][Spt-BH.xls]B___864"/>
      <sheetName val="[Spt-BH.xls][Spt-BH.xls]B___865"/>
      <sheetName val="[Spt-BH.xls][Spt-BH.xls]B___866"/>
      <sheetName val="[Spt-BH.xls][Spt-BH.xls]B___867"/>
      <sheetName val="[Spt-BH.xls][Spt-BH.xls]B___921"/>
      <sheetName val="[Spt-BH.xls][Spt-BH.xls]B___922"/>
      <sheetName val="[Spt-BH.xls][Spt-BH.xls]_Sp_254"/>
      <sheetName val="[Spt-BH.xls][Spt-BH.xls]B___923"/>
      <sheetName val="[Spt-BH.xls][Spt-BH.xls]B___924"/>
      <sheetName val="[Spt-BH.xls][Spt-BH.xls]B___925"/>
      <sheetName val="[Spt-BH.xls][Spt-BH.xls]B___887"/>
      <sheetName val="[Spt-BH.xls][Spt-BH.xls]B___888"/>
      <sheetName val="[Spt-BH.xls][Spt-BH.xls]_Sp_252"/>
      <sheetName val="[Spt-BH.xls][Spt-BH.xls]B___889"/>
      <sheetName val="[Spt-BH.xls][Spt-BH.xls]B___890"/>
      <sheetName val="[Spt-BH.xls][Spt-BH.xls]B___891"/>
      <sheetName val="[Spt-BH.xls][Spt-BH.xls]B___926"/>
      <sheetName val="[Spt-BH.xls][Spt-BH.xls]B___892"/>
      <sheetName val="[Spt-BH.xls][Spt-BH.xls]B___893"/>
      <sheetName val="[Spt-BH.xls][Spt-BH.xls]_Sp_253"/>
      <sheetName val="[Spt-BH.xls][Spt-BH_xls]B___262"/>
      <sheetName val="[Spt-BH.xls][Spt-BH_xls]B___263"/>
      <sheetName val="[Spt-BH.xls][Spt-BH_xls]B___264"/>
      <sheetName val="[Spt-BH.xls][Spt-BH_xls]B___265"/>
      <sheetName val="[Spt-BH.xls][Spt-BH_xls]_Spt_85"/>
      <sheetName val="[Spt-BH.xls][Spt-BH_xls]B___266"/>
      <sheetName val="[Spt-BH.xls][Spt-BH_xls]B___267"/>
      <sheetName val="[Spt-BH.xls][Spt-BH_xls]B___268"/>
      <sheetName val="[Spt-BH.xls][Spt-BH_xls]_Spt_86"/>
      <sheetName val="[Spt-BH.xls][Spt-BH_xls]B___269"/>
      <sheetName val="[Spt-BH.xls][Spt-BH_xls]B___270"/>
      <sheetName val="[Spt-BH.xls][Spt-BH_xls]B___271"/>
      <sheetName val="[Spt-BH.xls][Spt-BH_xls]B___272"/>
      <sheetName val="[Spt-BH.xls][Spt-BH_xls]_Spt_87"/>
      <sheetName val="[Spt-BH.xls][Spt-BH.xls]B___880"/>
      <sheetName val="[Spt-BH.xls][Spt-BH.xls]B___881"/>
      <sheetName val="[Spt-BH.xls][Spt-BH.xls]B___882"/>
      <sheetName val="[Spt-BH.xls][Spt-BH.xls]B___883"/>
      <sheetName val="[Spt-BH.xls][Spt-BH.xls]B___884"/>
      <sheetName val="[Spt-BH.xls][Spt-BH.xls]B___885"/>
      <sheetName val="[Spt-BH.xls][Spt-BH.xls]B___886"/>
      <sheetName val="[Spt-BH.xls][Spt-BH.xls]B___894"/>
      <sheetName val="[Spt-BH.xls][Spt-BH.xls]B___895"/>
      <sheetName val="[Spt-BH.xls][Spt-BH.xls]_Sp_245"/>
      <sheetName val="[Spt-BH.xls][Spt-BH.xls]B___896"/>
      <sheetName val="[Spt-BH.xls][Spt-BH.xls]B___897"/>
      <sheetName val="[Spt-BH.xls][Spt-BH.xls]B___898"/>
      <sheetName val="[Spt-BH.xls][Spt-BH.xls]_Sp_243"/>
      <sheetName val="[Spt-BH.xls][Spt-BH.xls]B___899"/>
      <sheetName val="[Spt-BH.xls][Spt-BH.xls]_Sp_244"/>
      <sheetName val="[Spt-BH.xls][Spt-BH.xls]B___901"/>
      <sheetName val="[Spt-BH.xls][Spt-BH.xls]B___902"/>
      <sheetName val="[Spt-BH.xls][Spt-BH.xls]_Sp_247"/>
      <sheetName val="[Spt-BH.xls][Spt-BH.xls]B___903"/>
      <sheetName val="[Spt-BH.xls][Spt-BH.xls]B___904"/>
      <sheetName val="[Spt-BH.xls][Spt-BH.xls]B___905"/>
      <sheetName val="[Spt-BH.xls][Spt-BH.xls]B___906"/>
      <sheetName val="[Spt-BH.xls][Spt-BH.xls]B___900"/>
      <sheetName val="[Spt-BH.xls][Spt-BH.xls]_Sp_246"/>
      <sheetName val="[Spt-BH.xls][Spt-BH_xls]B___273"/>
      <sheetName val="[Spt-BH.xls][Spt-BH_xls]B___274"/>
      <sheetName val="[Spt-BH.xls][Spt-BH_xls]B___275"/>
      <sheetName val="[Spt-BH.xls][Spt-BH_xls]B___276"/>
      <sheetName val="[Spt-BH.xls][Spt-BH_xls]_Spt_88"/>
      <sheetName val="[Spt-BH.xls][Spt-BH_xls]B___277"/>
      <sheetName val="[Spt-BH.xls][Spt-BH_xls]B___278"/>
      <sheetName val="[Spt-BH.xls][Spt-BH_xls]B___279"/>
      <sheetName val="[Spt-BH.xls][Spt-BH_xls]_Spt_89"/>
      <sheetName val="[Spt-BH.xls][Spt-BH_xls]B___280"/>
      <sheetName val="[Spt-BH.xls][Spt-BH_xls]B___281"/>
      <sheetName val="[Spt-BH.xls][Spt-BH_xls]B___282"/>
      <sheetName val="[Spt-BH.xls][Spt-BH_xls]B___283"/>
      <sheetName val="[Spt-BH.xls][Spt-BH_xls]_Spt_90"/>
      <sheetName val="[Spt-BH.xls][Spt-BH.xls]B___908"/>
      <sheetName val="[Spt-BH.xls][Spt-BH.xls]B___909"/>
      <sheetName val="[Spt-BH.xls][Spt-BH.xls]_Sp_249"/>
      <sheetName val="[Spt-BH.xls][Spt-BH.xls]B___910"/>
      <sheetName val="[Spt-BH.xls][Spt-BH.xls]B___911"/>
      <sheetName val="[Spt-BH.xls][Spt-BH.xls]B___912"/>
      <sheetName val="[Spt-BH.xls][Spt-BH.xls]B___913"/>
      <sheetName val="[Spt-BH.xls][Spt-BH.xls]B___907"/>
      <sheetName val="[Spt-BH.xls][Spt-BH.xls]_Sp_248"/>
      <sheetName val="[Spt-BH.xls][Spt-BH_xls]B___284"/>
      <sheetName val="[Spt-BH.xls][Spt-BH_xls]B___285"/>
      <sheetName val="[Spt-BH.xls][Spt-BH_xls]B___286"/>
      <sheetName val="[Spt-BH.xls][Spt-BH_xls]B___287"/>
      <sheetName val="[Spt-BH.xls][Spt-BH_xls]_Spt_91"/>
      <sheetName val="[Spt-BH.xls][Spt-BH_xls]B___288"/>
      <sheetName val="[Spt-BH.xls][Spt-BH_xls]B___289"/>
      <sheetName val="[Spt-BH.xls][Spt-BH_xls]B___290"/>
      <sheetName val="[Spt-BH.xls][Spt-BH_xls]_Spt_92"/>
      <sheetName val="[Spt-BH.xls][Spt-BH_xls]B___291"/>
      <sheetName val="[Spt-BH.xls][Spt-BH_xls]B___292"/>
      <sheetName val="[Spt-BH.xls][Spt-BH_xls]B___293"/>
      <sheetName val="[Spt-BH.xls][Spt-BH_xls]B___294"/>
      <sheetName val="[Spt-BH.xls][Spt-BH_xls]_Spt_93"/>
      <sheetName val="[Spt-BH.xls][Spt-BH.xls]B___928"/>
      <sheetName val="[Spt-BH.xls][Spt-BH.xls]B___929"/>
      <sheetName val="[Spt-BH.xls][Spt-BH.xls]_Sp_256"/>
      <sheetName val="[Spt-BH.xls][Spt-BH.xls]B___930"/>
      <sheetName val="[Spt-BH.xls][Spt-BH.xls]B___931"/>
      <sheetName val="[Spt-BH.xls][Spt-BH.xls]B___932"/>
      <sheetName val="[Spt-BH.xls][Spt-BH.xls]B___933"/>
      <sheetName val="[Spt-BH.xls][Spt-BH.xls]B___927"/>
      <sheetName val="[Spt-BH.xls][Spt-BH.xls]_Sp_255"/>
      <sheetName val="[Spt-BH.xls][Spt-BH_xls]B___306"/>
      <sheetName val="[Spt-BH.xls][Spt-BH_xls]B___307"/>
      <sheetName val="[Spt-BH.xls][Spt-BH_xls]B___308"/>
      <sheetName val="[Spt-BH.xls][Spt-BH_xls]B___309"/>
      <sheetName val="[Spt-BH.xls][Spt-BH_xls]_Spt_97"/>
      <sheetName val="[Spt-BH.xls][Spt-BH_xls]B___310"/>
      <sheetName val="[Spt-BH.xls][Spt-BH_xls]B___311"/>
      <sheetName val="[Spt-BH.xls][Spt-BH_xls]B___312"/>
      <sheetName val="[Spt-BH.xls][Spt-BH_xls]_Spt_98"/>
      <sheetName val="[Spt-BH.xls][Spt-BH_xls]B___313"/>
      <sheetName val="[Spt-BH.xls][Spt-BH_xls]B___314"/>
      <sheetName val="[Spt-BH.xls][Spt-BH_xls]B___315"/>
      <sheetName val="[Spt-BH.xls][Spt-BH_xls]B___316"/>
      <sheetName val="[Spt-BH.xls][Spt-BH_xls]_Spt_99"/>
      <sheetName val="[Spt-BH.xls][Spt-BH.xls]B___914"/>
      <sheetName val="[Spt-BH.xls][Spt-BH.xls]B___915"/>
      <sheetName val="[Spt-BH.xls][Spt-BH.xls]B___916"/>
      <sheetName val="[Spt-BH.xls][Spt-BH.xls]B___917"/>
      <sheetName val="[Spt-BH.xls][Spt-BH.xls]B___918"/>
      <sheetName val="[Spt-BH.xls][Spt-BH.xls]_Sp_250"/>
      <sheetName val="[Spt-BH.xls][Spt-BH.xls]B___919"/>
      <sheetName val="[Spt-BH.xls][Spt-BH.xls]_Sp_251"/>
      <sheetName val="[Spt-BH.xls][Spt-BH.xls]B___920"/>
      <sheetName val="[Spt-BH.xls][Spt-BH_xls]B___295"/>
      <sheetName val="[Spt-BH.xls][Spt-BH_xls]B___296"/>
      <sheetName val="[Spt-BH.xls][Spt-BH_xls]B___297"/>
      <sheetName val="[Spt-BH.xls][Spt-BH_xls]B___298"/>
      <sheetName val="[Spt-BH.xls][Spt-BH_xls]_Spt_94"/>
      <sheetName val="[Spt-BH.xls][Spt-BH_xls]B___299"/>
      <sheetName val="[Spt-BH.xls][Spt-BH_xls]B___300"/>
      <sheetName val="[Spt-BH.xls][Spt-BH_xls]B___301"/>
      <sheetName val="[Spt-BH.xls][Spt-BH_xls]_Spt_95"/>
      <sheetName val="[Spt-BH.xls][Spt-BH_xls]B___302"/>
      <sheetName val="[Spt-BH.xls][Spt-BH_xls]B___303"/>
      <sheetName val="[Spt-BH.xls][Spt-BH_xls]B___304"/>
      <sheetName val="[Spt-BH.xls][Spt-BH_xls]B___305"/>
      <sheetName val="[Spt-BH.xls][Spt-BH_xls]_Spt_96"/>
      <sheetName val="[Spt-BH.xls][Spt-BH.xls]B___935"/>
      <sheetName val="[Spt-BH.xls][Spt-BH.xls]B___936"/>
      <sheetName val="[Spt-BH.xls][Spt-BH.xls]_Sp_258"/>
      <sheetName val="[Spt-BH.xls][Spt-BH.xls]B___937"/>
      <sheetName val="[Spt-BH.xls][Spt-BH.xls]B___938"/>
      <sheetName val="[Spt-BH.xls][Spt-BH.xls]B___939"/>
      <sheetName val="[Spt-BH.xls][Spt-BH.xls]B___940"/>
      <sheetName val="[Spt-BH.xls][Spt-BH.xls]B___934"/>
      <sheetName val="[Spt-BH.xls][Spt-BH.xls]_Sp_257"/>
      <sheetName val="[Spt-BH.xls][Spt-BH_xls]B___317"/>
      <sheetName val="[Spt-BH.xls][Spt-BH_xls]B___318"/>
      <sheetName val="[Spt-BH.xls][Spt-BH_xls]B___319"/>
      <sheetName val="[Spt-BH.xls][Spt-BH_xls]B___320"/>
      <sheetName val="[Spt-BH.xls][Spt-BH_xls]_Sp_100"/>
      <sheetName val="[Spt-BH.xls][Spt-BH_xls]B___321"/>
      <sheetName val="[Spt-BH.xls][Spt-BH_xls]B___322"/>
      <sheetName val="[Spt-BH.xls][Spt-BH_xls]B___323"/>
      <sheetName val="[Spt-BH.xls][Spt-BH_xls]_Sp_101"/>
      <sheetName val="[Spt-BH.xls][Spt-BH_xls]B___324"/>
      <sheetName val="[Spt-BH.xls][Spt-BH_xls]B___325"/>
      <sheetName val="[Spt-BH.xls][Spt-BH_xls]B___326"/>
      <sheetName val="[Spt-BH.xls][Spt-BH_xls]B___327"/>
      <sheetName val="[Spt-BH.xls][Spt-BH_xls]_Sp_102"/>
      <sheetName val="[Spt-BH.xls][Spt-BH.xls]B___942"/>
      <sheetName val="[Spt-BH.xls][Spt-BH.xls]B___943"/>
      <sheetName val="[Spt-BH.xls][Spt-BH.xls]_Sp_262"/>
      <sheetName val="[Spt-BH.xls][Spt-BH.xls]B___944"/>
      <sheetName val="[Spt-BH.xls][Spt-BH.xls]B___945"/>
      <sheetName val="[Spt-BH.xls][Spt-BH.xls]B___946"/>
      <sheetName val="[Spt-BH.xls][Spt-BH.xls]B___947"/>
      <sheetName val="[Spt-BH.xls][Spt-BH.xls]B___941"/>
      <sheetName val="[Spt-BH.xls][Spt-BH.xls]_Sp_259"/>
      <sheetName val="[Spt-BH.xls][Spt-BH_xls]B___328"/>
      <sheetName val="[Spt-BH.xls][Spt-BH_xls]B___329"/>
      <sheetName val="[Spt-BH.xls][Spt-BH_xls]B___330"/>
      <sheetName val="[Spt-BH.xls][Spt-BH_xls]B___331"/>
      <sheetName val="[Spt-BH.xls][Spt-BH_xls]_Sp_103"/>
      <sheetName val="[Spt-BH.xls][Spt-BH_xls]B___332"/>
      <sheetName val="[Spt-BH.xls][Spt-BH_xls]B___333"/>
      <sheetName val="[Spt-BH.xls][Spt-BH_xls]B___334"/>
      <sheetName val="[Spt-BH.xls][Spt-BH_xls]_Sp_104"/>
      <sheetName val="[Spt-BH.xls][Spt-BH_xls]B___335"/>
      <sheetName val="[Spt-BH.xls][Spt-BH_xls]B___336"/>
      <sheetName val="[Spt-BH.xls][Spt-BH_xls]B___337"/>
      <sheetName val="[Spt-BH.xls][Spt-BH_xls]B___338"/>
      <sheetName val="[Spt-BH.xls][Spt-BH_xls]_Sp_105"/>
      <sheetName val="[Spt-BH.xls][Spt-BH.xls]_Sp_260"/>
      <sheetName val="[Spt-BH.xls][Spt-BH.xls]_Sp_261"/>
      <sheetName val="[Spt-BH.xls][Spt-BH.xls]_Sp_265"/>
      <sheetName val="[Spt-BH.xls][Spt-BH.xls]B___955"/>
      <sheetName val="[Spt-BH.xls][Spt-BH.xls]B___956"/>
      <sheetName val="[Spt-BH.xls][Spt-BH.xls]_Sp_267"/>
      <sheetName val="[Spt-BH.xls][Spt-BH.xls]B___957"/>
      <sheetName val="[Spt-BH.xls][Spt-BH.xls]B___958"/>
      <sheetName val="[Spt-BH.xls][Spt-BH.xls]B___959"/>
      <sheetName val="[Spt-BH.xls][Spt-BH.xls]B___960"/>
      <sheetName val="[Spt-BH.xls][Spt-BH.xls]_Sp_266"/>
      <sheetName val="[Spt-BH.xls][Spt-BH.xls]_Sp_268"/>
      <sheetName val="[Spt-BH.xls][Spt-BH.xls]B___961"/>
      <sheetName val="[Spt-BH.xls][Spt-BH.xls]B___962"/>
      <sheetName val="[Spt-BH.xls][Spt-BH.xls]_Sp_270"/>
      <sheetName val="[Spt-BH.xls][Spt-BH.xls]B___963"/>
      <sheetName val="[Spt-BH.xls][Spt-BH.xls]B___964"/>
      <sheetName val="[Spt-BH.xls][Spt-BH.xls]B___965"/>
      <sheetName val="[Spt-BH.xls][Spt-BH.xls]B___966"/>
      <sheetName val="[Spt-BH.xls][Spt-BH.xls]_Sp_269"/>
      <sheetName val="[Spt-BH.xls][Spt-BH.xls]_Sp_274"/>
      <sheetName val="[Spt-BH.xls][Spt-BH.xls]B__1067"/>
      <sheetName val="[Spt-BH.xls][Spt-BH.xls]_Sp_313"/>
      <sheetName val="[Spt-BH.xls][Spt-BH_xls]B___394"/>
      <sheetName val="[Spt-BH.xls][Spt-BH_xls]B___395"/>
      <sheetName val="[Spt-BH.xls][Spt-BH_xls]B___396"/>
      <sheetName val="[Spt-BH.xls][Spt-BH_xls]B___397"/>
      <sheetName val="[Spt-BH.xls][Spt-BH_xls]_Sp_121"/>
      <sheetName val="[Spt-BH.xls][Spt-BH_xls]B___398"/>
      <sheetName val="[Spt-BH.xls][Spt-BH_xls]B___399"/>
      <sheetName val="[Spt-BH.xls][Spt-BH_xls]B___400"/>
      <sheetName val="[Spt-BH.xls][Spt-BH_xls]_Sp_122"/>
      <sheetName val="[Spt-BH.xls][Spt-BH_xls]B___401"/>
      <sheetName val="[Spt-BH.xls][Spt-BH_xls]B___402"/>
      <sheetName val="[Spt-BH.xls][Spt-BH_xls]B___403"/>
      <sheetName val="[Spt-BH.xls][Spt-BH_xls]B___404"/>
      <sheetName val="[Spt-BH.xls][Spt-BH_xls]_Sp_123"/>
      <sheetName val="[Spt-BH.xls][Spt-BH.xls]B___999"/>
      <sheetName val="[Spt-BH.xls][Spt-BH.xls]B__1000"/>
      <sheetName val="[Spt-BH.xls][Spt-BH.xls]B___973"/>
      <sheetName val="[Spt-BH.xls][Spt-BH.xls]B___974"/>
      <sheetName val="[Spt-BH.xls][Spt-BH.xls]_Sp_286"/>
      <sheetName val="[Spt-BH.xls][Spt-BH.xls]B__1001"/>
      <sheetName val="[Spt-BH.xls][Spt-BH.xls]B__1002"/>
      <sheetName val="[Spt-BH.xls][Spt-BH.xls]B__1003"/>
      <sheetName val="[Spt-BH.xls][Spt-BH.xls]_Sp_275"/>
      <sheetName val="[Spt-BH.xls][Spt-BH.xls]_Sp_284"/>
      <sheetName val="[Spt-BH.xls][Spt-BH.xls]B___975"/>
      <sheetName val="[Spt-BH.xls][Spt-BH.xls]B___976"/>
      <sheetName val="[Spt-BH.xls][Spt-BH.xls]B___977"/>
      <sheetName val="[Spt-BH.xls][Spt-BH.xls]B__1004"/>
      <sheetName val="[Spt-BH.xls][Spt-BH.xls]B___978"/>
      <sheetName val="[Spt-BH.xls][Spt-BH.xls]_Sp_276"/>
      <sheetName val="[Spt-BH.xls][Spt-BH.xls]B___979"/>
      <sheetName val="[Spt-BH.xls][Spt-BH.xls]_Sp_285"/>
      <sheetName val="[Spt-BH.xls][Spt-BH_xls]B___350"/>
      <sheetName val="[Spt-BH.xls][Spt-BH_xls]B___351"/>
      <sheetName val="[Spt-BH.xls][Spt-BH_xls]B___352"/>
      <sheetName val="[Spt-BH.xls][Spt-BH_xls]B___353"/>
      <sheetName val="[Spt-BH.xls][Spt-BH_xls]_Sp_109"/>
      <sheetName val="[Spt-BH.xls][Spt-BH_xls]B___354"/>
      <sheetName val="[Spt-BH.xls][Spt-BH_xls]B___355"/>
      <sheetName val="[Spt-BH.xls][Spt-BH_xls]B___356"/>
      <sheetName val="[Spt-BH.xls][Spt-BH_xls]_Sp_110"/>
      <sheetName val="[Spt-BH.xls][Spt-BH_xls]B___357"/>
      <sheetName val="[Spt-BH.xls][Spt-BH_xls]B___358"/>
      <sheetName val="[Spt-BH.xls][Spt-BH_xls]B___359"/>
      <sheetName val="[Spt-BH.xls][Spt-BH_xls]B___360"/>
      <sheetName val="[Spt-BH.xls][Spt-BH_xls]_Sp_111"/>
      <sheetName val="[Spt-BH.xls][Spt-BH.xls]B___980"/>
      <sheetName val="[Spt-BH.xls][Spt-BH.xls]B___981"/>
      <sheetName val="[Spt-BH.xls][Spt-BH.xls]_Sp_279"/>
      <sheetName val="[Spt-BH.xls][Spt-BH.xls]B___982"/>
      <sheetName val="[Spt-BH.xls][Spt-BH.xls]B___983"/>
      <sheetName val="[Spt-BH.xls][Spt-BH.xls]B___984"/>
      <sheetName val="[Spt-BH.xls][Spt-BH.xls]_Sp_277"/>
      <sheetName val="[Spt-BH.xls][Spt-BH.xls]B___985"/>
      <sheetName val="[Spt-BH.xls][Spt-BH.xls]_Sp_278"/>
      <sheetName val="[Spt-BH.xls][Spt-BH.xls]B___993"/>
      <sheetName val="[Spt-BH.xls][Spt-BH.xls]B___994"/>
      <sheetName val="[Spt-BH.xls][Spt-BH.xls]B___986"/>
      <sheetName val="[Spt-BH.xls][Spt-BH.xls]B___987"/>
      <sheetName val="[Spt-BH.xls][Spt-BH.xls]B___995"/>
      <sheetName val="[Spt-BH.xls][Spt-BH.xls]B___996"/>
      <sheetName val="[Spt-BH.xls][Spt-BH.xls]B___997"/>
      <sheetName val="[Spt-BH.xls][Spt-BH.xls]_Sp_280"/>
      <sheetName val="[Spt-BH.xls][Spt-BH.xls]_Sp_282"/>
      <sheetName val="[Spt-BH.xls][Spt-BH.xls]B___988"/>
      <sheetName val="[Spt-BH.xls][Spt-BH.xls]B___989"/>
      <sheetName val="[Spt-BH.xls][Spt-BH.xls]B___990"/>
      <sheetName val="[Spt-BH.xls][Spt-BH.xls]B___998"/>
      <sheetName val="[Spt-BH.xls][Spt-BH.xls]B___991"/>
      <sheetName val="[Spt-BH.xls][Spt-BH.xls]_Sp_281"/>
      <sheetName val="[Spt-BH.xls][Spt-BH.xls]B___992"/>
      <sheetName val="[Spt-BH.xls][Spt-BH.xls]_Sp_283"/>
      <sheetName val="[Spt-BH.xls][Spt-BH_xls]B___361"/>
      <sheetName val="[Spt-BH.xls][Spt-BH_xls]B___362"/>
      <sheetName val="[Spt-BH.xls][Spt-BH_xls]B___363"/>
      <sheetName val="[Spt-BH.xls][Spt-BH_xls]B___364"/>
      <sheetName val="[Spt-BH.xls][Spt-BH_xls]_Sp_112"/>
      <sheetName val="[Spt-BH.xls][Spt-BH_xls]B___365"/>
      <sheetName val="[Spt-BH.xls][Spt-BH_xls]B___366"/>
      <sheetName val="[Spt-BH.xls][Spt-BH_xls]B___367"/>
      <sheetName val="[Spt-BH.xls][Spt-BH_xls]_Sp_113"/>
      <sheetName val="[Spt-BH.xls][Spt-BH_xls]B___368"/>
      <sheetName val="[Spt-BH.xls][Spt-BH_xls]B___369"/>
      <sheetName val="[Spt-BH.xls][Spt-BH_xls]B___370"/>
      <sheetName val="[Spt-BH.xls][Spt-BH_xls]B___371"/>
      <sheetName val="[Spt-BH.xls][Spt-BH_xls]_Sp_114"/>
      <sheetName val="[Spt-BH.xls][Spt-BH.xls]B__1011"/>
      <sheetName val="[Spt-BH.xls][Spt-BH.xls]B__1012"/>
      <sheetName val="[Spt-BH.xls][Spt-BH.xls]_Sp_293"/>
      <sheetName val="[Spt-BH.xls][Spt-BH.xls]B__1013"/>
      <sheetName val="[Spt-BH.xls][Spt-BH.xls]B__1014"/>
      <sheetName val="[Spt-BH.xls][Spt-BH.xls]B__1015"/>
      <sheetName val="[Spt-BH.xls][Spt-BH.xls]_Sp_289"/>
      <sheetName val="[Spt-BH.xls][Spt-BH.xls]B__1016"/>
      <sheetName val="[Spt-BH.xls][Spt-BH.xls]_Sp_290"/>
      <sheetName val="[Spt-BH.xls][Spt-BH.xls]B__1005"/>
      <sheetName val="[Spt-BH.xls][Spt-BH.xls]B__1006"/>
      <sheetName val="[Spt-BH.xls][Spt-BH.xls]B__1007"/>
      <sheetName val="[Spt-BH.xls][Spt-BH.xls]B__1008"/>
      <sheetName val="[Spt-BH.xls][Spt-BH.xls]B__1009"/>
      <sheetName val="[Spt-BH.xls][Spt-BH.xls]_Sp_287"/>
      <sheetName val="[Spt-BH.xls][Spt-BH.xls]B__1010"/>
      <sheetName val="[Spt-BH.xls][Spt-BH.xls]_Sp_288"/>
      <sheetName val="[Spt-BH.xls][Spt-BH.xls]B__1017"/>
      <sheetName val="[Spt-BH.xls][Spt-BH.xls]B__1018"/>
      <sheetName val="[Spt-BH.xls][Spt-BH.xls]B__1019"/>
      <sheetName val="[Spt-BH.xls][Spt-BH.xls]B__1020"/>
      <sheetName val="[Spt-BH.xls][Spt-BH.xls]B__1021"/>
      <sheetName val="[Spt-BH.xls][Spt-BH.xls]_Sp_291"/>
      <sheetName val="[Spt-BH.xls][Spt-BH.xls]B__1022"/>
      <sheetName val="[Spt-BH.xls][Spt-BH.xls]_Sp_292"/>
      <sheetName val="[Spt-BH.xls][Spt-BH.xls]_Sp_294"/>
      <sheetName val="[Spt-BH.xls][Spt-BH.xls]B__1030"/>
      <sheetName val="[Spt-BH.xls][Spt-BH.xls]B__1031"/>
      <sheetName val="[Spt-BH.xls][Spt-BH.xls]B__1023"/>
      <sheetName val="[Spt-BH.xls][Spt-BH.xls]B__1024"/>
      <sheetName val="[Spt-BH.xls][Spt-BH.xls]_Sp_299"/>
      <sheetName val="[Spt-BH.xls][Spt-BH.xls]B__1032"/>
      <sheetName val="[Spt-BH.xls][Spt-BH.xls]B__1033"/>
      <sheetName val="[Spt-BH.xls][Spt-BH.xls]B__1034"/>
      <sheetName val="[Spt-BH.xls][Spt-BH.xls]_Sp_295"/>
      <sheetName val="[Spt-BH.xls][Spt-BH.xls]_Sp_297"/>
      <sheetName val="[Spt-BH.xls][Spt-BH.xls]B__1025"/>
      <sheetName val="[Spt-BH.xls][Spt-BH.xls]B__1026"/>
      <sheetName val="[Spt-BH.xls][Spt-BH.xls]B__1027"/>
      <sheetName val="[Spt-BH.xls][Spt-BH.xls]B__1035"/>
      <sheetName val="[Spt-BH.xls][Spt-BH.xls]B__1028"/>
      <sheetName val="[Spt-BH.xls][Spt-BH.xls]_Sp_296"/>
      <sheetName val="[Spt-BH.xls][Spt-BH.xls]B__1029"/>
      <sheetName val="[Spt-BH.xls][Spt-BH.xls]_Sp_298"/>
      <sheetName val="[Spt-BH.xls][Spt-BH_xls]B___372"/>
      <sheetName val="[Spt-BH.xls][Spt-BH_xls]B___373"/>
      <sheetName val="[Spt-BH.xls][Spt-BH_xls]B___374"/>
      <sheetName val="[Spt-BH.xls][Spt-BH_xls]B___375"/>
      <sheetName val="[Spt-BH.xls][Spt-BH_xls]_Sp_115"/>
      <sheetName val="[Spt-BH.xls][Spt-BH_xls]B___376"/>
      <sheetName val="[Spt-BH.xls][Spt-BH_xls]B___377"/>
      <sheetName val="[Spt-BH.xls][Spt-BH_xls]B___378"/>
      <sheetName val="[Spt-BH.xls][Spt-BH_xls]_Sp_116"/>
      <sheetName val="[Spt-BH.xls][Spt-BH_xls]B___379"/>
      <sheetName val="[Spt-BH.xls][Spt-BH_xls]B___380"/>
      <sheetName val="[Spt-BH.xls][Spt-BH_xls]B___381"/>
      <sheetName val="[Spt-BH.xls][Spt-BH_xls]B___382"/>
      <sheetName val="[Spt-BH.xls][Spt-BH_xls]_Sp_117"/>
      <sheetName val="[Spt-BH.xls][Spt-BH.xls]B__1048"/>
      <sheetName val="[Spt-BH.xls][Spt-BH.xls]B__1049"/>
      <sheetName val="[Spt-BH.xls][Spt-BH.xls]B__1036"/>
      <sheetName val="[Spt-BH.xls][Spt-BH.xls]B__1037"/>
      <sheetName val="[Spt-BH.xls][Spt-BH.xls]_Sp_304"/>
      <sheetName val="[Spt-BH.xls][Spt-BH.xls]B__1050"/>
      <sheetName val="[Spt-BH.xls][Spt-BH.xls]B__1051"/>
      <sheetName val="[Spt-BH.xls][Spt-BH.xls]B__1052"/>
      <sheetName val="[Spt-BH.xls][Spt-BH.xls]_Sp_303"/>
      <sheetName val="[Spt-BH.xls][Spt-BH.xls]B__1038"/>
      <sheetName val="[Spt-BH.xls][Spt-BH.xls]B__1039"/>
      <sheetName val="[Spt-BH.xls][Spt-BH.xls]B__1040"/>
      <sheetName val="[Spt-BH.xls][Spt-BH.xls]B__1053"/>
      <sheetName val="[Spt-BH.xls][Spt-BH.xls]B__1041"/>
      <sheetName val="[Spt-BH.xls][Spt-BH.xls]_Sp_300"/>
      <sheetName val="[Spt-BH.xls][Spt-BH.xls]B__1042"/>
      <sheetName val="[Spt-BH.xls][Spt-BH.xls]B__1043"/>
      <sheetName val="[Spt-BH.xls][Spt-BH.xls]_Sp_302"/>
      <sheetName val="[Spt-BH.xls][Spt-BH.xls]B__1044"/>
      <sheetName val="[Spt-BH.xls][Spt-BH.xls]B__1045"/>
      <sheetName val="[Spt-BH.xls][Spt-BH.xls]B__1046"/>
      <sheetName val="[Spt-BH.xls][Spt-BH.xls]_Sp_301"/>
      <sheetName val="[Spt-BH.xls][Spt-BH.xls]B__1047"/>
      <sheetName val="[Spt-BH.xls][Spt-BH.xls]_Sp_305"/>
      <sheetName val="[Spt-BH.xls][Spt-BH.xls]B__1054"/>
      <sheetName val="[Spt-BH.xls][Spt-BH.xls]B__1055"/>
      <sheetName val="[Spt-BH.xls][Spt-BH.xls]_Sp_306"/>
      <sheetName val="[Spt-BH.xls][Spt-BH.xls]B__1056"/>
      <sheetName val="[Spt-BH.xls][Spt-BH.xls]B__1057"/>
      <sheetName val="[Spt-BH.xls][Spt-BH.xls]B__1058"/>
      <sheetName val="[Spt-BH.xls][Spt-BH.xls]B__1059"/>
      <sheetName val="[Spt-BH.xls][Spt-BH.xls]_Sp_307"/>
      <sheetName val="[Spt-BH.xls][Spt-BH.xls]B__1060"/>
      <sheetName val="[Spt-BH.xls][Spt-BH_xls]B___383"/>
      <sheetName val="[Spt-BH.xls][Spt-BH_xls]B___384"/>
      <sheetName val="[Spt-BH.xls][Spt-BH_xls]B___385"/>
      <sheetName val="[Spt-BH.xls][Spt-BH_xls]B___386"/>
      <sheetName val="[Spt-BH.xls][Spt-BH_xls]_Sp_118"/>
      <sheetName val="[Spt-BH.xls][Spt-BH_xls]B___387"/>
      <sheetName val="[Spt-BH.xls][Spt-BH_xls]B___388"/>
      <sheetName val="[Spt-BH.xls][Spt-BH_xls]B___389"/>
      <sheetName val="[Spt-BH.xls][Spt-BH_xls]_Sp_119"/>
      <sheetName val="[Spt-BH.xls][Spt-BH_xls]B___390"/>
      <sheetName val="[Spt-BH.xls][Spt-BH_xls]B___391"/>
      <sheetName val="[Spt-BH.xls][Spt-BH_xls]B___392"/>
      <sheetName val="[Spt-BH.xls][Spt-BH_xls]B___393"/>
      <sheetName val="[Spt-BH.xls][Spt-BH_xls]_Sp_120"/>
      <sheetName val="[Spt-BH.xls][Spt-BH.xls]B__1080"/>
      <sheetName val="[Spt-BH.xls][Spt-BH.xls]B__1081"/>
      <sheetName val="[Spt-BH.xls][Spt-BH.xls]_Sp_315"/>
      <sheetName val="[Spt-BH.xls][Spt-BH.xls]B__1082"/>
      <sheetName val="[Spt-BH.xls][Spt-BH.xls]B__1083"/>
      <sheetName val="[Spt-BH.xls][Spt-BH.xls]B__1084"/>
      <sheetName val="[Spt-BH.xls][Spt-BH.xls]B__1085"/>
      <sheetName val="[Spt-BH.xls][Spt-BH.xls]B__1068"/>
      <sheetName val="[Spt-BH.xls][Spt-BH.xls]B__1069"/>
      <sheetName val="[Spt-BH.xls][Spt-BH.xls]B__1070"/>
      <sheetName val="[Spt-BH.xls][Spt-BH.xls]B__1071"/>
      <sheetName val="[Spt-BH.xls][Spt-BH.xls]B__1072"/>
      <sheetName val="[Spt-BH.xls][Spt-BH.xls]_Sp_310"/>
      <sheetName val="[Spt-BH.xls][Spt-BH.xls]B__1073"/>
      <sheetName val="[Spt-BH.xls][Spt-BH.xls]_Sp_311"/>
      <sheetName val="[Spt-BH.xls][Spt-BH.xls]B__1086"/>
      <sheetName val="[Spt-BH.xls][Spt-BH.xls]B__1087"/>
      <sheetName val="[Spt-BH.xls][Spt-BH.xls]_Sp_316"/>
      <sheetName val="[Spt-BH.xls][Spt-BH.xls]B__1088"/>
      <sheetName val="[Spt-BH.xls][Spt-BH.xls]B__1089"/>
      <sheetName val="[Spt-BH.xls][Spt-BH.xls]B__1090"/>
      <sheetName val="[Spt-BH.xls][Spt-BH.xls]B__1091"/>
      <sheetName val="[Spt-BH.xls][Spt-BH.xls]B__1092"/>
      <sheetName val="[Spt-BH.xls][Spt-BH.xls]B__1093"/>
      <sheetName val="[Spt-BH.xls][Spt-BH.xls]_Sp_319"/>
      <sheetName val="[Spt-BH.xls][Spt-BH.xls]B__1094"/>
      <sheetName val="[Spt-BH.xls][Spt-BH.xls]B__1095"/>
      <sheetName val="[Spt-BH.xls][Spt-BH.xls]B__1096"/>
      <sheetName val="[Spt-BH.xls][Spt-BH.xls]_Sp_317"/>
      <sheetName val="[Spt-BH.xls][Spt-BH.xls]B__1097"/>
      <sheetName val="[Spt-BH.xls][Spt-BH.xls]_Sp_318"/>
      <sheetName val="[Spt-BH.xls][Spt-BH.xls]B__1098"/>
      <sheetName val="[Spt-BH.xls][Spt-BH.xls]B__1099"/>
      <sheetName val="[Spt-BH.xls][Spt-BH.xls]_Sp_324"/>
      <sheetName val="[Spt-BH.xls][Spt-BH.xls]B__1100"/>
      <sheetName val="[Spt-BH.xls][Spt-BH.xls]B__1101"/>
      <sheetName val="[Spt-BH.xls][Spt-BH.xls]B__1102"/>
      <sheetName val="[Spt-BH.xls][Spt-BH.xls]_Sp_320"/>
      <sheetName val="[Spt-BH.xls][Spt-BH.xls]B__1103"/>
      <sheetName val="[Spt-BH.xls][Spt-BH.xls]_Sp_321"/>
      <sheetName val="[Spt-BH.xls][Spt-BH.xls]B__1122"/>
      <sheetName val="[Spt-BH.xls][Spt-BH.xls]B__1123"/>
      <sheetName val="[Spt-BH.xls][Spt-BH.xls]B__1110"/>
      <sheetName val="[Spt-BH.xls][Spt-BH.xls]B__1111"/>
      <sheetName val="[Spt-BH.xls][Spt-BH.xls]_Sp_329"/>
      <sheetName val="[Spt-BH.xls][Spt-BH.xls]B__1124"/>
      <sheetName val="[Spt-BH.xls][Spt-BH.xls]B__1125"/>
      <sheetName val="[Spt-BH.xls][Spt-BH.xls]B__1126"/>
      <sheetName val="[Spt-BH.xls][Spt-BH.xls]_Sp_327"/>
      <sheetName val="[Spt-BH.xls][Spt-BH.xls]B__1112"/>
      <sheetName val="[Spt-BH.xls][Spt-BH.xls]B__1113"/>
      <sheetName val="[Spt-BH.xls][Spt-BH.xls]B__1114"/>
      <sheetName val="[Spt-BH.xls][Spt-BH.xls]B__1127"/>
      <sheetName val="[Spt-BH.xls][Spt-BH.xls]B__1115"/>
      <sheetName val="[Spt-BH.xls][Spt-BH.xls]_Sp_325"/>
      <sheetName val="[Spt-BH.xls][Spt-BH.xls]_Sp_322"/>
      <sheetName val="[Spt-BH.xls][Spt-BH.xls]B__1104"/>
      <sheetName val="[Spt-BH.xls][Spt-BH.xls]B__1105"/>
      <sheetName val="[Spt-BH.xls][Spt-BH.xls]B__1106"/>
      <sheetName val="[Spt-BH.xls][Spt-BH.xls]B__1107"/>
      <sheetName val="[Spt-BH.xls][Spt-BH.xls]B__1108"/>
      <sheetName val="[Spt-BH.xls][Spt-BH.xls]B__1109"/>
      <sheetName val="[Spt-BH.xls][Spt-BH.xls]_Sp_323"/>
      <sheetName val="[Spt-BH.xls][Spt-BH.xls]B__1128"/>
      <sheetName val="[Spt-BH.xls][Spt-BH.xls]B__1129"/>
      <sheetName val="[Spt-BH.xls][Spt-BH.xls]_Sp_330"/>
      <sheetName val="[Spt-BH.xls][Spt-BH.xls]B__1130"/>
      <sheetName val="[Spt-BH.xls][Spt-BH.xls]B__1131"/>
      <sheetName val="[Spt-BH.xls][Spt-BH.xls]B__1132"/>
      <sheetName val="[Spt-BH.xls][Spt-BH.xls]B__1133"/>
      <sheetName val="[Spt-BH.xls][Spt-BH.xls]_Sp_328"/>
      <sheetName val="[Spt-BH.xls][Spt-BH.xls]B__1116"/>
      <sheetName val="[Spt-BH.xls][Spt-BH.xls]B__1117"/>
      <sheetName val="[Spt-BH.xls][Spt-BH.xls]B__1118"/>
      <sheetName val="[Spt-BH.xls][Spt-BH.xls]B__1119"/>
      <sheetName val="[Spt-BH.xls][Spt-BH.xls]B__1120"/>
      <sheetName val="[Spt-BH.xls][Spt-BH.xls]_Sp_326"/>
      <sheetName val="[Spt-BH.xls][Spt-BH.xls]B__1121"/>
      <sheetName val="[Spt-BH.xls][Spt-BH.xls]B__1141"/>
      <sheetName val="[Spt-BH.xls][Spt-BH.xls]B__1142"/>
      <sheetName val="[Spt-BH.xls][Spt-BH.xls]B__1134"/>
      <sheetName val="[Spt-BH.xls][Spt-BH.xls]B__1135"/>
      <sheetName val="[Spt-BH.xls][Spt-BH.xls]_Sp_334"/>
      <sheetName val="[Spt-BH.xls][Spt-BH.xls]B__1143"/>
      <sheetName val="[Spt-BH.xls][Spt-BH.xls]B__1144"/>
      <sheetName val="[Spt-BH.xls][Spt-BH.xls]B__1145"/>
      <sheetName val="[Spt-BH.xls][Spt-BH.xls]_Sp_332"/>
      <sheetName val="[Spt-BH.xls][Spt-BH.xls]B__1136"/>
      <sheetName val="[Spt-BH.xls][Spt-BH.xls]B__1137"/>
      <sheetName val="[Spt-BH.xls][Spt-BH.xls]B__1138"/>
      <sheetName val="[Spt-BH.xls]B____x005f_x0004_______70"/>
      <sheetName val="[Spt-BH.xls]B___x005f_x0000__x005f_x0004_70"/>
      <sheetName val="[Spt-BH.xls][Spt-BH.xls]B__1146"/>
      <sheetName val="[Spt-BH.xls][Spt-BH.xls]B__1139"/>
      <sheetName val="[Spt-BH.xls][Spt-BH.xls]_Sp_331"/>
      <sheetName val="[Spt-BH.xls][Spt-BH.xls]B__1140"/>
      <sheetName val="[Spt-BH.xls][Spt-BH.xls]_Sp_333"/>
      <sheetName val="[Spt-BH.xls][Spt-BH_xls]B___405"/>
      <sheetName val="[Spt-BH.xls][Spt-BH_xls]B___406"/>
      <sheetName val="[Spt-BH.xls][Spt-BH_xls]B___407"/>
      <sheetName val="[Spt-BH.xls][Spt-BH_xls]B___408"/>
      <sheetName val="[Spt-BH.xls][Spt-BH_xls]_Sp_124"/>
      <sheetName val="[Spt-BH.xls][Spt-BH_xls]B___409"/>
      <sheetName val="[Spt-BH.xls][Spt-BH_xls]B___410"/>
      <sheetName val="[Spt-BH.xls][Spt-BH_xls]B___411"/>
      <sheetName val="[Spt-BH.xls][Spt-BH_xls]_Sp_125"/>
      <sheetName val="[Spt-BH.xls][Spt-BH_xls]B___412"/>
      <sheetName val="[Spt-BH.xls][Spt-BH_xls]B___413"/>
      <sheetName val="[Spt-BH.xls][Spt-BH_xls]B___414"/>
      <sheetName val="[Spt-BH.xls][Spt-BH_xls]B___415"/>
      <sheetName val="[Spt-BH.xls][Spt-BH_xls]_Sp_126"/>
      <sheetName val="abst-of -cost"/>
      <sheetName val="Construction"/>
      <sheetName val="[Spt-BH.xls][Spt-BH.xls]B__1154"/>
      <sheetName val="[Spt-BH.xls][Spt-BH.xls]B__1155"/>
      <sheetName val="[Spt-BH.xls][Spt-BH.xls]B__1147"/>
      <sheetName val="[Spt-BH.xls][Spt-BH.xls]B__1148"/>
      <sheetName val="[Spt-BH.xls][Spt-BH.xls]B__1156"/>
      <sheetName val="[Spt-BH.xls][Spt-BH.xls]B__1157"/>
      <sheetName val="[Spt-BH.xls][Spt-BH.xls]B__1158"/>
      <sheetName val="[Spt-BH.xls][Spt-BH.xls]_Sp_335"/>
      <sheetName val="[Spt-BH.xls][Spt-BH.xls]_Sp_337"/>
      <sheetName val="[Spt-BH.xls][Spt-BH.xls]B__1149"/>
      <sheetName val="[Spt-BH.xls][Spt-BH.xls]B__1150"/>
      <sheetName val="[Spt-BH.xls][Spt-BH.xls]B__1151"/>
      <sheetName val="[Spt-BH.xls]B____x005f_x0004_______71"/>
      <sheetName val="[Spt-BH.xls]B___x005f_x0000__x005f_x0004_71"/>
      <sheetName val="[Spt-BH.xls][Spt-BH.xls]B__1159"/>
      <sheetName val="[Spt-BH.xls][Spt-BH.xls]B__1152"/>
      <sheetName val="[Spt-BH.xls][Spt-BH.xls]_Sp_336"/>
      <sheetName val="[Spt-BH.xls][Spt-BH.xls]B__1153"/>
      <sheetName val="[Spt-BH.xls][Spt-BH.xls]_Sp_338"/>
      <sheetName val="[Spt-BH.xls][Spt-BH_xls]B___416"/>
      <sheetName val="[Spt-BH.xls][Spt-BH_xls]B___417"/>
      <sheetName val="[Spt-BH.xls][Spt-BH_xls]B___418"/>
      <sheetName val="[Spt-BH.xls][Spt-BH_xls]B___419"/>
      <sheetName val="[Spt-BH.xls][Spt-BH_xls]_Sp_127"/>
      <sheetName val="[Spt-BH.xls][Spt-BH_xls]B___420"/>
      <sheetName val="[Spt-BH.xls][Spt-BH_xls]B___421"/>
      <sheetName val="[Spt-BH.xls][Spt-BH_xls]B___422"/>
      <sheetName val="[Spt-BH.xls][Spt-BH_xls]_Sp_128"/>
      <sheetName val="[Spt-BH.xls][Spt-BH_xls]B___423"/>
      <sheetName val="[Spt-BH.xls][Spt-BH_xls]B___424"/>
      <sheetName val="[Spt-BH.xls][Spt-BH_xls]B___425"/>
      <sheetName val="[Spt-BH.xls][Spt-BH_xls]B___426"/>
      <sheetName val="[Spt-BH.xls][Spt-BH_xls]_Sp_129"/>
      <sheetName val="[Spt-BH.xls][Spt-BH.xls]B__1184"/>
      <sheetName val="[Spt-BH.xls][Spt-BH.xls]B__1185"/>
      <sheetName val="[Spt-BH.xls][Spt-BH.xls]_Sp_348"/>
      <sheetName val="[Spt-BH.xls][Spt-BH.xls]B__1186"/>
      <sheetName val="[Spt-BH.xls][Spt-BH.xls]B__1187"/>
      <sheetName val="[Spt-BH.xls][Spt-BH.xls]B__1188"/>
      <sheetName val="[Spt-BH.xls][Spt-BH.xls]_Sp_347"/>
      <sheetName val="[Spt-BH.xls][Spt-BH.xls]B__1189"/>
      <sheetName val="[Spt-BH.xls][Spt-BH.xls]_Sp_349"/>
      <sheetName val="[Spt-BH.xls][Spt-BH.xls]B__1190"/>
      <sheetName val="[Spt-BH.xls][Spt-BH.xls]B__1191"/>
      <sheetName val="[Spt-BH.xls][Spt-BH.xls]_Sp_353"/>
      <sheetName val="[Spt-BH.xls][Spt-BH.xls]B__1192"/>
      <sheetName val="[Spt-BH.xls][Spt-BH.xls]B__1193"/>
      <sheetName val="[Spt-BH.xls][Spt-BH.xls]B__1194"/>
      <sheetName val="[Spt-BH.xls][Spt-BH.xls]B__1195"/>
      <sheetName val="[Spt-BH.xls][Spt-BH.xls]_Sp_350"/>
      <sheetName val="[Spt-BH.xls][Spt-BH_xls]B___427"/>
      <sheetName val="[Spt-BH.xls][Spt-BH_xls]B___428"/>
      <sheetName val="[Spt-BH.xls][Spt-BH_xls]B___429"/>
      <sheetName val="[Spt-BH.xls][Spt-BH_xls]B___430"/>
      <sheetName val="[Spt-BH.xls][Spt-BH_xls]_Sp_130"/>
      <sheetName val="[Spt-BH.xls][Spt-BH_xls]B___431"/>
      <sheetName val="[Spt-BH.xls][Spt-BH_xls]B___432"/>
      <sheetName val="[Spt-BH.xls][Spt-BH_xls]B___433"/>
      <sheetName val="[Spt-BH.xls][Spt-BH_xls]_Sp_131"/>
      <sheetName val="[Spt-BH.xls][Spt-BH_xls]B___434"/>
      <sheetName val="[Spt-BH.xls][Spt-BH_xls]B___435"/>
      <sheetName val="[Spt-BH.xls][Spt-BH_xls]B___436"/>
      <sheetName val="[Spt-BH.xls][Spt-BH_xls]B___437"/>
      <sheetName val="[Spt-BH.xls][Spt-BH_xls]_Sp_132"/>
      <sheetName val="[Spt-BH.xls][Spt-BH.xls]_Sp_351"/>
      <sheetName val="[Spt-BH.xls][Spt-BH.xls]_Sp_352"/>
      <sheetName val="[Spt-BH.xls][Spt-BH.xls]_Sp_354"/>
      <sheetName val="[Spt-BH.xls][Spt-BH.xls]B__1196"/>
      <sheetName val="[Spt-BH.xls][Spt-BH.xls]B__1197"/>
      <sheetName val="[Spt-BH.xls][Spt-BH.xls]_Sp_356"/>
      <sheetName val="[Spt-BH.xls][Spt-BH.xls]B__1198"/>
      <sheetName val="[Spt-BH.xls][Spt-BH.xls]B__1199"/>
      <sheetName val="[Spt-BH.xls][Spt-BH.xls]B__1200"/>
      <sheetName val="[Spt-BH.xls][Spt-BH.xls]B__1201"/>
      <sheetName val="[Spt-BH.xls][Spt-BH.xls]_Sp_355"/>
      <sheetName val="[Spt-BH.xls][Spt-BH.xls]B__1202"/>
      <sheetName val="[Spt-BH.xls][Spt-BH.xls]B__1203"/>
      <sheetName val="[Spt-BH.xls][Spt-BH.xls]_Sp_357"/>
      <sheetName val="[Spt-BH.xls][Spt-BH.xls]B__1204"/>
      <sheetName val="[Spt-BH.xls][Spt-BH.xls]B__1205"/>
      <sheetName val="[Spt-BH.xls][Spt-BH.xls]B__1206"/>
      <sheetName val="[Spt-BH.xls]B____x005f_x0004_______74"/>
      <sheetName val="[Spt-BH.xls]B___x005f_x0000__x005f_x0004_74"/>
      <sheetName val="[Spt-BH.xls][Spt-BH.xls]B__1207"/>
      <sheetName val="[Spt-BH.xls][Spt-BH_xls]B___438"/>
      <sheetName val="[Spt-BH.xls][Spt-BH_xls]B___439"/>
      <sheetName val="[Spt-BH.xls][Spt-BH_xls]B___440"/>
      <sheetName val="[Spt-BH.xls][Spt-BH_xls]B___441"/>
      <sheetName val="[Spt-BH.xls][Spt-BH_xls]_Sp_133"/>
      <sheetName val="[Spt-BH.xls][Spt-BH_xls]B___442"/>
      <sheetName val="[Spt-BH.xls][Spt-BH_xls]B___443"/>
      <sheetName val="[Spt-BH.xls][Spt-BH_xls]B___444"/>
      <sheetName val="[Spt-BH.xls][Spt-BH_xls]_Sp_134"/>
      <sheetName val="[Spt-BH.xls][Spt-BH_xls]B___445"/>
      <sheetName val="[Spt-BH.xls][Spt-BH_xls]B___446"/>
      <sheetName val="[Spt-BH.xls][Spt-BH_xls]B___447"/>
      <sheetName val="[Spt-BH.xls][Spt-BH_xls]B___448"/>
      <sheetName val="[Spt-BH.xls][Spt-BH_xls]_Sp_135"/>
      <sheetName val="[Spt-BH.xls][Spt-BH_xls]B___449"/>
      <sheetName val="[Spt-BH.xls][Spt-BH_xls]B___450"/>
      <sheetName val="[Spt-BH.xls][Spt-BH_xls]B___451"/>
      <sheetName val="[Spt-BH.xls][Spt-BH_xls]B___452"/>
      <sheetName val="[Spt-BH.xls][Spt-BH_xls]_Sp_136"/>
      <sheetName val="[Spt-BH.xls][Spt-BH_xls]B___453"/>
      <sheetName val="[Spt-BH.xls][Spt-BH_xls]B___454"/>
      <sheetName val="[Spt-BH.xls][Spt-BH_xls]B___455"/>
      <sheetName val="[Spt-BH.xls][Spt-BH_xls]_Sp_137"/>
      <sheetName val="[Spt-BH.xls][Spt-BH_xls]B___456"/>
      <sheetName val="[Spt-BH.xls][Spt-BH_xls]B___457"/>
      <sheetName val="[Spt-BH.xls][Spt-BH_xls]B___458"/>
      <sheetName val="[Spt-BH.xls][Spt-BH_xls]B___459"/>
      <sheetName val="[Spt-BH.xls][Spt-BH_xls]_Sp_138"/>
      <sheetName val="[Spt-BH.xls][Spt-BH_xls]B___471"/>
      <sheetName val="[Spt-BH.xls][Spt-BH_xls]B___472"/>
      <sheetName val="[Spt-BH.xls][Spt-BH_xls]B___473"/>
      <sheetName val="[Spt-BH.xls][Spt-BH_xls]B___474"/>
      <sheetName val="[Spt-BH.xls][Spt-BH_xls]_Sp_142"/>
      <sheetName val="[Spt-BH.xls][Spt-BH_xls]B___475"/>
      <sheetName val="[Spt-BH.xls][Spt-BH_xls]B___476"/>
      <sheetName val="[Spt-BH.xls][Spt-BH_xls]B___477"/>
      <sheetName val="[Spt-BH.xls][Spt-BH_xls]_Sp_143"/>
      <sheetName val="[Spt-BH.xls][Spt-BH_xls]B___478"/>
      <sheetName val="[Spt-BH.xls][Spt-BH_xls]B___479"/>
      <sheetName val="[Spt-BH.xls][Spt-BH_xls]B___480"/>
      <sheetName val="[Spt-BH.xls][Spt-BH_xls]B___481"/>
      <sheetName val="[Spt-BH.xls][Spt-BH_xls]_Sp_144"/>
      <sheetName val="[Spt-BH.xls][Spt-BH_xls]B___460"/>
      <sheetName val="[Spt-BH.xls][Spt-BH_xls]B___461"/>
      <sheetName val="[Spt-BH.xls][Spt-BH_xls]B___462"/>
      <sheetName val="[Spt-BH.xls][Spt-BH_xls]B___463"/>
      <sheetName val="[Spt-BH.xls][Spt-BH_xls]_Sp_139"/>
      <sheetName val="[Spt-BH.xls][Spt-BH_xls]B___464"/>
      <sheetName val="[Spt-BH.xls][Spt-BH_xls]B___465"/>
      <sheetName val="[Spt-BH.xls][Spt-BH_xls]B___466"/>
      <sheetName val="[Spt-BH.xls][Spt-BH_xls]_Sp_140"/>
      <sheetName val="[Spt-BH.xls][Spt-BH_xls]B___467"/>
      <sheetName val="[Spt-BH.xls][Spt-BH_xls]B___468"/>
      <sheetName val="[Spt-BH.xls][Spt-BH_xls]B___469"/>
      <sheetName val="[Spt-BH.xls][Spt-BH_xls]B___470"/>
      <sheetName val="[Spt-BH.xls][Spt-BH_xls]_Sp_141"/>
      <sheetName val="[Spt-BH.xls][Spt-BH_xls]B___482"/>
      <sheetName val="[Spt-BH.xls][Spt-BH_xls]B___483"/>
      <sheetName val="[Spt-BH.xls][Spt-BH_xls]B___484"/>
      <sheetName val="[Spt-BH.xls][Spt-BH_xls]B___485"/>
      <sheetName val="[Spt-BH.xls][Spt-BH_xls]_Sp_145"/>
      <sheetName val="[Spt-BH.xls][Spt-BH_xls]B___486"/>
      <sheetName val="[Spt-BH.xls][Spt-BH_xls]B___487"/>
      <sheetName val="[Spt-BH.xls][Spt-BH_xls]B___488"/>
      <sheetName val="[Spt-BH.xls][Spt-BH_xls]_Sp_146"/>
      <sheetName val="[Spt-BH.xls][Spt-BH_xls]B___489"/>
      <sheetName val="[Spt-BH.xls][Spt-BH_xls]B___490"/>
      <sheetName val="[Spt-BH.xls][Spt-BH_xls]B___491"/>
      <sheetName val="[Spt-BH.xls][Spt-BH_xls]B___492"/>
      <sheetName val="[Spt-BH.xls][Spt-BH_xls]_Sp_147"/>
      <sheetName val="[Spt-BH.xls][Spt-BH.xls]B__1221"/>
      <sheetName val="[Spt-BH.xls][Spt-BH.xls]B__1222"/>
      <sheetName val="[Spt-BH.xls][Spt-BH.xls]_Sp_364"/>
      <sheetName val="[Spt-BH.xls][Spt-BH.xls]B__1223"/>
      <sheetName val="[Spt-BH.xls][Spt-BH.xls]B__1224"/>
      <sheetName val="[Spt-BH.xls][Spt-BH.xls]B__1225"/>
      <sheetName val="[Spt-BH.xls][Spt-BH.xls]_Sp_362"/>
      <sheetName val="[Spt-BH.xls][Spt-BH.xls]B__1226"/>
      <sheetName val="[Spt-BH.xls][Spt-BH.xls]_Sp_363"/>
      <sheetName val="[Spt-BH.xls][Spt-BH.xls]B__1228"/>
      <sheetName val="[Spt-BH.xls][Spt-BH.xls]B__1229"/>
      <sheetName val="[Spt-BH.xls][Spt-BH.xls]_Sp_366"/>
      <sheetName val="[Spt-BH.xls][Spt-BH.xls]B__1230"/>
      <sheetName val="[Spt-BH.xls][Spt-BH.xls]B__1231"/>
      <sheetName val="[Spt-BH.xls][Spt-BH.xls]B__1232"/>
      <sheetName val="[Spt-BH.xls]B____x005f_x0004_______82"/>
      <sheetName val="[Spt-BH.xls]B___x005f_x0000__x005f_x0004_82"/>
      <sheetName val="[Spt-BH.xls][Spt-BH.xls]B__1233"/>
      <sheetName val="[Spt-BH.xls][Spt-BH.xls]B__1227"/>
      <sheetName val="[Spt-BH.xls][Spt-BH.xls]_Sp_365"/>
      <sheetName val="[Spt-BH.xls][Spt-BH_xls]B___625"/>
      <sheetName val="[Spt-BH.xls][Spt-BH_xls]B___626"/>
      <sheetName val="[Spt-BH.xls][Spt-BH_xls]B___627"/>
      <sheetName val="[Spt-BH.xls][Spt-BH_xls]B___628"/>
      <sheetName val="[Spt-BH.xls][Spt-BH_xls]_Sp_184"/>
      <sheetName val="[Spt-BH.xls][Spt-BH_xls]B___629"/>
      <sheetName val="[Spt-BH.xls][Spt-BH_xls]B___630"/>
      <sheetName val="[Spt-BH.xls][Spt-BH_xls]B___631"/>
      <sheetName val="[Spt-BH.xls][Spt-BH_xls]_Sp_185"/>
      <sheetName val="[Spt-BH.xls][Spt-BH_xls]B___632"/>
      <sheetName val="[Spt-BH.xls][Spt-BH_xls]B___633"/>
      <sheetName val="[Spt-BH.xls][Spt-BH_xls]B___634"/>
      <sheetName val="[Spt-BH.xls][Spt-BH_xls]B___635"/>
      <sheetName val="[Spt-BH.xls][Spt-BH_xls]_Sp_186"/>
      <sheetName val="[Spt-BH.xls][Spt-BH_xls]B___493"/>
      <sheetName val="[Spt-BH.xls][Spt-BH_xls]B___494"/>
      <sheetName val="[Spt-BH.xls][Spt-BH_xls]B___495"/>
      <sheetName val="[Spt-BH.xls][Spt-BH_xls]B___496"/>
      <sheetName val="[Spt-BH.xls][Spt-BH_xls]_Sp_148"/>
      <sheetName val="[Spt-BH.xls][Spt-BH_xls]B___497"/>
      <sheetName val="[Spt-BH.xls][Spt-BH_xls]B___498"/>
      <sheetName val="[Spt-BH.xls][Spt-BH_xls]B___499"/>
      <sheetName val="[Spt-BH.xls][Spt-BH_xls]_Sp_149"/>
      <sheetName val="[Spt-BH.xls][Spt-BH_xls]B___500"/>
      <sheetName val="[Spt-BH.xls][Spt-BH_xls]B___501"/>
      <sheetName val="[Spt-BH.xls][Spt-BH_xls]B___502"/>
      <sheetName val="[Spt-BH.xls][Spt-BH_xls]B___503"/>
      <sheetName val="[Spt-BH.xls][Spt-BH_xls]_Sp_150"/>
      <sheetName val="[Spt-BH.xls][Spt-BH_xls]B___504"/>
      <sheetName val="[Spt-BH.xls][Spt-BH_xls]B___505"/>
      <sheetName val="[Spt-BH.xls][Spt-BH_xls]B___506"/>
      <sheetName val="[Spt-BH.xls][Spt-BH_xls]B___507"/>
      <sheetName val="[Spt-BH.xls][Spt-BH_xls]_Sp_151"/>
      <sheetName val="[Spt-BH.xls][Spt-BH_xls]B___508"/>
      <sheetName val="[Spt-BH.xls][Spt-BH_xls]B___509"/>
      <sheetName val="[Spt-BH.xls][Spt-BH_xls]B___510"/>
      <sheetName val="[Spt-BH.xls][Spt-BH_xls]_Sp_152"/>
      <sheetName val="[Spt-BH.xls][Spt-BH_xls]B___511"/>
      <sheetName val="[Spt-BH.xls][Spt-BH_xls]B___512"/>
      <sheetName val="[Spt-BH.xls][Spt-BH_xls]B___513"/>
      <sheetName val="[Spt-BH.xls][Spt-BH_xls]B___514"/>
      <sheetName val="[Spt-BH.xls][Spt-BH_xls]_Sp_153"/>
      <sheetName val="[Spt-BH.xls]B____x005f_x0004_______80"/>
      <sheetName val="[Spt-BH.xls]B___x005f_x0000__x005f_x0004_80"/>
      <sheetName val="[Spt-BH.xls][Spt-BH_xls]B___603"/>
      <sheetName val="[Spt-BH.xls][Spt-BH_xls]B___604"/>
      <sheetName val="[Spt-BH.xls][Spt-BH_xls]B___605"/>
      <sheetName val="[Spt-BH.xls][Spt-BH_xls]B___606"/>
      <sheetName val="[Spt-BH.xls][Spt-BH_xls]_Sp_178"/>
      <sheetName val="[Spt-BH.xls][Spt-BH_xls]B___607"/>
      <sheetName val="[Spt-BH.xls][Spt-BH_xls]B___608"/>
      <sheetName val="[Spt-BH.xls][Spt-BH_xls]B___609"/>
      <sheetName val="[Spt-BH.xls][Spt-BH_xls]_Sp_179"/>
      <sheetName val="[Spt-BH.xls][Spt-BH_xls]B___610"/>
      <sheetName val="[Spt-BH.xls][Spt-BH_xls]B___611"/>
      <sheetName val="[Spt-BH.xls][Spt-BH_xls]B___612"/>
      <sheetName val="[Spt-BH.xls][Spt-BH_xls]B___613"/>
      <sheetName val="[Spt-BH.xls][Spt-BH_xls]_Sp_180"/>
      <sheetName val="[Spt-BH.xls]B____x005f_x0004_______75"/>
      <sheetName val="[Spt-BH.xls]B___x005f_x0000__x005f_x0004_75"/>
      <sheetName val="[Spt-BH.xls][Spt-BH_xls]B___548"/>
      <sheetName val="[Spt-BH.xls][Spt-BH_xls]B___549"/>
      <sheetName val="[Spt-BH.xls][Spt-BH_xls]B___550"/>
      <sheetName val="[Spt-BH.xls][Spt-BH_xls]B___551"/>
      <sheetName val="[Spt-BH.xls][Spt-BH_xls]_Sp_163"/>
      <sheetName val="[Spt-BH.xls][Spt-BH_xls]B___552"/>
      <sheetName val="[Spt-BH.xls][Spt-BH_xls]B___553"/>
      <sheetName val="[Spt-BH.xls][Spt-BH_xls]B___554"/>
      <sheetName val="[Spt-BH.xls][Spt-BH_xls]_Sp_164"/>
      <sheetName val="[Spt-BH.xls][Spt-BH_xls]B___555"/>
      <sheetName val="[Spt-BH.xls][Spt-BH_xls]B___556"/>
      <sheetName val="[Spt-BH.xls][Spt-BH_xls]B___557"/>
      <sheetName val="[Spt-BH.xls][Spt-BH_xls]B___558"/>
      <sheetName val="[Spt-BH.xls][Spt-BH_xls]_Sp_165"/>
      <sheetName val="[Spt-BH.xls][Spt-BH_xls]B___537"/>
      <sheetName val="[Spt-BH.xls][Spt-BH_xls]B___538"/>
      <sheetName val="[Spt-BH.xls][Spt-BH_xls]B___539"/>
      <sheetName val="[Spt-BH.xls][Spt-BH_xls]B___540"/>
      <sheetName val="[Spt-BH.xls][Spt-BH_xls]_Sp_160"/>
      <sheetName val="[Spt-BH.xls][Spt-BH_xls]B___541"/>
      <sheetName val="[Spt-BH.xls][Spt-BH_xls]B___542"/>
      <sheetName val="[Spt-BH.xls][Spt-BH_xls]B___543"/>
      <sheetName val="[Spt-BH.xls][Spt-BH_xls]_Sp_161"/>
      <sheetName val="[Spt-BH.xls][Spt-BH_xls]B___544"/>
      <sheetName val="[Spt-BH.xls][Spt-BH_xls]B___545"/>
      <sheetName val="[Spt-BH.xls][Spt-BH_xls]B___546"/>
      <sheetName val="[Spt-BH.xls][Spt-BH_xls]B___547"/>
      <sheetName val="[Spt-BH.xls][Spt-BH_xls]_Sp_162"/>
      <sheetName val="[Spt-BH.xls][Spt-BH_xls]B___515"/>
      <sheetName val="[Spt-BH.xls][Spt-BH_xls]B___516"/>
      <sheetName val="[Spt-BH.xls][Spt-BH_xls]B___517"/>
      <sheetName val="[Spt-BH.xls][Spt-BH_xls]B___518"/>
      <sheetName val="[Spt-BH.xls][Spt-BH_xls]_Sp_154"/>
      <sheetName val="[Spt-BH.xls][Spt-BH_xls]B___519"/>
      <sheetName val="[Spt-BH.xls][Spt-BH_xls]B___520"/>
      <sheetName val="[Spt-BH.xls][Spt-BH_xls]B___521"/>
      <sheetName val="[Spt-BH.xls][Spt-BH_xls]_Sp_155"/>
      <sheetName val="[Spt-BH.xls][Spt-BH_xls]B___522"/>
      <sheetName val="[Spt-BH.xls][Spt-BH_xls]B___523"/>
      <sheetName val="[Spt-BH.xls][Spt-BH_xls]B___524"/>
      <sheetName val="[Spt-BH.xls][Spt-BH_xls]B___525"/>
      <sheetName val="[Spt-BH.xls][Spt-BH_xls]_Sp_156"/>
      <sheetName val="[Spt-BH.xls][Spt-BH_xls]B___526"/>
      <sheetName val="[Spt-BH.xls][Spt-BH_xls]B___527"/>
      <sheetName val="[Spt-BH.xls][Spt-BH_xls]B___528"/>
      <sheetName val="[Spt-BH.xls][Spt-BH_xls]B___529"/>
      <sheetName val="[Spt-BH.xls][Spt-BH_xls]_Sp_157"/>
      <sheetName val="[Spt-BH.xls][Spt-BH_xls]B___530"/>
      <sheetName val="[Spt-BH.xls][Spt-BH_xls]B___531"/>
      <sheetName val="[Spt-BH.xls][Spt-BH_xls]B___532"/>
      <sheetName val="[Spt-BH.xls][Spt-BH_xls]_Sp_158"/>
      <sheetName val="[Spt-BH.xls][Spt-BH_xls]B___533"/>
      <sheetName val="[Spt-BH.xls][Spt-BH_xls]B___534"/>
      <sheetName val="[Spt-BH.xls][Spt-BH_xls]B___535"/>
      <sheetName val="[Spt-BH.xls][Spt-BH_xls]B___536"/>
      <sheetName val="[Spt-BH.xls][Spt-BH_xls]_Sp_159"/>
      <sheetName val="[Spt-BH.xls]B____x005f_x0004_______76"/>
      <sheetName val="[Spt-BH.xls]B___x005f_x0000__x005f_x0004_76"/>
      <sheetName val="[Spt-BH.xls][Spt-BH_xls]B___559"/>
      <sheetName val="[Spt-BH.xls][Spt-BH_xls]B___560"/>
      <sheetName val="[Spt-BH.xls][Spt-BH_xls]B___561"/>
      <sheetName val="[Spt-BH.xls][Spt-BH_xls]B___562"/>
      <sheetName val="[Spt-BH.xls][Spt-BH_xls]_Sp_166"/>
      <sheetName val="[Spt-BH.xls][Spt-BH_xls]B___563"/>
      <sheetName val="[Spt-BH.xls][Spt-BH_xls]B___564"/>
      <sheetName val="[Spt-BH.xls][Spt-BH_xls]B___565"/>
      <sheetName val="[Spt-BH.xls][Spt-BH_xls]_Sp_167"/>
      <sheetName val="[Spt-BH.xls][Spt-BH_xls]B___566"/>
      <sheetName val="[Spt-BH.xls][Spt-BH_xls]B___567"/>
      <sheetName val="[Spt-BH.xls][Spt-BH_xls]B___568"/>
      <sheetName val="[Spt-BH.xls][Spt-BH_xls]B___569"/>
      <sheetName val="[Spt-BH.xls][Spt-BH_xls]_Sp_168"/>
      <sheetName val="[Spt-BH.xls]B____x005f_x0004_______77"/>
      <sheetName val="[Spt-BH.xls]B___x005f_x0000__x005f_x0004_77"/>
      <sheetName val="[Spt-BH.xls][Spt-BH_xls]B___570"/>
      <sheetName val="[Spt-BH.xls][Spt-BH_xls]B___571"/>
      <sheetName val="[Spt-BH.xls][Spt-BH_xls]B___572"/>
      <sheetName val="[Spt-BH.xls][Spt-BH_xls]B___573"/>
      <sheetName val="[Spt-BH.xls][Spt-BH_xls]_Sp_169"/>
      <sheetName val="[Spt-BH.xls][Spt-BH_xls]B___574"/>
      <sheetName val="[Spt-BH.xls][Spt-BH_xls]B___575"/>
      <sheetName val="[Spt-BH.xls][Spt-BH_xls]B___576"/>
      <sheetName val="[Spt-BH.xls][Spt-BH_xls]_Sp_170"/>
      <sheetName val="[Spt-BH.xls][Spt-BH_xls]B___577"/>
      <sheetName val="[Spt-BH.xls][Spt-BH_xls]B___578"/>
      <sheetName val="[Spt-BH.xls][Spt-BH_xls]B___579"/>
      <sheetName val="[Spt-BH.xls][Spt-BH_xls]B___580"/>
      <sheetName val="[Spt-BH.xls][Spt-BH_xls]_Sp_171"/>
      <sheetName val="[Spt-BH.xls]B____x005f_x0004_______78"/>
      <sheetName val="[Spt-BH.xls]B___x005f_x0000__x005f_x0004_78"/>
      <sheetName val="[Spt-BH.xls][Spt-BH_xls]B___581"/>
      <sheetName val="[Spt-BH.xls][Spt-BH_xls]B___582"/>
      <sheetName val="[Spt-BH.xls][Spt-BH_xls]B___583"/>
      <sheetName val="[Spt-BH.xls][Spt-BH_xls]B___584"/>
      <sheetName val="[Spt-BH.xls][Spt-BH_xls]_Sp_172"/>
      <sheetName val="[Spt-BH.xls][Spt-BH_xls]B___585"/>
      <sheetName val="[Spt-BH.xls][Spt-BH_xls]B___586"/>
      <sheetName val="[Spt-BH.xls][Spt-BH_xls]B___587"/>
      <sheetName val="[Spt-BH.xls][Spt-BH_xls]_Sp_173"/>
      <sheetName val="[Spt-BH.xls][Spt-BH_xls]B___588"/>
      <sheetName val="[Spt-BH.xls][Spt-BH_xls]B___589"/>
      <sheetName val="[Spt-BH.xls][Spt-BH_xls]B___590"/>
      <sheetName val="[Spt-BH.xls][Spt-BH_xls]B___591"/>
      <sheetName val="[Spt-BH.xls][Spt-BH_xls]_Sp_174"/>
      <sheetName val="[Spt-BH.xls]B____x005f_x0004_______79"/>
      <sheetName val="[Spt-BH.xls]B___x005f_x0000__x005f_x0004_79"/>
      <sheetName val="[Spt-BH.xls][Spt-BH_xls]B___592"/>
      <sheetName val="[Spt-BH.xls][Spt-BH_xls]B___593"/>
      <sheetName val="[Spt-BH.xls][Spt-BH_xls]B___594"/>
      <sheetName val="[Spt-BH.xls][Spt-BH_xls]B___595"/>
      <sheetName val="[Spt-BH.xls][Spt-BH_xls]_Sp_175"/>
      <sheetName val="[Spt-BH.xls][Spt-BH_xls]B___596"/>
      <sheetName val="[Spt-BH.xls][Spt-BH_xls]B___597"/>
      <sheetName val="[Spt-BH.xls][Spt-BH_xls]B___598"/>
      <sheetName val="[Spt-BH.xls][Spt-BH_xls]_Sp_176"/>
      <sheetName val="[Spt-BH.xls][Spt-BH_xls]B___599"/>
      <sheetName val="[Spt-BH.xls][Spt-BH_xls]B___600"/>
      <sheetName val="[Spt-BH.xls][Spt-BH_xls]B___601"/>
      <sheetName val="[Spt-BH.xls][Spt-BH_xls]B___602"/>
      <sheetName val="[Spt-BH.xls][Spt-BH_xls]_Sp_177"/>
      <sheetName val="[Spt-BH.xls][Spt-BH.xls]B__1208"/>
      <sheetName val="[Spt-BH.xls][Spt-BH.xls]B__1209"/>
      <sheetName val="[Spt-BH.xls][Spt-BH.xls]_Sp_360"/>
      <sheetName val="[Spt-BH.xls][Spt-BH.xls]B__1210"/>
      <sheetName val="[Spt-BH.xls][Spt-BH.xls]B__1211"/>
      <sheetName val="[Spt-BH.xls][Spt-BH.xls]B__1212"/>
      <sheetName val="[Spt-BH.xls][Spt-BH.xls]_Sp_358"/>
      <sheetName val="[Spt-BH.xls][Spt-BH.xls]B__1213"/>
      <sheetName val="[Spt-BH.xls][Spt-BH.xls]_Sp_359"/>
      <sheetName val="[Spt-BH.xls][Spt-BH.xls]B__1215"/>
      <sheetName val="[Spt-BH.xls][Spt-BH.xls]B__1216"/>
      <sheetName val="[Spt-BH.xls][Spt-BH.xls]B__1217"/>
      <sheetName val="[Spt-BH.xls][Spt-BH.xls]B__1218"/>
      <sheetName val="[Spt-BH.xls][Spt-BH.xls]B__1219"/>
      <sheetName val="[Spt-BH.xls]B____x005f_x0004_______81"/>
      <sheetName val="[Spt-BH.xls]B___x005f_x0000__x005f_x0004_81"/>
      <sheetName val="[Spt-BH.xls][Spt-BH.xls]B__1220"/>
      <sheetName val="[Spt-BH.xls][Spt-BH.xls]B__1214"/>
      <sheetName val="[Spt-BH.xls][Spt-BH.xls]_Sp_361"/>
      <sheetName val="[Spt-BH.xls][Spt-BH_xls]B___614"/>
      <sheetName val="[Spt-BH.xls][Spt-BH_xls]B___615"/>
      <sheetName val="[Spt-BH.xls][Spt-BH_xls]B___616"/>
      <sheetName val="[Spt-BH.xls][Spt-BH_xls]B___617"/>
      <sheetName val="[Spt-BH.xls][Spt-BH_xls]_Sp_181"/>
      <sheetName val="[Spt-BH.xls][Spt-BH_xls]B___618"/>
      <sheetName val="[Spt-BH.xls][Spt-BH_xls]B___619"/>
      <sheetName val="[Spt-BH.xls][Spt-BH_xls]B___620"/>
      <sheetName val="[Spt-BH.xls][Spt-BH_xls]_Sp_182"/>
      <sheetName val="[Spt-BH.xls][Spt-BH_xls]B___621"/>
      <sheetName val="[Spt-BH.xls][Spt-BH_xls]B___622"/>
      <sheetName val="[Spt-BH.xls][Spt-BH_xls]B___623"/>
      <sheetName val="[Spt-BH.xls][Spt-BH_xls]B___624"/>
      <sheetName val="[Spt-BH.xls][Spt-BH_xls]_Sp_183"/>
      <sheetName val="[Spt-BH.xls][Spt-BH.xls]_Sp_367"/>
      <sheetName val="[Spt-BH.xls][Spt-BH.xls]_Sp_368"/>
      <sheetName val="[Spt-BH.xls][Spt-BH.xls]_Sp_369"/>
      <sheetName val="[Spt-BH.xls][Spt-BH.xls]B__1234"/>
      <sheetName val="[Spt-BH.xls][Spt-BH.xls]B__1235"/>
      <sheetName val="[Spt-BH.xls][Spt-BH.xls]_Sp_371"/>
      <sheetName val="[Spt-BH.xls][Spt-BH.xls]B__1236"/>
      <sheetName val="[Spt-BH.xls][Spt-BH.xls]B__1237"/>
      <sheetName val="[Spt-BH.xls][Spt-BH.xls]B__1238"/>
      <sheetName val="[Spt-BH.xls][Spt-BH.xls]B__1239"/>
      <sheetName val="[Spt-BH.xls][Spt-BH.xls]_Sp_370"/>
      <sheetName val="[Spt-BH.xls][Spt-BH.xls]B__1241"/>
      <sheetName val="[Spt-BH.xls][Spt-BH.xls]B__1242"/>
      <sheetName val="[Spt-BH.xls][Spt-BH.xls]_Sp_373"/>
      <sheetName val="[Spt-BH.xls][Spt-BH.xls]B__1243"/>
      <sheetName val="[Spt-BH.xls][Spt-BH.xls]B__1244"/>
      <sheetName val="[Spt-BH.xls][Spt-BH.xls]B__1245"/>
      <sheetName val="[Spt-BH.xls]B____x005f_x0004_______83"/>
      <sheetName val="[Spt-BH.xls]B___x005f_x0000__x005f_x0004_83"/>
      <sheetName val="[Spt-BH.xls][Spt-BH.xls]B__1246"/>
      <sheetName val="[Spt-BH.xls][Spt-BH.xls]B__1240"/>
      <sheetName val="[Spt-BH.xls][Spt-BH.xls]_Sp_372"/>
      <sheetName val="[Spt-BH.xls][Spt-BH_xls]B___636"/>
      <sheetName val="[Spt-BH.xls][Spt-BH_xls]B___637"/>
      <sheetName val="[Spt-BH.xls][Spt-BH_xls]B___638"/>
      <sheetName val="[Spt-BH.xls][Spt-BH_xls]B___639"/>
      <sheetName val="[Spt-BH.xls][Spt-BH_xls]_Sp_187"/>
      <sheetName val="[Spt-BH.xls][Spt-BH_xls]B___640"/>
      <sheetName val="[Spt-BH.xls][Spt-BH_xls]B___641"/>
      <sheetName val="[Spt-BH.xls][Spt-BH_xls]B___642"/>
      <sheetName val="[Spt-BH.xls][Spt-BH_xls]_Sp_188"/>
      <sheetName val="[Spt-BH.xls][Spt-BH_xls]B___643"/>
      <sheetName val="[Spt-BH.xls][Spt-BH_xls]B___644"/>
      <sheetName val="[Spt-BH.xls][Spt-BH_xls]B___645"/>
      <sheetName val="[Spt-BH.xls][Spt-BH_xls]B___646"/>
      <sheetName val="[Spt-BH.xls][Spt-BH_xls]_Sp_189"/>
      <sheetName val="[Spt-BH.xls][Spt-BH.xls]_Sp_374"/>
      <sheetName val="[Spt-BH.xls][Spt-BH.xls]B__1247"/>
      <sheetName val="[Spt-BH.xls][Spt-BH.xls]B__1248"/>
      <sheetName val="[Spt-BH.xls][Spt-BH.xls]_Sp_376"/>
      <sheetName val="[Spt-BH.xls][Spt-BH.xls]B__1249"/>
      <sheetName val="[Spt-BH.xls][Spt-BH.xls]B__1250"/>
      <sheetName val="[Spt-BH.xls][Spt-BH.xls]B__1251"/>
      <sheetName val="[Spt-BH.xls][Spt-BH.xls]B__1252"/>
      <sheetName val="[Spt-BH.xls][Spt-BH.xls]_Sp_375"/>
      <sheetName val="[Spt-BH.xls][Spt-BH.xls]B__1254"/>
      <sheetName val="[Spt-BH.xls][Spt-BH.xls]B__1255"/>
      <sheetName val="[Spt-BH.xls][Spt-BH.xls]_Sp_378"/>
      <sheetName val="[Spt-BH.xls][Spt-BH.xls]B__1256"/>
      <sheetName val="[Spt-BH.xls][Spt-BH.xls]B__1257"/>
      <sheetName val="[Spt-BH.xls][Spt-BH.xls]B__1258"/>
      <sheetName val="[Spt-BH.xls]B____x005f_x0004_______84"/>
      <sheetName val="[Spt-BH.xls]B___x005f_x0000__x005f_x0004_84"/>
      <sheetName val="[Spt-BH.xls][Spt-BH.xls]B__1259"/>
      <sheetName val="[Spt-BH.xls][Spt-BH.xls]B__1253"/>
      <sheetName val="[Spt-BH.xls][Spt-BH.xls]_Sp_377"/>
      <sheetName val="[Spt-BH.xls][Spt-BH_xls]B___647"/>
      <sheetName val="[Spt-BH.xls][Spt-BH_xls]B___648"/>
      <sheetName val="[Spt-BH.xls][Spt-BH_xls]B___649"/>
      <sheetName val="[Spt-BH.xls][Spt-BH_xls]B___650"/>
      <sheetName val="[Spt-BH.xls][Spt-BH_xls]_Sp_190"/>
      <sheetName val="[Spt-BH.xls][Spt-BH_xls]B___651"/>
      <sheetName val="[Spt-BH.xls][Spt-BH_xls]B___652"/>
      <sheetName val="[Spt-BH.xls][Spt-BH_xls]B___653"/>
      <sheetName val="[Spt-BH.xls][Spt-BH_xls]_Sp_191"/>
      <sheetName val="[Spt-BH.xls][Spt-BH_xls]B___654"/>
      <sheetName val="[Spt-BH.xls][Spt-BH_xls]B___655"/>
      <sheetName val="[Spt-BH.xls][Spt-BH_xls]B___656"/>
      <sheetName val="[Spt-BH.xls][Spt-BH_xls]B___657"/>
      <sheetName val="[Spt-BH.xls][Spt-BH_xls]_Sp_192"/>
      <sheetName val="[Spt-BH.xls][Spt-BH.xls]B__1261"/>
      <sheetName val="[Spt-BH.xls][Spt-BH.xls]B__1262"/>
      <sheetName val="[Spt-BH.xls][Spt-BH.xls]_Sp_380"/>
      <sheetName val="[Spt-BH.xls][Spt-BH.xls]B__1263"/>
      <sheetName val="[Spt-BH.xls][Spt-BH.xls]B__1264"/>
      <sheetName val="[Spt-BH.xls][Spt-BH.xls]B__1265"/>
      <sheetName val="[Spt-BH.xls]B____x005f_x0004_______85"/>
      <sheetName val="[Spt-BH.xls]B___x005f_x0000__x005f_x0004_85"/>
      <sheetName val="[Spt-BH.xls][Spt-BH.xls]B__1266"/>
      <sheetName val="[Spt-BH.xls][Spt-BH.xls]B__1260"/>
      <sheetName val="[Spt-BH.xls][Spt-BH.xls]_Sp_379"/>
      <sheetName val="[Spt-BH.xls][Spt-BH_xls]B___658"/>
      <sheetName val="[Spt-BH.xls][Spt-BH_xls]B___659"/>
      <sheetName val="[Spt-BH.xls][Spt-BH_xls]B___660"/>
      <sheetName val="[Spt-BH.xls][Spt-BH_xls]B___661"/>
      <sheetName val="[Spt-BH.xls][Spt-BH_xls]_Sp_193"/>
      <sheetName val="[Spt-BH.xls][Spt-BH_xls]B___662"/>
      <sheetName val="[Spt-BH.xls][Spt-BH_xls]B___663"/>
      <sheetName val="[Spt-BH.xls][Spt-BH_xls]B___664"/>
      <sheetName val="[Spt-BH.xls][Spt-BH_xls]_Sp_194"/>
      <sheetName val="[Spt-BH.xls][Spt-BH_xls]B___665"/>
      <sheetName val="[Spt-BH.xls][Spt-BH_xls]B___666"/>
      <sheetName val="[Spt-BH.xls][Spt-BH_xls]B___667"/>
      <sheetName val="[Spt-BH.xls][Spt-BH_xls]B___668"/>
      <sheetName val="[Spt-BH.xls][Spt-BH_xls]_Sp_195"/>
      <sheetName val="[Spt-BH.xls][Spt-BH.xls]_Sp_421"/>
      <sheetName val="[Spt-BH.xls][Spt-BH.xls]B__1405"/>
      <sheetName val="[Spt-BH.xls][Spt-BH.xls]B__1406"/>
      <sheetName val="[Spt-BH.xls][Spt-BH.xls]_Sp_423"/>
      <sheetName val="[Spt-BH.xls][Spt-BH.xls]B__1407"/>
      <sheetName val="[Spt-BH.xls][Spt-BH.xls]B__1408"/>
      <sheetName val="[Spt-BH.xls][Spt-BH.xls]B__1409"/>
      <sheetName val="[Spt-BH.xls][Spt-BH.xls]B__1410"/>
      <sheetName val="[Spt-BH.xls][Spt-BH.xls]_Sp_422"/>
      <sheetName val="[Spt-BH.xls][Spt-BH.xls]B__1355"/>
      <sheetName val="[Spt-BH.xls][Spt-BH.xls]B__1356"/>
      <sheetName val="[Spt-BH.xls][Spt-BH.xls]_Sp_401"/>
      <sheetName val="[Spt-BH.xls][Spt-BH.xls]B__1357"/>
      <sheetName val="[Spt-BH.xls][Spt-BH.xls]B__1358"/>
      <sheetName val="[Spt-BH.xls][Spt-BH.xls]B__1359"/>
      <sheetName val="[Spt-BH.xls][Spt-BH.xls]B__1349"/>
      <sheetName val="[Spt-BH.xls][Spt-BH.xls]B__1350"/>
      <sheetName val="[Spt-BH.xls][Spt-BH.xls]_Sp_399"/>
      <sheetName val="[Spt-BH.xls][Spt-BH.xls]B__1351"/>
      <sheetName val="[Spt-BH.xls][Spt-BH.xls]B__1352"/>
      <sheetName val="[Spt-BH.xls][Spt-BH.xls]B__1353"/>
      <sheetName val="[Spt-BH.xls][Spt-BH.xls]_Sp_397"/>
      <sheetName val="[Spt-BH.xls][Spt-BH.xls]B__1360"/>
      <sheetName val="[Spt-BH.xls][Spt-BH.xls]B__1354"/>
      <sheetName val="[Spt-BH.xls]B____x005f_x0004_______92"/>
      <sheetName val="[Spt-BH.xls]B___x005f_x0000__x005f_x0004_92"/>
      <sheetName val="[Spt-BH.xls][Spt-BH.xls]_Sp_393"/>
      <sheetName val="[Spt-BH.xls][Spt-BH.xls]B__1324"/>
      <sheetName val="[Spt-BH.xls][Spt-BH.xls]B__1325"/>
      <sheetName val="[Spt-BH.xls][Spt-BH.xls]_Sp_390"/>
      <sheetName val="[Spt-BH.xls][Spt-BH.xls]B__1326"/>
      <sheetName val="[Spt-BH.xls][Spt-BH.xls]B__1327"/>
      <sheetName val="[Spt-BH.xls][Spt-BH.xls]B__1328"/>
      <sheetName val="[Spt-BH.xls][Spt-BH.xls]_Sp_388"/>
      <sheetName val="[Spt-BH.xls][Spt-BH.xls]B__1267"/>
      <sheetName val="[Spt-BH.xls][Spt-BH.xls]B__1268"/>
      <sheetName val="[Spt-BH.xls][Spt-BH.xls]B__1331"/>
      <sheetName val="[Spt-BH.xls][Spt-BH.xls]B__1332"/>
      <sheetName val="[Spt-BH.xls][Spt-BH.xls]B__1333"/>
      <sheetName val="[Spt-BH.xls][Spt-BH.xls]B__1334"/>
      <sheetName val="[Spt-BH.xls][Spt-BH.xls]B__1335"/>
      <sheetName val="[Spt-BH.xls][Spt-BH.xls]B__1336"/>
      <sheetName val="[Spt-BH.xls][Spt-BH.xls]B__1329"/>
      <sheetName val="[Spt-BH.xls]B____x005f_x0004_______89"/>
      <sheetName val="[Spt-BH.xls]B___x005f_x0000__x005f_x0004_89"/>
      <sheetName val="[Spt-BH.xls][Spt-BH.xls]_Sp_389"/>
      <sheetName val="[Spt-BH.xls][Spt-BH.xls]B__1330"/>
      <sheetName val="[Spt-BH.xls][Spt-BH.xls]_Sp_391"/>
      <sheetName val="[Spt-BH.xls][Spt-BH_xls]B___680"/>
      <sheetName val="[Spt-BH.xls][Spt-BH_xls]B___681"/>
      <sheetName val="[Spt-BH.xls][Spt-BH_xls]B___682"/>
      <sheetName val="[Spt-BH.xls][Spt-BH_xls]B___683"/>
      <sheetName val="[Spt-BH.xls][Spt-BH_xls]_Sp_199"/>
      <sheetName val="[Spt-BH.xls][Spt-BH_xls]B___684"/>
      <sheetName val="[Spt-BH.xls][Spt-BH_xls]B___685"/>
      <sheetName val="[Spt-BH.xls][Spt-BH_xls]B___686"/>
      <sheetName val="[Spt-BH.xls][Spt-BH_xls]_Sp_200"/>
      <sheetName val="[Spt-BH.xls][Spt-BH_xls]B___687"/>
      <sheetName val="[Spt-BH.xls][Spt-BH_xls]B___688"/>
      <sheetName val="[Spt-BH.xls][Spt-BH_xls]B___689"/>
      <sheetName val="[Spt-BH.xls][Spt-BH_xls]B___690"/>
      <sheetName val="[Spt-BH.xls][Spt-BH_xls]_Sp_201"/>
      <sheetName val="[Spt-BH.xls][Spt-BH.xls]B__1269"/>
      <sheetName val="[Spt-BH.xls][Spt-BH.xls]B__1270"/>
      <sheetName val="[Spt-BH.xls][Spt-BH.xls]B__1271"/>
      <sheetName val="[Spt-BH.xls][Spt-BH.xls]B__1272"/>
      <sheetName val="[Spt-BH.xls][Spt-BH.xls]B__1273"/>
      <sheetName val="[Spt-BH.xls][Spt-BH.xls]B__1279"/>
      <sheetName val="[Spt-BH.xls][Spt-BH.xls]B__1280"/>
      <sheetName val="[Spt-BH.xls][Spt-BH.xls]B__1281"/>
      <sheetName val="[Spt-BH.xls][Spt-BH.xls]B__1282"/>
      <sheetName val="[Spt-BH.xls][Spt-BH.xls]B__1283"/>
      <sheetName val="[Spt-BH.xls][Spt-BH.xls]B__1284"/>
      <sheetName val="[Spt-BH.xls]B____x005f_x0004_______87"/>
      <sheetName val="[Spt-BH.xls]B___x005f_x0000__x005f_x0004_87"/>
      <sheetName val="[Spt-BH.xls]B____x005f_x0004_______86"/>
      <sheetName val="[Spt-BH.xls]B___x005f_x0000__x005f_x0004_86"/>
      <sheetName val="[Spt-BH.xls][Spt-BH.xls]B__1285"/>
      <sheetName val="[Spt-BH.xls][Spt-BH_xls]B___669"/>
      <sheetName val="[Spt-BH.xls][Spt-BH_xls]B___670"/>
      <sheetName val="[Spt-BH.xls][Spt-BH_xls]B___671"/>
      <sheetName val="[Spt-BH.xls][Spt-BH_xls]B___672"/>
      <sheetName val="[Spt-BH.xls][Spt-BH_xls]_Sp_196"/>
      <sheetName val="[Spt-BH.xls][Spt-BH_xls]B___673"/>
      <sheetName val="[Spt-BH.xls][Spt-BH_xls]B___674"/>
      <sheetName val="[Spt-BH.xls][Spt-BH_xls]B___675"/>
      <sheetName val="[Spt-BH.xls][Spt-BH_xls]_Sp_197"/>
      <sheetName val="[Spt-BH.xls][Spt-BH_xls]B___676"/>
      <sheetName val="[Spt-BH.xls][Spt-BH_xls]B___677"/>
      <sheetName val="[Spt-BH.xls][Spt-BH_xls]B___678"/>
      <sheetName val="[Spt-BH.xls][Spt-BH_xls]B___679"/>
      <sheetName val="[Spt-BH.xls][Spt-BH_xls]_Sp_198"/>
      <sheetName val="[Spt-BH.xls][Spt-BH.xls]B__1274"/>
      <sheetName val="[Spt-BH.xls][Spt-BH.xls]B__1275"/>
      <sheetName val="[Spt-BH.xls][Spt-BH.xls]B__1276"/>
      <sheetName val="[Spt-BH.xls][Spt-BH.xls]B__1277"/>
      <sheetName val="[Spt-BH.xls][Spt-BH.xls]B__1278"/>
      <sheetName val="[Spt-BH.xls][Spt-BH.xls]B__1301"/>
      <sheetName val="[Spt-BH.xls][Spt-BH.xls]B__1302"/>
      <sheetName val="[Spt-BH.xls][Spt-BH.xls]_Sp_381"/>
      <sheetName val="[Spt-BH.xls][Spt-BH.xls]B__1303"/>
      <sheetName val="[Spt-BH.xls][Spt-BH.xls]B__1304"/>
      <sheetName val="[Spt-BH.xls][Spt-BH.xls]B__1305"/>
      <sheetName val="[Spt-BH.xls][Spt-BH.xls]B__1295"/>
      <sheetName val="[Spt-BH.xls][Spt-BH.xls]B__1296"/>
      <sheetName val="[Spt-BH.xls][Spt-BH.xls]B__1297"/>
      <sheetName val="[Spt-BH.xls][Spt-BH.xls]B__1298"/>
      <sheetName val="[Spt-BH.xls][Spt-BH.xls]B__1299"/>
      <sheetName val="[Spt-BH.xls][Spt-BH.xls]B__1300"/>
      <sheetName val="[Spt-BH.xls][Spt-BH.xls]B__1286"/>
      <sheetName val="[Spt-BH.xls][Spt-BH.xls]B__1287"/>
      <sheetName val="[Spt-BH.xls][Spt-BH.xls]B__1288"/>
      <sheetName val="[Spt-BH.xls][Spt-BH.xls]B__1289"/>
      <sheetName val="[Spt-BH.xls][Spt-BH.xls]B__1290"/>
      <sheetName val="[Spt-BH.xls][Spt-BH.xls]B__1291"/>
      <sheetName val="[Spt-BH.xls][Spt-BH.xls]B__1292"/>
      <sheetName val="[Spt-BH.xls][Spt-BH.xls]B__1293"/>
      <sheetName val="[Spt-BH.xls][Spt-BH.xls]B__1294"/>
      <sheetName val="[Spt-BH.xls][Spt-BH.xls]B__1306"/>
      <sheetName val="[Spt-BH.xls][Spt-BH.xls]B__1307"/>
      <sheetName val="[Spt-BH.xls][Spt-BH.xls]_Sp_383"/>
      <sheetName val="[Spt-BH.xls][Spt-BH.xls]B__1308"/>
      <sheetName val="[Spt-BH.xls][Spt-BH.xls]B__1309"/>
      <sheetName val="[Spt-BH.xls][Spt-BH.xls]B__1310"/>
      <sheetName val="[Spt-BH.xls][Spt-BH.xls]B__1311"/>
      <sheetName val="[Spt-BH.xls][Spt-BH.xls]_Sp_382"/>
      <sheetName val="[Spt-BH.xls][Spt-BH.xls]B__1312"/>
      <sheetName val="[Spt-BH.xls][Spt-BH.xls]B__1313"/>
      <sheetName val="[Spt-BH.xls][Spt-BH.xls]B__1314"/>
      <sheetName val="[Spt-BH.xls][Spt-BH.xls]B__1315"/>
      <sheetName val="[Spt-BH.xls][Spt-BH.xls]B__1316"/>
      <sheetName val="[Spt-BH.xls][Spt-BH.xls]_Sp_384"/>
      <sheetName val="[Spt-BH.xls][Spt-BH.xls]B__1317"/>
      <sheetName val="[Spt-BH.xls]B____x005f_x0004_______88"/>
      <sheetName val="[Spt-BH.xls]B___x005f_x0000__x005f_x0004_88"/>
      <sheetName val="[Spt-BH.xls][Spt-BH.xls]_Sp_385"/>
      <sheetName val="[Spt-BH.xls][Spt-BH.xls]B__1318"/>
      <sheetName val="[Spt-BH.xls][Spt-BH.xls]B__1319"/>
      <sheetName val="[Spt-BH.xls][Spt-BH.xls]B__1320"/>
      <sheetName val="[Spt-BH.xls][Spt-BH.xls]B__1321"/>
      <sheetName val="[Spt-BH.xls][Spt-BH.xls]B__1322"/>
      <sheetName val="[Spt-BH.xls][Spt-BH.xls]_Sp_386"/>
      <sheetName val="[Spt-BH.xls][Spt-BH.xls]B__1323"/>
      <sheetName val="[Spt-BH.xls][Spt-BH.xls]_Sp_387"/>
      <sheetName val="[Spt-BH.xls][Spt-BH.xls]_Sp_392"/>
      <sheetName val="[Spt-BH.xls][Spt-BH.xls]B__1337"/>
      <sheetName val="[Spt-BH.xls][Spt-BH.xls]B__1338"/>
      <sheetName val="[Spt-BH.xls][Spt-BH.xls]B__1339"/>
      <sheetName val="[Spt-BH.xls][Spt-BH.xls]B__1340"/>
      <sheetName val="[Spt-BH.xls][Spt-BH.xls]B__1341"/>
      <sheetName val="[Spt-BH.xls][Spt-BH.xls]_Sp_394"/>
      <sheetName val="[Spt-BH.xls][Spt-BH.xls]B__1342"/>
      <sheetName val="[Spt-BH.xls]B____x005f_x0004_______90"/>
      <sheetName val="[Spt-BH.xls]B___x005f_x0000__x005f_x0004_90"/>
      <sheetName val="[Spt-BH.xls][Spt-BH.xls]_Sp_398"/>
      <sheetName val="[Spt-BH.xls][Spt-BH.xls]B__1343"/>
      <sheetName val="[Spt-BH.xls][Spt-BH.xls]B__1344"/>
      <sheetName val="[Spt-BH.xls][Spt-BH.xls]B__1345"/>
      <sheetName val="[Spt-BH.xls][Spt-BH.xls]B__1346"/>
      <sheetName val="[Spt-BH.xls][Spt-BH.xls]B__1347"/>
      <sheetName val="[Spt-BH.xls][Spt-BH.xls]_Sp_395"/>
      <sheetName val="[Spt-BH.xls][Spt-BH.xls]B__1348"/>
      <sheetName val="[Spt-BH.xls]B____x005f_x0004_______91"/>
      <sheetName val="[Spt-BH.xls]B___x005f_x0000__x005f_x0004_91"/>
      <sheetName val="[Spt-BH.xls][Spt-BH.xls]_Sp_396"/>
      <sheetName val="[Spt-BH.xls][Spt-BH.xls]B__1362"/>
      <sheetName val="[Spt-BH.xls][Spt-BH.xls]B__1363"/>
      <sheetName val="[Spt-BH.xls][Spt-BH.xls]_Sp_403"/>
      <sheetName val="[Spt-BH.xls][Spt-BH.xls]B__1364"/>
      <sheetName val="[Spt-BH.xls][Spt-BH.xls]B__1365"/>
      <sheetName val="[Spt-BH.xls][Spt-BH.xls]B__1366"/>
      <sheetName val="[Spt-BH.xls][Spt-BH.xls]B__1367"/>
      <sheetName val="[Spt-BH.xls]B____x005f_x0004_______93"/>
      <sheetName val="[Spt-BH.xls]B___x005f_x0000__x005f_x0004_93"/>
      <sheetName val="[Spt-BH.xls][Spt-BH.xls]_Sp_400"/>
      <sheetName val="[Spt-BH.xls][Spt-BH.xls]B__1361"/>
      <sheetName val="[Spt-BH.xls][Spt-BH.xls]_Sp_402"/>
      <sheetName val="[Spt-BH.xls][Spt-BH_xls]B___691"/>
      <sheetName val="[Spt-BH.xls][Spt-BH_xls]B___692"/>
      <sheetName val="[Spt-BH.xls][Spt-BH_xls]B___693"/>
      <sheetName val="[Spt-BH.xls][Spt-BH_xls]B___694"/>
      <sheetName val="[Spt-BH.xls][Spt-BH_xls]_Sp_202"/>
      <sheetName val="[Spt-BH.xls][Spt-BH_xls]B___695"/>
      <sheetName val="[Spt-BH.xls][Spt-BH_xls]B___696"/>
      <sheetName val="[Spt-BH.xls][Spt-BH_xls]B___697"/>
      <sheetName val="[Spt-BH.xls][Spt-BH_xls]_Sp_203"/>
      <sheetName val="[Spt-BH.xls][Spt-BH_xls]B___698"/>
      <sheetName val="[Spt-BH.xls][Spt-BH_xls]B___699"/>
      <sheetName val="[Spt-BH.xls][Spt-BH_xls]B___700"/>
      <sheetName val="[Spt-BH.xls][Spt-BH_xls]B___701"/>
      <sheetName val="[Spt-BH.xls][Spt-BH_xls]_Sp_204"/>
      <sheetName val="[Spt-BH.xls][Spt-BH.xls]_Sp_404"/>
      <sheetName val="[Spt-BH.xls][Spt-BH.xls]B__1368"/>
      <sheetName val="[Spt-BH.xls][Spt-BH.xls]B__1369"/>
      <sheetName val="[Spt-BH.xls][Spt-BH.xls]_Sp_406"/>
      <sheetName val="[Spt-BH.xls][Spt-BH.xls]B__1370"/>
      <sheetName val="[Spt-BH.xls][Spt-BH.xls]B__1371"/>
      <sheetName val="[Spt-BH.xls][Spt-BH.xls]B__1372"/>
      <sheetName val="[Spt-BH.xls][Spt-BH.xls]B__1373"/>
      <sheetName val="[Spt-BH.xls][Spt-BH.xls]_Sp_405"/>
      <sheetName val="[Spt-BH.xls][Spt-BH.xls]_Sp_407"/>
      <sheetName val="[Spt-BH.xls][Spt-BH.xls]B__1374"/>
      <sheetName val="[Spt-BH.xls][Spt-BH.xls]B__1375"/>
      <sheetName val="[Spt-BH.xls][Spt-BH.xls]_Sp_409"/>
      <sheetName val="[Spt-BH.xls][Spt-BH.xls]B__1376"/>
      <sheetName val="[Spt-BH.xls][Spt-BH.xls]B__1377"/>
      <sheetName val="[Spt-BH.xls][Spt-BH.xls]B__1378"/>
      <sheetName val="[Spt-BH.xls][Spt-BH.xls]B__1379"/>
      <sheetName val="[Spt-BH.xls][Spt-BH.xls]_Sp_408"/>
      <sheetName val="[Spt-BH.xls][Spt-BH.xls]B__1381"/>
      <sheetName val="[Spt-BH.xls][Spt-BH.xls]B__1382"/>
      <sheetName val="[Spt-BH.xls][Spt-BH.xls]_Sp_411"/>
      <sheetName val="[Spt-BH.xls][Spt-BH.xls]B__1383"/>
      <sheetName val="[Spt-BH.xls][Spt-BH.xls]B__1384"/>
      <sheetName val="[Spt-BH.xls][Spt-BH.xls]B__1385"/>
      <sheetName val="[Spt-BH.xls]B____x005f_x0004_______94"/>
      <sheetName val="[Spt-BH.xls]B___x005f_x0000__x005f_x0004_94"/>
      <sheetName val="[Spt-BH.xls][Spt-BH.xls]B__1386"/>
      <sheetName val="[Spt-BH.xls][Spt-BH.xls]B__1380"/>
      <sheetName val="[Spt-BH.xls][Spt-BH.xls]_Sp_410"/>
      <sheetName val="[Spt-BH.xls][Spt-BH_xls]B___702"/>
      <sheetName val="[Spt-BH.xls][Spt-BH_xls]B___703"/>
      <sheetName val="[Spt-BH.xls][Spt-BH_xls]B___704"/>
      <sheetName val="[Spt-BH.xls][Spt-BH_xls]B___705"/>
      <sheetName val="[Spt-BH.xls][Spt-BH_xls]_Sp_205"/>
      <sheetName val="[Spt-BH.xls][Spt-BH_xls]B___706"/>
      <sheetName val="[Spt-BH.xls][Spt-BH_xls]B___707"/>
      <sheetName val="[Spt-BH.xls][Spt-BH_xls]B___708"/>
      <sheetName val="[Spt-BH.xls][Spt-BH_xls]_Sp_206"/>
      <sheetName val="[Spt-BH.xls][Spt-BH_xls]B___709"/>
      <sheetName val="[Spt-BH.xls][Spt-BH_xls]B___710"/>
      <sheetName val="[Spt-BH.xls][Spt-BH_xls]B___711"/>
      <sheetName val="[Spt-BH.xls][Spt-BH_xls]B___712"/>
      <sheetName val="[Spt-BH.xls][Spt-BH_xls]_Sp_207"/>
      <sheetName val="[Spt-BH.xls][Spt-BH.xls]B__1388"/>
      <sheetName val="[Spt-BH.xls][Spt-BH.xls]B__1389"/>
      <sheetName val="[Spt-BH.xls][Spt-BH.xls]_Sp_413"/>
      <sheetName val="[Spt-BH.xls][Spt-BH.xls]B__1390"/>
      <sheetName val="[Spt-BH.xls][Spt-BH.xls]B__1391"/>
      <sheetName val="[Spt-BH.xls][Spt-BH.xls]B__1392"/>
      <sheetName val="[Spt-BH.xls]B____x005f_x0004_______95"/>
      <sheetName val="[Spt-BH.xls]B___x005f_x0000__x005f_x0004_95"/>
      <sheetName val="[Spt-BH.xls][Spt-BH.xls]B__1393"/>
      <sheetName val="[Spt-BH.xls][Spt-BH.xls]B__1387"/>
      <sheetName val="[Spt-BH.xls][Spt-BH.xls]_Sp_412"/>
      <sheetName val="[Spt-BH.xls][Spt-BH_xls]B___713"/>
      <sheetName val="[Spt-BH.xls][Spt-BH_xls]B___714"/>
      <sheetName val="[Spt-BH.xls][Spt-BH_xls]B___715"/>
      <sheetName val="[Spt-BH.xls][Spt-BH_xls]B___716"/>
      <sheetName val="[Spt-BH.xls][Spt-BH_xls]_Sp_208"/>
      <sheetName val="[Spt-BH.xls][Spt-BH_xls]B___717"/>
      <sheetName val="[Spt-BH.xls][Spt-BH_xls]B___718"/>
      <sheetName val="[Spt-BH.xls][Spt-BH_xls]B___719"/>
      <sheetName val="[Spt-BH.xls][Spt-BH_xls]_Sp_209"/>
      <sheetName val="[Spt-BH.xls][Spt-BH_xls]B___720"/>
      <sheetName val="[Spt-BH.xls][Spt-BH_xls]B___721"/>
      <sheetName val="[Spt-BH.xls][Spt-BH_xls]B___722"/>
      <sheetName val="[Spt-BH.xls][Spt-BH_xls]B___723"/>
      <sheetName val="[Spt-BH.xls][Spt-BH_xls]_Sp_210"/>
      <sheetName val="[Spt-BH.xls][Spt-BH.xls]B__1399"/>
      <sheetName val="[Spt-BH.xls][Spt-BH.xls]B__1400"/>
      <sheetName val="[Spt-BH.xls][Spt-BH.xls]_Sp_418"/>
      <sheetName val="[Spt-BH.xls][Spt-BH.xls]B__1401"/>
      <sheetName val="[Spt-BH.xls][Spt-BH.xls]B__1402"/>
      <sheetName val="[Spt-BH.xls][Spt-BH.xls]B__1403"/>
      <sheetName val="[Spt-BH.xls][Spt-BH.xls]_Sp_416"/>
      <sheetName val="[Spt-BH.xls][Spt-BH.xls]B__1404"/>
      <sheetName val="[Spt-BH.xls][Spt-BH.xls]_Sp_417"/>
      <sheetName val="[Spt-BH.xls][Spt-BH.xls]B__1394"/>
      <sheetName val="[Spt-BH.xls][Spt-BH.xls]B__1395"/>
      <sheetName val="[Spt-BH.xls][Spt-BH.xls]B__1396"/>
      <sheetName val="[Spt-BH.xls][Spt-BH.xls]B__1397"/>
      <sheetName val="[Spt-BH.xls][Spt-BH.xls]_Sp_414"/>
      <sheetName val="[Spt-BH.xls][Spt-BH.xls]B__1398"/>
      <sheetName val="[Spt-BH.xls][Spt-BH.xls]_Sp_415"/>
      <sheetName val="[Spt-BH.xls][Spt-BH.xls]_Sp_419"/>
      <sheetName val="[Spt-BH.xls][Spt-BH.xls]_Sp_420"/>
      <sheetName val="[Spt-BH.xls][Spt-BH.xls]_Sp_424"/>
      <sheetName val="[Spt-BH.xls][Spt-BH.xls]B__1411"/>
      <sheetName val="[Spt-BH.xls][Spt-BH.xls]B__1412"/>
      <sheetName val="[Spt-BH.xls][Spt-BH.xls]B__1413"/>
      <sheetName val="[Spt-BH.xls][Spt-BH.xls]B__1414"/>
      <sheetName val="[Spt-BH.xls][Spt-BH.xls]B__1415"/>
      <sheetName val="[Spt-BH.xls][Spt-BH.xls]B__1416"/>
      <sheetName val="[Spt-BH.xls][Spt-BH.xls]_Sp_425"/>
      <sheetName val="[Spt-BH.xls]B____x005f_x0004_______96"/>
      <sheetName val="[Spt-BH.xls]B___x005f_x0000__x005f_x0004_96"/>
      <sheetName val="[Spt-BH.xls][Spt-BH.xls]B__1417"/>
      <sheetName val="[Spt-BH.xls][Spt-BH.xls]_Sp_427"/>
      <sheetName val="[Spt-BH.xls][Spt-BH_xls]B___724"/>
      <sheetName val="[Spt-BH.xls][Spt-BH_xls]B___725"/>
      <sheetName val="[Spt-BH.xls][Spt-BH_xls]B___726"/>
      <sheetName val="[Spt-BH.xls][Spt-BH_xls]B___727"/>
      <sheetName val="[Spt-BH.xls][Spt-BH_xls]_Sp_211"/>
      <sheetName val="[Spt-BH.xls][Spt-BH_xls]B___728"/>
      <sheetName val="[Spt-BH.xls][Spt-BH_xls]B___729"/>
      <sheetName val="[Spt-BH.xls][Spt-BH_xls]B___730"/>
      <sheetName val="[Spt-BH.xls][Spt-BH_xls]_Sp_212"/>
      <sheetName val="[Spt-BH.xls][Spt-BH_xls]B___731"/>
      <sheetName val="[Spt-BH.xls][Spt-BH_xls]B___732"/>
      <sheetName val="[Spt-BH.xls][Spt-BH_xls]B___733"/>
      <sheetName val="[Spt-BH.xls][Spt-BH_xls]B___734"/>
      <sheetName val="[Spt-BH.xls][Spt-BH_xls]_Sp_213"/>
      <sheetName val="[Spt-BH.xls][Spt-BH.xls]B__1430"/>
      <sheetName val="[Spt-BH.xls][Spt-BH.xls]B__1424"/>
      <sheetName val="[Spt-BH.xls][Spt-BH.xls]_Sp_429"/>
      <sheetName val="[Spt-BH.xls][Spt-BH_xls]B___735"/>
      <sheetName val="[Spt-BH.xls][Spt-BH_xls]B___736"/>
      <sheetName val="[Spt-BH.xls][Spt-BH_xls]B___737"/>
      <sheetName val="[Spt-BH.xls][Spt-BH_xls]B___738"/>
      <sheetName val="[Spt-BH.xls][Spt-BH_xls]_Sp_214"/>
      <sheetName val="[Spt-BH.xls][Spt-BH_xls]B___739"/>
      <sheetName val="[Spt-BH.xls][Spt-BH_xls]B___740"/>
      <sheetName val="[Spt-BH.xls][Spt-BH_xls]B___741"/>
      <sheetName val="[Spt-BH.xls][Spt-BH_xls]_Sp_215"/>
      <sheetName val="[Spt-BH.xls][Spt-BH_xls]B___742"/>
      <sheetName val="[Spt-BH.xls][Spt-BH_xls]B___743"/>
      <sheetName val="[Spt-BH.xls][Spt-BH_xls]B___744"/>
      <sheetName val="[Spt-BH.xls][Spt-BH_xls]B___745"/>
      <sheetName val="[Spt-BH.xls][Spt-BH_xls]_Sp_216"/>
      <sheetName val="[Spt-BH.xls][Spt-BH.xls]_Sp_430"/>
      <sheetName val="[Spt-BH.xls][Spt-BH.xls]B__1431"/>
      <sheetName val="[Spt-BH.xls][Spt-BH.xls]B__1432"/>
      <sheetName val="[Spt-BH.xls][Spt-BH.xls]B__1433"/>
      <sheetName val="[Spt-BH.xls][Spt-BH.xls]B__1434"/>
      <sheetName val="[Spt-BH.xls][Spt-BH.xls]B__1435"/>
      <sheetName val="[Spt-BH.xls][Spt-BH.xls]B__1437"/>
      <sheetName val="[Spt-BH.xls][Spt-BH.xls]B__1438"/>
      <sheetName val="[Spt-BH.xls][Spt-BH.xls]_Sp_432"/>
      <sheetName val="[Spt-BH.xls][Spt-BH.xls]B__1439"/>
      <sheetName val="[Spt-BH.xls][Spt-BH.xls]B__1440"/>
      <sheetName val="[Spt-BH.xls][Spt-BH.xls]B__1441"/>
      <sheetName val="[Spt-BH.xls][Spt-BH.xls]B__1436"/>
      <sheetName val="[Spt-BH.xls]B____x005f_x0004_______98"/>
      <sheetName val="[Spt-BH.xls]B___x005f_x0000__x005f_x0004_98"/>
      <sheetName val="[Spt-BH.xls][Spt-BH.xls]_Sp_433"/>
      <sheetName val="[Spt-BH.xls][Spt-BH.xls]_Sp_434"/>
      <sheetName val="[Spt-BH.xls][Spt-BH.xls]B__1442"/>
      <sheetName val="[Spt-BH.xls][Spt-BH.xls]B__1443"/>
      <sheetName val="[Spt-BH.xls][Spt-BH.xls]_Sp_435"/>
      <sheetName val="[Spt-BH.xls][Spt-BH.xls]B__1444"/>
      <sheetName val="[Spt-BH.xls][Spt-BH.xls]B__1445"/>
      <sheetName val="[Spt-BH.xls][Spt-BH.xls]B__1446"/>
      <sheetName val="[Spt-BH.xls][Spt-BH.xls]B__1448"/>
      <sheetName val="[Spt-BH.xls][Spt-BH.xls]B__1449"/>
      <sheetName val="[Spt-BH.xls][Spt-BH.xls]_Sp_437"/>
      <sheetName val="[Spt-BH.xls][Spt-BH.xls]B__1450"/>
      <sheetName val="[Spt-BH.xls][Spt-BH.xls]B__1451"/>
      <sheetName val="[Spt-BH.xls][Spt-BH.xls]B__1452"/>
      <sheetName val="[Spt-BH.xls][Spt-BH.xls]B__1447"/>
      <sheetName val="[Spt-BH.xls]B____x005f_x0004_______99"/>
      <sheetName val="[Spt-BH.xls]B___x005f_x0000__x005f_x0004_99"/>
      <sheetName val="[Spt-BH.xls][Spt-BH.xls]B__1457"/>
      <sheetName val="[Spt-BH.xls][Spt-BH.xls]B__1458"/>
      <sheetName val="[Spt-BH.xls][Spt-BH.xls]_Sp_438"/>
      <sheetName val="[Spt-BH.xls][Spt-BH.xls]B__1459"/>
      <sheetName val="[Spt-BH.xls][Spt-BH.xls]B__1460"/>
      <sheetName val="[Spt-BH.xls][Spt-BH.xls]_Sp_436"/>
      <sheetName val="[Spt-BH.xls][Spt-BH.xls]B__1453"/>
      <sheetName val="[Spt-BH.xls][Spt-BH.xls]B__1454"/>
      <sheetName val="[Spt-BH.xls][Spt-BH.xls]B__1455"/>
      <sheetName val="[Spt-BH.xls][Spt-BH.xls]B__1456"/>
      <sheetName val="[Spt-BH.xls][Spt-BH.xls]_Sp_439"/>
      <sheetName val="[Spt-BH.xls][Spt-BH.xls]_Sp_440"/>
      <sheetName val="[Spt-BH.xls][Spt-BH.xls]B__1461"/>
      <sheetName val="[Spt-BH.xls][Spt-BH.xls]B__1462"/>
      <sheetName val="[Spt-BH.xls][Spt-BH.xls]_Sp_441"/>
      <sheetName val="[Spt-BH.xls][Spt-BH.xls]B__1463"/>
      <sheetName val="[Spt-BH.xls][Spt-BH.xls]B__1464"/>
      <sheetName val="Design Requirements"/>
      <sheetName val="Materials "/>
      <sheetName val="Mmt"/>
      <sheetName val="OVER HEADS"/>
      <sheetName val="BID"/>
      <sheetName val="Data.Project"/>
      <sheetName val="Data_Project"/>
      <sheetName val="Data_Project1"/>
      <sheetName val="SILICATE"/>
      <sheetName val="PPA Summary"/>
      <sheetName val="1C Data"/>
      <sheetName val="_Spt-BH.xls_B@__x005f_x0000__x005f_x0004_@_"/>
      <sheetName val="_Spt-BH.xls__Spt-BH.xls__Spt_55"/>
      <sheetName val="_Spt-BH.xls__Spt-BH.xls_B____12"/>
      <sheetName val="_Spt-BH.xls__Spt-BH.xls_B____13"/>
      <sheetName val="_Spt-BH.xls__Spt-BH.xls__Spt__4"/>
      <sheetName val="_Spt-BH.xls__Spt-BH.xls_B____14"/>
      <sheetName val="_Spt-BH.xls__Spt-BH.xls_B____15"/>
      <sheetName val="_Spt-BH.xls__Spt-BH.xls_B_____6"/>
      <sheetName val="_Spt-BH.xls__Spt-BH.xls_B_____7"/>
      <sheetName val="_Spt-BH.xls__Spt-BH.xls__Spt__3"/>
      <sheetName val="_Spt-BH.xls__Spt-BH.xls_B_____8"/>
      <sheetName val="_Spt-BH.xls__Spt-BH.xls_B_____9"/>
      <sheetName val="_Spt-BH.xls__Spt-BH.xls_B____16"/>
      <sheetName val="_Spt-BH.xls_B____x005f_x0004________3"/>
      <sheetName val="_Spt-BH.xls_B___x005f_x0000__x005f_x0004__3"/>
      <sheetName val="_Spt-BH.xls__Spt-BH.xls_B____17"/>
      <sheetName val="_Spt-BH.xls__Spt-BH.xls_B_____2"/>
      <sheetName val="_Spt-BH.xls__Spt-BH.xls_B_____3"/>
      <sheetName val="_Spt-BH.xls__Spt-BH.xls__Spt__2"/>
      <sheetName val="_Spt-BH.xls__Spt-BH.xls_B_____4"/>
      <sheetName val="_Spt-BH.xls__Spt-BH.xls_B_____5"/>
      <sheetName val="_Spt-BH.xls__Spt-BH.xls_B____10"/>
      <sheetName val="_Spt-BH.xls_B____x005f_x0004________2"/>
      <sheetName val="_Spt-BH.xls_B___x005f_x0000__x005f_x0004__2"/>
      <sheetName val="_Spt-BH.xls__Spt-BH.xls_B____11"/>
      <sheetName val="_Spt-BH.xls__Spt-BH.xls_B____36"/>
      <sheetName val="_Spt-BH.xls__Spt-BH.xls_B____37"/>
      <sheetName val="_Spt-BH.xls__Spt-BH.xls__Spt__9"/>
      <sheetName val="_Spt-BH.xls__Spt-BH.xls_B____38"/>
      <sheetName val="_Spt-BH.xls__Spt-BH.xls_B____39"/>
      <sheetName val="_Spt-BH.xls__Spt-BH.xls_B____30"/>
      <sheetName val="_Spt-BH.xls__Spt-BH.xls_B____31"/>
      <sheetName val="_Spt-BH.xls__Spt-BH.xls__Spt__8"/>
      <sheetName val="_Spt-BH.xls__Spt-BH.xls_B____32"/>
      <sheetName val="_Spt-BH.xls__Spt-BH.xls_B____33"/>
      <sheetName val="_Spt-BH.xls__Spt-BH.xls_B____40"/>
      <sheetName val="_Spt-BH.xls_B____x005f_x0004________6"/>
      <sheetName val="_Spt-BH.xls_B___x005f_x0000__x005f_x0004__6"/>
      <sheetName val="_Spt-BH.xls__Spt-BH.xls_B____41"/>
      <sheetName val="_Spt-BH.xls__Spt-BH.xls__Spt__7"/>
      <sheetName val="_Spt-BH.xls__Spt-BH.xls_B____34"/>
      <sheetName val="_Spt-BH.xls__Spt-BH.xls_B____35"/>
      <sheetName val="_Spt-BH.xls__Spt-BH.xls_B____18"/>
      <sheetName val="_Spt-BH.xls__Spt-BH.xls_B____19"/>
      <sheetName val="_Spt-BH.xls__Spt-BH.xls_B____20"/>
      <sheetName val="_Spt-BH.xls__Spt-BH.xls_B____21"/>
      <sheetName val="_Spt-BH.xls__Spt-BH.xls__Spt__5"/>
      <sheetName val="_Spt-BH.xls__Spt-BH.xls_B____22"/>
      <sheetName val="_Spt-BH.xls_B____x005f_x0004________4"/>
      <sheetName val="_Spt-BH.xls_B___x005f_x0000__x005f_x0004__4"/>
      <sheetName val="_Spt-BH.xls__Spt-BH.xls_B____23"/>
      <sheetName val="_Spt-BH.xls__Spt-BH.xls_B____24"/>
      <sheetName val="_Spt-BH.xls__Spt-BH.xls_B____25"/>
      <sheetName val="_Spt-BH.xls__Spt-BH.xls_B____26"/>
      <sheetName val="_Spt-BH.xls__Spt-BH.xls_B____27"/>
      <sheetName val="_Spt-BH.xls_B____x005f_x0004________5"/>
      <sheetName val="_Spt-BH.xls_B___x005f_x0000__x005f_x0004__5"/>
      <sheetName val="_Spt-BH.xls__Spt-BH.xls__Spt__6"/>
      <sheetName val="_Spt-BH.xls__Spt-BH.xls_B____28"/>
      <sheetName val="_Spt-BH.xls__Spt-BH.xls_B____29"/>
      <sheetName val="_Spt-BH.xls__Spt-BH.xls__Spt_10"/>
      <sheetName val="_Spt-BH.xls__Spt-BH.xls_B____42"/>
      <sheetName val="_Spt-BH.xls__Spt-BH.xls_B____43"/>
      <sheetName val="_Spt-BH.xls__Spt-BH.xls__Spt_12"/>
      <sheetName val="_Spt-BH.xls__Spt-BH.xls_B____44"/>
      <sheetName val="_Spt-BH.xls__Spt-BH.xls_B____45"/>
      <sheetName val="_Spt-BH.xls__Spt-BH.xls__Spt_11"/>
      <sheetName val="_Spt-BH.xls__Spt-BH.xls_B____46"/>
      <sheetName val="_Spt-BH.xls__Spt-BH.xls_B____47"/>
      <sheetName val="_Spt-BH.xls__Spt-BH.xls__Spt_13"/>
      <sheetName val="_Spt-BH.xls__Spt-BH.xls_B____48"/>
      <sheetName val="_Spt-BH.xls__Spt-BH.xls_B____49"/>
      <sheetName val="_Spt-BH.xls__Spt-BH.xls_B____50"/>
      <sheetName val="_Spt-BH.xls__Spt-BH.xls_B____51"/>
      <sheetName val="_Spt-BH.xls__Spt-BH.xls__Spt_14"/>
      <sheetName val="_Spt-BH.xls__Spt-BH.xls_B____52"/>
      <sheetName val="_Spt-BH.xls__Spt-BH.xls_B____53"/>
      <sheetName val="_Spt-BH.xls__Spt-BH.xls_B____90"/>
      <sheetName val="_Spt-BH.xls__Spt-BH.xls_B____91"/>
      <sheetName val="_Spt-BH.xls__Spt-BH.xls__Spt_30"/>
      <sheetName val="_Spt-BH.xls__Spt-BH.xls_B____92"/>
      <sheetName val="_Spt-BH.xls__Spt-BH.xls_B____93"/>
      <sheetName val="_Spt-BH.xls__Spt-BH.xls_B____84"/>
      <sheetName val="_Spt-BH.xls__Spt-BH.xls_B____85"/>
      <sheetName val="_Spt-BH.xls__Spt-BH.xls__Spt_23"/>
      <sheetName val="_Spt-BH.xls__Spt-BH.xls_B____86"/>
      <sheetName val="_Spt-BH.xls__Spt-BH.xls_B____87"/>
      <sheetName val="_Spt-BH.xls__Spt-BH.xls_B____94"/>
      <sheetName val="_Spt-BH.xls_B____x005f_x0004_______11"/>
      <sheetName val="_Spt-BH.xls_B___x005f_x0000__x005f_x0004_11"/>
      <sheetName val="_Spt-BH.xls__Spt-BH.xls_B____95"/>
      <sheetName val="_Spt-BH.xls__Spt-BH.xls__Spt_22"/>
      <sheetName val="_Spt-BH.xls__Spt-BH.xls_B____88"/>
      <sheetName val="_Spt-BH.xls__Spt-BH.xls_B____89"/>
      <sheetName val="_Spt-BH.xls__Spt-BH.xls_B____78"/>
      <sheetName val="_Spt-BH.xls__Spt-BH.xls_B____79"/>
      <sheetName val="_Spt-BH.xls__Spt-BH.xls_B____80"/>
      <sheetName val="_Spt-BH.xls__Spt-BH.xls_B____81"/>
      <sheetName val="_Spt-BH.xls__Spt-BH.xls_B____54"/>
      <sheetName val="_Spt-BH.xls__Spt-BH.xls_B____55"/>
      <sheetName val="_Spt-BH.xls__Spt-BH.xls__Spt_21"/>
      <sheetName val="_Spt-BH.xls__Spt-BH.xls_B____56"/>
      <sheetName val="_Spt-BH.xls__Spt-BH.xls_B____57"/>
      <sheetName val="_Spt-BH.xls__Spt-BH.xls_B____82"/>
      <sheetName val="_Spt-BH.xls_B____x005f_x0004________8"/>
      <sheetName val="_Spt-BH.xls_B___x005f_x0000__x005f_x0004__8"/>
      <sheetName val="_Spt-BH.xls__Spt-BH.xls_B____83"/>
      <sheetName val="_Spt-BH.xls__Spt-BH.xls__Spt_15"/>
      <sheetName val="_Spt-BH.xls__Spt-BH.xls_B____58"/>
      <sheetName val="_Spt-BH.xls__Spt-BH.xls_B____59"/>
      <sheetName val="_Spt-BH.xls_B____x005f_x0004________7"/>
      <sheetName val="_Spt-BH.xls_B___x005f_x0000__x005f_x0004__7"/>
      <sheetName val="_Spt-BH.xls__Spt-BH.xls__Spt_16"/>
      <sheetName val="_Spt-BH.xls__Spt-BH.xls_B____60"/>
      <sheetName val="_Spt-BH.xls__Spt-BH.xls_B____61"/>
      <sheetName val="_Spt-BH.xls__Spt-BH.xls__Spt_20"/>
      <sheetName val="_Spt-BH.xls__Spt-BH.xls_B____62"/>
      <sheetName val="_Spt-BH.xls__Spt-BH.xls_B____63"/>
      <sheetName val="_Spt-BH.xls__Spt-BH.xls__Spt_18"/>
      <sheetName val="_Spt-BH.xls__Spt-BH.xls_B____64"/>
      <sheetName val="_Spt-BH.xls__Spt-BH.xls_B____65"/>
      <sheetName val="_Spt-BH.xls__Spt-BH.xls__Spt_17"/>
      <sheetName val="_Spt-BH.xls__Spt-BH.xls_B____72"/>
      <sheetName val="_Spt-BH.xls__Spt-BH.xls_B____73"/>
      <sheetName val="_Spt-BH.xls__Spt-BH.xls_B____74"/>
      <sheetName val="_Spt-BH.xls__Spt-BH.xls_B____75"/>
      <sheetName val="_Spt-BH.xls_B____x005f_x0004_______10"/>
      <sheetName val="_Spt-BH.xls_B___x005f_x0000__x005f_x0004_10"/>
      <sheetName val="_Spt-BH.xls__Spt-BH.xls_B____76"/>
      <sheetName val="_Spt-BH.xls__Spt-BH.xls_B____77"/>
      <sheetName val="_Spt-BH.xls__Spt-BH.xls__Spt_19"/>
      <sheetName val="_Spt-BH.xls__Spt-BH.xls_B____66"/>
      <sheetName val="_Spt-BH.xls__Spt-BH.xls_B____67"/>
      <sheetName val="_Spt-BH.xls__Spt-BH.xls_B____68"/>
      <sheetName val="_Spt-BH.xls__Spt-BH.xls_B____69"/>
      <sheetName val="_Spt-BH.xls_B____x005f_x0004________9"/>
      <sheetName val="_Spt-BH.xls_B___x005f_x0000__x005f_x0004__9"/>
      <sheetName val="_Spt-BH.xls__Spt-BH.xls_B____70"/>
      <sheetName val="_Spt-BH.xls__Spt-BH.xls_B____71"/>
      <sheetName val="_Spt-BH.xls__Spt-BH.xls__Spt_24"/>
      <sheetName val="_Spt-BH.xls__Spt-BH.xls__Spt_28"/>
      <sheetName val="_Spt-BH.xls__Spt-BH.xls__Spt_25"/>
      <sheetName val="_Spt-BH.xls__Spt-BH.xls__Spt_27"/>
      <sheetName val="_Spt-BH.xls__Spt-BH.xls__Spt_26"/>
      <sheetName val="_Spt-BH.xls__Spt-BH.xls_B____96"/>
      <sheetName val="_Spt-BH.xls__Spt-BH.xls_B____97"/>
      <sheetName val="_Spt-BH.xls__Spt-BH.xls__Spt_29"/>
      <sheetName val="_Spt-BH.xls__Spt-BH.xls_B____98"/>
      <sheetName val="_Spt-BH.xls__Spt-BH.xls_B____99"/>
      <sheetName val="_Spt-BH.xls__Spt-BH.xls_B___100"/>
      <sheetName val="_Spt-BH.xls__Spt-BH.xls_B___101"/>
      <sheetName val="_Spt-BH.xls__Spt-BH.xls_B___102"/>
      <sheetName val="_Spt-BH.xls__Spt-BH.xls_B___103"/>
      <sheetName val="_Spt-BH.xls__Spt-BH.xls_B___104"/>
      <sheetName val="_Spt-BH.xls__Spt-BH.xls_B___105"/>
      <sheetName val="_Spt-BH.xls__Spt-BH.xls_B___106"/>
      <sheetName val="_Spt-BH.xls__Spt-BH.xls_B___107"/>
      <sheetName val="_Spt-BH.xls__Spt-BH.xls_B___192"/>
      <sheetName val="_Spt-BH.xls__Spt-BH.xls_B___193"/>
      <sheetName val="_Spt-BH.xls__Spt-BH.xls__Spt_60"/>
      <sheetName val="_Spt-BH.xls__Spt-BH.xls_B___194"/>
      <sheetName val="_Spt-BH.xls__Spt-BH.xls_B___195"/>
      <sheetName val="_Spt-BH.xls__Spt-BH.xls_B___196"/>
      <sheetName val="_Spt-BH.xls_B____x005f_x0004_______12"/>
      <sheetName val="_Spt-BH.xls_B___x005f_x0000__x005f_x0004_12"/>
      <sheetName val="_Spt-BH.xls__Spt-BH.xls_B___197"/>
      <sheetName val="_Spt-BH.xls__Spt-BH.xls__Spt_33"/>
      <sheetName val="_Spt-BH.xls__Spt-BH.xls_B___114"/>
      <sheetName val="_Spt-BH.xls__Spt-BH.xls_B___115"/>
      <sheetName val="_Spt-BH.xls__Spt-BH.xls__Spt_34"/>
      <sheetName val="_Spt-BH.xls__Spt-BH.xls_B___116"/>
      <sheetName val="_Spt-BH.xls__Spt-BH.xls_B___117"/>
      <sheetName val="_Spt-BH.xls__Spt-BH.xls_B___118"/>
      <sheetName val="_Spt-BH.xls__Spt-BH.xls_B___119"/>
      <sheetName val="_Spt-BH.xls__Spt-BH.xls_B___108"/>
      <sheetName val="_Spt-BH.xls__Spt-BH.xls_B___109"/>
      <sheetName val="_Spt-BH.xls__Spt-BH.xls__Spt_32"/>
      <sheetName val="_Spt-BH.xls__Spt-BH.xls_B___110"/>
      <sheetName val="_Spt-BH.xls__Spt-BH.xls_B___111"/>
      <sheetName val="_Spt-BH.xls__Spt-BH.xls__Spt_31"/>
      <sheetName val="_Spt-BH.xls__Spt-BH.xls_B___112"/>
      <sheetName val="_Spt-BH.xls__Spt-BH.xls_B___113"/>
      <sheetName val="_Spt-BH.xls__Spt-BH.xls_B___120"/>
      <sheetName val="_Spt-BH.xls__Spt-BH.xls_B___121"/>
      <sheetName val="_Spt-BH.xls__Spt-BH.xls__Spt_35"/>
      <sheetName val="_Spt-BH.xls__Spt-BH.xls_B___122"/>
      <sheetName val="_Spt-BH.xls__Spt-BH.xls_B___123"/>
      <sheetName val="_Spt-BH.xls__Spt-BH.xls_B___124"/>
      <sheetName val="_Spt-BH.xls_B____x005f_x0004_______13"/>
      <sheetName val="_Spt-BH.xls_B___x005f_x0000__x005f_x0004_13"/>
      <sheetName val="_Spt-BH.xls__Spt-BH.xls_B___125"/>
      <sheetName val="_Spt-BH.xls__Spt-BH.xls__Spt_36"/>
      <sheetName val="_Spt-BH.xls__Spt-BH.xls_B___132"/>
      <sheetName val="_Spt-BH.xls__Spt-BH.xls_B___133"/>
      <sheetName val="_Spt-BH.xls__Spt-BH.xls__Spt_37"/>
      <sheetName val="_Spt-BH.xls__Spt-BH.xls_B___134"/>
      <sheetName val="_Spt-BH.xls__Spt-BH.xls_B___135"/>
      <sheetName val="_Spt-BH.xls__Spt-BH.xls_B___136"/>
      <sheetName val="_Spt-BH.xls__Spt-BH.xls_B___137"/>
      <sheetName val="_Spt-BH.xls__Spt-BH.xls_B___126"/>
      <sheetName val="_Spt-BH.xls__Spt-BH.xls_B___127"/>
      <sheetName val="_Spt-BH.xls__Spt-BH.xls_B___128"/>
      <sheetName val="_Spt-BH.xls__Spt-BH.xls_B___129"/>
      <sheetName val="_Spt-BH.xls__Spt-BH.xls_B___130"/>
      <sheetName val="_Spt-BH.xls__Spt-BH.xls_B___131"/>
      <sheetName val="_Spt-BH.xls__Spt-BH.xls_B___186"/>
      <sheetName val="_Spt-BH.xls__Spt-BH.xls_B___187"/>
      <sheetName val="_Spt-BH.xls__Spt-BH.xls__Spt_54"/>
      <sheetName val="_Spt-BH.xls__Spt-BH.xls_B___188"/>
      <sheetName val="_Spt-BH.xls__Spt-BH.xls_B___189"/>
      <sheetName val="_Spt-BH.xls__Spt-BH.xls_B___180"/>
      <sheetName val="_Spt-BH.xls__Spt-BH.xls_B___181"/>
      <sheetName val="_Spt-BH.xls__Spt-BH.xls__Spt_53"/>
      <sheetName val="_Spt-BH.xls__Spt-BH.xls_B___182"/>
      <sheetName val="_Spt-BH.xls__Spt-BH.xls_B___183"/>
      <sheetName val="_Spt-BH.xls__Spt-BH.xls_B___190"/>
      <sheetName val="_Spt-BH.xls_B____x005f_x0004_______15"/>
      <sheetName val="_Spt-BH.xls_B___x005f_x0000__x005f_x0004_15"/>
      <sheetName val="_Spt-BH.xls__Spt-BH.xls_B___191"/>
      <sheetName val="_Spt-BH.xls__Spt-BH.xls__Spt_52"/>
      <sheetName val="_Spt-BH.xls__Spt-BH.xls_B___184"/>
      <sheetName val="_Spt-BH.xls__Spt-BH.xls_B___185"/>
      <sheetName val="_Spt-BH.xls__Spt-BH.xls__Spt_48"/>
      <sheetName val="_Spt-BH.xls__Spt-BH.xls__Spt_45"/>
      <sheetName val="_Spt-BH.xls__Spt-BH.xls__Spt_42"/>
      <sheetName val="_Spt-BH.xls__Spt-BH.xls__Spt_41"/>
      <sheetName val="_Spt-BH.xls__Spt-BH.xls__Spt_38"/>
      <sheetName val="_Spt-BH.xls__Spt-BH.xls_B___138"/>
      <sheetName val="_Spt-BH.xls__Spt-BH.xls_B___139"/>
      <sheetName val="_Spt-BH.xls__Spt-BH.xls_B___140"/>
      <sheetName val="_Spt-BH.xls__Spt-BH.xls_B___141"/>
      <sheetName val="_Spt-BH.xls__Spt-BH.xls_B___142"/>
      <sheetName val="_Spt-BH.xls__Spt-BH.xls_B___143"/>
      <sheetName val="_Spt-BH.xls__Spt-BH.xls_B___156"/>
      <sheetName val="_Spt-BH.xls__Spt-BH.xls_B___157"/>
      <sheetName val="_Spt-BH.xls__Spt-BH.xls_B___158"/>
      <sheetName val="_Spt-BH.xls__Spt-BH.xls_B___159"/>
      <sheetName val="_Spt-BH.xls__Spt-BH.xls_B___160"/>
      <sheetName val="_Spt-BH.xls__Spt-BH.xls_B___161"/>
      <sheetName val="_Spt-BH.xls__Spt-BH.xls__Spt_39"/>
      <sheetName val="_Spt-BH.xls__Spt-BH.xls_B___144"/>
      <sheetName val="_Spt-BH.xls__Spt-BH.xls_B___145"/>
      <sheetName val="_Spt-BH.xls__Spt-BH.xls_B___146"/>
      <sheetName val="_Spt-BH.xls__Spt-BH.xls_B___147"/>
      <sheetName val="_Spt-BH.xls__Spt-BH.xls_B___148"/>
      <sheetName val="_Spt-BH.xls__Spt-BH.xls_B___149"/>
      <sheetName val="_Spt-BH.xls__Spt-BH.xls__Spt_40"/>
      <sheetName val="_Spt-BH.xls__Spt-BH.xls_B___150"/>
      <sheetName val="_Spt-BH.xls__Spt-BH.xls_B___151"/>
      <sheetName val="_Spt-BH.xls__Spt-BH.xls_B___152"/>
      <sheetName val="_Spt-BH.xls__Spt-BH.xls_B___153"/>
      <sheetName val="_Spt-BH.xls__Spt-BH.xls_B___154"/>
      <sheetName val="_Spt-BH.xls__Spt-BH.xls_B___155"/>
      <sheetName val="_Spt-BH.xls__Spt-BH.xls__Spt_43"/>
      <sheetName val="_Spt-BH.xls__Spt-BH.xls__Spt_44"/>
      <sheetName val="_Spt-BH.xls__Spt-BH.xls__Spt_47"/>
      <sheetName val="_Spt-BH.xls__Spt-BH.xls__Spt_46"/>
      <sheetName val="_Spt-BH.xls__Spt-BH.xls_B___174"/>
      <sheetName val="_Spt-BH.xls__Spt-BH.xls_B___175"/>
      <sheetName val="_Spt-BH.xls__Spt-BH.xls_B___176"/>
      <sheetName val="_Spt-BH.xls__Spt-BH.xls_B___177"/>
      <sheetName val="_Spt-BH.xls__Spt-BH.xls_B___162"/>
      <sheetName val="_Spt-BH.xls__Spt-BH.xls_B___163"/>
      <sheetName val="_Spt-BH.xls__Spt-BH.xls__Spt_51"/>
      <sheetName val="_Spt-BH.xls__Spt-BH.xls_B___164"/>
      <sheetName val="_Spt-BH.xls__Spt-BH.xls_B___165"/>
      <sheetName val="_Spt-BH.xls__Spt-BH.xls_B___178"/>
      <sheetName val="_Spt-BH.xls_B____x005f_x0004_______14"/>
      <sheetName val="_Spt-BH.xls_B___x005f_x0000__x005f_x0004_14"/>
      <sheetName val="_Spt-BH.xls__Spt-BH.xls_B___179"/>
      <sheetName val="_Spt-BH.xls__Spt-BH.xls__Spt_49"/>
      <sheetName val="_Spt-BH.xls__Spt-BH.xls_B___166"/>
      <sheetName val="_Spt-BH.xls__Spt-BH.xls_B___167"/>
      <sheetName val="_Spt-BH.xls__Spt-BH.xls_B___168"/>
      <sheetName val="_Spt-BH.xls__Spt-BH.xls_B___169"/>
      <sheetName val="_Spt-BH.xls__Spt-BH.xls_B___170"/>
      <sheetName val="_Spt-BH.xls__Spt-BH.xls_B___171"/>
      <sheetName val="_Spt-BH.xls__Spt-BH.xls__Spt_50"/>
      <sheetName val="_Spt-BH.xls__Spt-BH.xls_B___172"/>
      <sheetName val="_Spt-BH.xls__Spt-BH.xls_B___173"/>
      <sheetName val="_Spt-BH.xls__Spt-BH.xls__Spt_56"/>
      <sheetName val="_Spt-BH.xls__Spt-BH.xls__Spt_57"/>
      <sheetName val="_Spt-BH.xls__Spt-BH.xls__Spt_59"/>
      <sheetName val="_Spt-BH.xls__Spt-BH.xls__Spt_58"/>
      <sheetName val="FITZ MORT 94"/>
      <sheetName val="wt"/>
      <sheetName val="Rate analysis- BOQ 1 "/>
      <sheetName val="MES"/>
      <sheetName val="bom"/>
      <sheetName val="Civil Works"/>
      <sheetName val="B@__x005f_x005f_x005F"/>
      <sheetName val="cash-flow"/>
      <sheetName val="cctv_est1"/>
      <sheetName val="TORRENT CEMENT"/>
      <sheetName val="A"/>
      <sheetName val="TBEAM"/>
      <sheetName val="B@_?_x0004_@?__$_x0"/>
      <sheetName val="Wall"/>
      <sheetName val="Direct co_x0006__x0000__x0017__x0000__x000a__x0000__x000e__x0000__x000d__x0000__x0009__x0000_"/>
      <sheetName val="_x0000__x0009__x0000__x0008__x0000__x0011__x0000__x0009_"/>
      <sheetName val="Direct co_x0006__x0000__x0017__x0000__x000a__x0000__x000e__x0000__x000d__x0000_ _x0000_"/>
      <sheetName val="_x0000_ _x0000__x0008__x0000__x0011__x0000_ "/>
      <sheetName val="Sheet3 (2)"/>
      <sheetName val="Wing Wise Status"/>
      <sheetName val="Area Statement"/>
      <sheetName val="Risk Analysis"/>
      <sheetName val="Detail In Door Stad"/>
      <sheetName val="13. Steel - Ratio"/>
      <sheetName val="STOCKWTG"/>
      <sheetName val="B@[_x0000__x0004_@_x0000__x0000__x0000_:/$_x0000__x0000_"/>
      <sheetName val="B@[?_x0004_@???:/$??"/>
      <sheetName val="B@[@:/$"/>
      <sheetName val="B@[?@???:/$??"/>
      <sheetName val="B@[_x0000__x0004_@_x0000_:/$_x0000_"/>
      <sheetName val="[Spt-BH.xls][Spt-BH.xls]_Sp_445"/>
      <sheetName val="[Spt-BH.xls][Spt-BH.xls]_Sp_443"/>
      <sheetName val="[Spt-BH.xls][Spt-BH.xls]_Sp_442"/>
      <sheetName val="[Spt-BH.xls][Spt-BH.xls]_Sp_444"/>
      <sheetName val="[Spt-BH.xls][Spt-BH_xls]B___746"/>
      <sheetName val="[Spt-BH.xls][Spt-BH_xls]B___747"/>
      <sheetName val="[Spt-BH.xls][Spt-BH_xls]B___748"/>
      <sheetName val="[Spt-BH.xls][Spt-BH_xls]B___749"/>
      <sheetName val="[Spt-BH.xls][Spt-BH_xls]_Sp_217"/>
      <sheetName val="[Spt-BH.xls][Spt-BH_xls]B___750"/>
      <sheetName val="[Spt-BH.xls][Spt-BH_xls]B___751"/>
      <sheetName val="[Spt-BH.xls][Spt-BH_xls]B___752"/>
      <sheetName val="[Spt-BH.xls][Spt-BH_xls]_Sp_218"/>
      <sheetName val="[Spt-BH.xls][Spt-BH_xls]B___753"/>
      <sheetName val="[Spt-BH.xls][Spt-BH_xls]B___754"/>
      <sheetName val="[Spt-BH.xls][Spt-BH_xls]B___755"/>
      <sheetName val="[Spt-BH.xls][Spt-BH_xls]B___756"/>
      <sheetName val="[Spt-BH.xls][Spt-BH_xls]_Sp_219"/>
      <sheetName val="[Spt-BH.xls][Spt-BH.xls]_Sp_446"/>
      <sheetName val="[Spt-BH.xls][Spt-BH.xls]_Sp_448"/>
      <sheetName val="[Spt-BH.xls][Spt-BH.xls]_Sp_447"/>
      <sheetName val="[Spt-BH.xls][Spt-BH.xls]_Sp_452"/>
      <sheetName val="[Spt-BH.xls][Spt-BH.xls]_Sp_449"/>
      <sheetName val="[Spt-BH.xls][Spt-BH.xls]B__1475"/>
      <sheetName val="[Spt-BH.xls][Spt-BH.xls]B__1476"/>
      <sheetName val="[Spt-BH.xls][Spt-BH.xls]_Sp_456"/>
      <sheetName val="[Spt-BH.xls][Spt-BH.xls]B__1477"/>
      <sheetName val="[Spt-BH.xls][Spt-BH.xls]B__1478"/>
      <sheetName val="[Spt-BH.xls][Spt-BH.xls]B__1479"/>
      <sheetName val="[Spt-BH.xls][Spt-BH.xls]B__1467"/>
      <sheetName val="[Spt-BH.xls][Spt-BH.xls]B__1468"/>
      <sheetName val="[Spt-BH.xls][Spt-BH.xls]_Sp_454"/>
      <sheetName val="[Spt-BH.xls][Spt-BH.xls]B__1469"/>
      <sheetName val="[Spt-BH.xls][Spt-BH.xls]B__1470"/>
      <sheetName val="[Spt-BH.xls][Spt-BH.xls]B__1471"/>
      <sheetName val="[Spt-BH.xls][Spt-BH.xls]B__1480"/>
      <sheetName val="[Spt-BH.xls][Spt-BH.xls]B__1472"/>
      <sheetName val="[Spt-BH.xls][Spt-BH.xls]_Sp_453"/>
      <sheetName val="[Spt-BH.xls][Spt-BH.xls]B__1473"/>
      <sheetName val="[Spt-BH.xls][Spt-BH.xls]_Sp_455"/>
      <sheetName val="[Spt-BH.xls][Spt-BH_xls]B___768"/>
      <sheetName val="[Spt-BH.xls][Spt-BH_xls]B___769"/>
      <sheetName val="[Spt-BH.xls][Spt-BH_xls]B___770"/>
      <sheetName val="[Spt-BH.xls][Spt-BH_xls]B___771"/>
      <sheetName val="[Spt-BH.xls][Spt-BH_xls]_Sp_223"/>
      <sheetName val="[Spt-BH.xls][Spt-BH_xls]B___772"/>
      <sheetName val="[Spt-BH.xls][Spt-BH_xls]B___773"/>
      <sheetName val="[Spt-BH.xls][Spt-BH_xls]B___774"/>
      <sheetName val="[Spt-BH.xls][Spt-BH_xls]_Sp_224"/>
      <sheetName val="[Spt-BH.xls][Spt-BH_xls]B___775"/>
      <sheetName val="[Spt-BH.xls][Spt-BH_xls]B___776"/>
      <sheetName val="[Spt-BH.xls][Spt-BH_xls]B___777"/>
      <sheetName val="[Spt-BH.xls][Spt-BH_xls]B___778"/>
      <sheetName val="[Spt-BH.xls][Spt-BH_xls]_Sp_225"/>
      <sheetName val="[Spt-BH.xls][Spt-BH.xls]_Sp_450"/>
      <sheetName val="[Spt-BH.xls][Spt-BH.xls]B__1465"/>
      <sheetName val="[Spt-BH.xls][Spt-BH.xls]_Sp_451"/>
      <sheetName val="[Spt-BH.xls][Spt-BH.xls]B__1466"/>
      <sheetName val="[Spt-BH.xls][Spt-BH_xls]B___757"/>
      <sheetName val="[Spt-BH.xls][Spt-BH_xls]B___758"/>
      <sheetName val="[Spt-BH.xls][Spt-BH_xls]B___759"/>
      <sheetName val="[Spt-BH.xls][Spt-BH_xls]B___760"/>
      <sheetName val="[Spt-BH.xls][Spt-BH_xls]_Sp_220"/>
      <sheetName val="[Spt-BH.xls][Spt-BH_xls]B___761"/>
      <sheetName val="[Spt-BH.xls][Spt-BH_xls]B___762"/>
      <sheetName val="[Spt-BH.xls][Spt-BH_xls]B___763"/>
      <sheetName val="[Spt-BH.xls][Spt-BH_xls]_Sp_221"/>
      <sheetName val="[Spt-BH.xls][Spt-BH_xls]B___764"/>
      <sheetName val="[Spt-BH.xls][Spt-BH_xls]B___765"/>
      <sheetName val="[Spt-BH.xls][Spt-BH_xls]B___766"/>
      <sheetName val="[Spt-BH.xls][Spt-BH_xls]B___767"/>
      <sheetName val="[Spt-BH.xls][Spt-BH_xls]_Sp_222"/>
      <sheetName val="[Spt-BH.xls]B____x005f_x0004______100"/>
      <sheetName val="[Spt-BH.xls]B___x005f_x0000__x000_100"/>
      <sheetName val="[Spt-BH.xls][Spt-BH.xls]B__1474"/>
      <sheetName val="[Spt-BH.xls][Spt-BH_xls]B___779"/>
      <sheetName val="[Spt-BH.xls][Spt-BH_xls]B___780"/>
      <sheetName val="[Spt-BH.xls][Spt-BH_xls]B___781"/>
      <sheetName val="[Spt-BH.xls][Spt-BH_xls]B___782"/>
      <sheetName val="[Spt-BH.xls][Spt-BH_xls]_Sp_226"/>
      <sheetName val="[Spt-BH.xls][Spt-BH_xls]B___783"/>
      <sheetName val="[Spt-BH.xls][Spt-BH_xls]B___784"/>
      <sheetName val="[Spt-BH.xls][Spt-BH_xls]B___785"/>
      <sheetName val="[Spt-BH.xls][Spt-BH_xls]_Sp_227"/>
      <sheetName val="[Spt-BH.xls][Spt-BH_xls]B___786"/>
      <sheetName val="[Spt-BH.xls][Spt-BH_xls]B___787"/>
      <sheetName val="[Spt-BH.xls][Spt-BH_xls]B___788"/>
      <sheetName val="[Spt-BH.xls][Spt-BH_xls]B___789"/>
      <sheetName val="[Spt-BH.xls][Spt-BH_xls]_Sp_228"/>
      <sheetName val="B@__x0004_@_x0000"/>
      <sheetName val="B@__x0004_@__$_x0"/>
      <sheetName val="[Spt-BH.xls][Spt-BH.xls]B@[_x0004_@"/>
      <sheetName val="B@__x0004_@_"/>
      <sheetName val="SàQa_x0005_@_x000"/>
      <sheetName val="_Spt-BH.xls_B@__x0004_@_"/>
      <sheetName val="B@__x0"/>
      <sheetName val="B@[_x0004_@_x0000"/>
      <sheetName val="[Spt-BH.xls][Spt-BH.xls]B__1482"/>
      <sheetName val="[Spt-BH.xls][Spt-BH.xls]B__1483"/>
      <sheetName val="[Spt-BH.xls][Spt-BH.xls]_Sp_458"/>
      <sheetName val="[Spt-BH.xls][Spt-BH.xls]B__1484"/>
      <sheetName val="[Spt-BH.xls][Spt-BH.xls]B__1485"/>
      <sheetName val="[Spt-BH.xls][Spt-BH.xls]B__1486"/>
      <sheetName val="[Spt-BH.xls]B____x005f_x0004______101"/>
      <sheetName val="[Spt-BH.xls]B___x005f_x0000__x000_101"/>
      <sheetName val="[Spt-BH.xls][Spt-BH.xls]B__1487"/>
      <sheetName val="[Spt-BH.xls][Spt-BH.xls]B__1481"/>
      <sheetName val="[Spt-BH.xls][Spt-BH.xls]_Sp_457"/>
      <sheetName val="[Spt-BH.xls][Spt-BH_xls]B___790"/>
      <sheetName val="[Spt-BH.xls][Spt-BH_xls]B___791"/>
      <sheetName val="[Spt-BH.xls][Spt-BH_xls]B___792"/>
      <sheetName val="[Spt-BH.xls][Spt-BH_xls]B___793"/>
      <sheetName val="[Spt-BH.xls][Spt-BH_xls]_Sp_229"/>
      <sheetName val="[Spt-BH.xls][Spt-BH_xls]B___794"/>
      <sheetName val="[Spt-BH.xls][Spt-BH_xls]B___795"/>
      <sheetName val="[Spt-BH.xls][Spt-BH_xls]B___796"/>
      <sheetName val="[Spt-BH.xls][Spt-BH_xls]_Sp_230"/>
      <sheetName val="[Spt-BH.xls][Spt-BH_xls]B___797"/>
      <sheetName val="[Spt-BH.xls][Spt-BH_xls]B___798"/>
      <sheetName val="[Spt-BH.xls][Spt-BH_xls]B___799"/>
      <sheetName val="[Spt-BH.xls][Spt-BH_xls]B___800"/>
      <sheetName val="[Spt-BH.xls][Spt-BH_xls]_Sp_231"/>
      <sheetName val="[Spt-BH.xls][Spt-BH.xls]B__1494"/>
      <sheetName val="[Spt-BH.xls][Spt-BH.xls]B__1495"/>
      <sheetName val="[Spt-BH.xls][Spt-BH.xls]B__1488"/>
      <sheetName val="[Spt-BH.xls][Spt-BH.xls]B__1489"/>
      <sheetName val="[Spt-BH.xls][Spt-BH.xls]_Sp_460"/>
      <sheetName val="[Spt-BH.xls][Spt-BH.xls]B__1496"/>
      <sheetName val="[Spt-BH.xls][Spt-BH.xls]B__1497"/>
      <sheetName val="[Spt-BH.xls][Spt-BH.xls]B__1498"/>
      <sheetName val="[Spt-BH.xls][Spt-BH.xls]_Sp_459"/>
      <sheetName val="[Spt-BH.xls][Spt-BH.xls]B__1490"/>
      <sheetName val="[Spt-BH.xls][Spt-BH.xls]B__1491"/>
      <sheetName val="[Spt-BH.xls][Spt-BH.xls]B__1492"/>
      <sheetName val="[Spt-BH.xls]B____x005f_x0004______102"/>
      <sheetName val="[Spt-BH.xls]B___x005f_x0000__x000_102"/>
      <sheetName val="[Spt-BH.xls][Spt-BH.xls]B__1499"/>
      <sheetName val="[Spt-BH.xls][Spt-BH.xls]B__1493"/>
      <sheetName val="[Spt-BH.xls][Spt-BH.xls]B__1581"/>
      <sheetName val="[Spt-BH.xls][Spt-BH.xls]B__1582"/>
      <sheetName val="[Spt-BH.xls][Spt-BH.xls]B__1574"/>
      <sheetName val="[Spt-BH.xls][Spt-BH.xls]B__1575"/>
      <sheetName val="[Spt-BH.xls][Spt-BH.xls]_Sp_500"/>
      <sheetName val="[Spt-BH.xls][Spt-BH.xls]B__1583"/>
      <sheetName val="[Spt-BH.xls][Spt-BH.xls]B__1584"/>
      <sheetName val="[Spt-BH.xls][Spt-BH.xls]B__1585"/>
      <sheetName val="[Spt-BH.xls][Spt-BH.xls]_Sp_496"/>
      <sheetName val="[Spt-BH.xls][Spt-BH.xls]_Sp_498"/>
      <sheetName val="[Spt-BH.xls][Spt-BH.xls]B__1576"/>
      <sheetName val="[Spt-BH.xls][Spt-BH.xls]B__1577"/>
      <sheetName val="[Spt-BH.xls][Spt-BH.xls]B__1578"/>
      <sheetName val="[Spt-BH.xls]B____x005f_x0004______107"/>
      <sheetName val="[Spt-BH.xls]B___x005f_x0000__x000_107"/>
      <sheetName val="[Spt-BH.xls][Spt-BH.xls]B__1586"/>
      <sheetName val="[Spt-BH.xls][Spt-BH.xls]B__1579"/>
      <sheetName val="[Spt-BH.xls][Spt-BH.xls]_Sp_497"/>
      <sheetName val="[Spt-BH.xls][Spt-BH.xls]B__1580"/>
      <sheetName val="[Spt-BH.xls][Spt-BH.xls]_Sp_499"/>
      <sheetName val="[Spt-BH.xls][Spt-BH_xls]B___834"/>
      <sheetName val="[Spt-BH.xls][Spt-BH_xls]B___835"/>
      <sheetName val="[Spt-BH.xls][Spt-BH_xls]B___836"/>
      <sheetName val="[Spt-BH.xls][Spt-BH_xls]B___837"/>
      <sheetName val="[Spt-BH.xls][Spt-BH_xls]_Sp_241"/>
      <sheetName val="[Spt-BH.xls][Spt-BH_xls]B___838"/>
      <sheetName val="[Spt-BH.xls][Spt-BH_xls]B___839"/>
      <sheetName val="[Spt-BH.xls][Spt-BH_xls]B___840"/>
      <sheetName val="[Spt-BH.xls][Spt-BH_xls]_Sp_242"/>
      <sheetName val="[Spt-BH.xls][Spt-BH_xls]B___841"/>
      <sheetName val="[Spt-BH.xls][Spt-BH_xls]B___842"/>
      <sheetName val="[Spt-BH.xls][Spt-BH_xls]B___843"/>
      <sheetName val="[Spt-BH.xls][Spt-BH_xls]B___844"/>
      <sheetName val="[Spt-BH.xls][Spt-BH_xls]_Sp_243"/>
      <sheetName val="[Spt-BH.xls][Spt-BH.xls]_Sp_486"/>
      <sheetName val="[Spt-BH.xls][Spt-BH.xls]B__1562"/>
      <sheetName val="[Spt-BH.xls][Spt-BH.xls]B__1563"/>
      <sheetName val="[Spt-BH.xls][Spt-BH.xls]_Sp_488"/>
      <sheetName val="[Spt-BH.xls][Spt-BH.xls]B__1564"/>
      <sheetName val="[Spt-BH.xls][Spt-BH.xls]B__1565"/>
      <sheetName val="[Spt-BH.xls][Spt-BH.xls]B__1566"/>
      <sheetName val="[Spt-BH.xls][Spt-BH.xls]B__1567"/>
      <sheetName val="[Spt-BH.xls][Spt-BH.xls]_Sp_487"/>
      <sheetName val="[Spt-BH.xls][Spt-BH.xls]B__1556"/>
      <sheetName val="[Spt-BH.xls][Spt-BH.xls]B__1557"/>
      <sheetName val="[Spt-BH.xls][Spt-BH.xls]B__1506"/>
      <sheetName val="[Spt-BH.xls][Spt-BH.xls]B__1507"/>
      <sheetName val="[Spt-BH.xls][Spt-BH.xls]B__1558"/>
      <sheetName val="[Spt-BH.xls][Spt-BH.xls]B__1559"/>
      <sheetName val="[Spt-BH.xls][Spt-BH.xls]B__1560"/>
      <sheetName val="[Spt-BH.xls][Spt-BH.xls]_Sp_465"/>
      <sheetName val="[Spt-BH.xls][Spt-BH.xls]_Sp_484"/>
      <sheetName val="[Spt-BH.xls][Spt-BH.xls]B__1508"/>
      <sheetName val="[Spt-BH.xls][Spt-BH.xls]B__1509"/>
      <sheetName val="[Spt-BH.xls][Spt-BH.xls]B__1510"/>
      <sheetName val="[Spt-BH.xls]B____x005f_x0004______103"/>
      <sheetName val="[Spt-BH.xls]B___x005f_x0000__x000_103"/>
      <sheetName val="[Spt-BH.xls][Spt-BH.xls]B__1561"/>
      <sheetName val="[Spt-BH.xls][Spt-BH.xls]B__1511"/>
      <sheetName val="[Spt-BH.xls][Spt-BH.xls]_Sp_461"/>
      <sheetName val="[Spt-BH.xls][Spt-BH.xls]B__1500"/>
      <sheetName val="[Spt-BH.xls][Spt-BH.xls]B__1501"/>
      <sheetName val="[Spt-BH.xls][Spt-BH.xls]_Sp_462"/>
      <sheetName val="[Spt-BH.xls][Spt-BH.xls]B__1502"/>
      <sheetName val="[Spt-BH.xls][Spt-BH.xls]B__1503"/>
      <sheetName val="[Spt-BH.xls][Spt-BH.xls]B__1504"/>
      <sheetName val="[Spt-BH.xls][Spt-BH.xls]B__1505"/>
      <sheetName val="[Spt-BH.xls][Spt-BH.xls]_Sp_463"/>
      <sheetName val="[Spt-BH.xls][Spt-BH.xls]_Sp_464"/>
      <sheetName val="[Spt-BH.xls][Spt-BH.xls]_Sp_480"/>
      <sheetName val="[Spt-BH.xls][Spt-BH.xls]B__1512"/>
      <sheetName val="[Spt-BH.xls][Spt-BH.xls]B__1513"/>
      <sheetName val="[Spt-BH.xls][Spt-BH.xls]_Sp_471"/>
      <sheetName val="[Spt-BH.xls][Spt-BH.xls]B__1514"/>
      <sheetName val="[Spt-BH.xls][Spt-BH.xls]B__1515"/>
      <sheetName val="[Spt-BH.xls][Spt-BH.xls]B__1516"/>
      <sheetName val="[Spt-BH.xls][Spt-BH.xls]_Sp_466"/>
      <sheetName val="[Spt-BH.xls][Spt-BH.xls]B__1517"/>
      <sheetName val="[Spt-BH.xls][Spt-BH.xls]B__1524"/>
      <sheetName val="[Spt-BH.xls][Spt-BH.xls]B__1525"/>
      <sheetName val="[Spt-BH.xls][Spt-BH.xls]_Sp_473"/>
      <sheetName val="[Spt-BH.xls][Spt-BH.xls]B__1526"/>
      <sheetName val="[Spt-BH.xls][Spt-BH.xls]B__1527"/>
      <sheetName val="[Spt-BH.xls][Spt-BH.xls]B__1528"/>
      <sheetName val="[Spt-BH.xls][Spt-BH.xls]B__1529"/>
      <sheetName val="[Spt-BH.xls][Spt-BH.xls]_Sp_472"/>
      <sheetName val="[Spt-BH.xls][Spt-BH.xls]B__1531"/>
      <sheetName val="[Spt-BH.xls][Spt-BH.xls]B__1532"/>
      <sheetName val="[Spt-BH.xls][Spt-BH.xls]_Sp_475"/>
      <sheetName val="[Spt-BH.xls][Spt-BH.xls]B__1533"/>
      <sheetName val="[Spt-BH.xls][Spt-BH.xls]B__1534"/>
      <sheetName val="[Spt-BH.xls][Spt-BH.xls]B__1535"/>
      <sheetName val="[Spt-BH.xls]B____x005f_x0004______105"/>
      <sheetName val="[Spt-BH.xls]B___x005f_x0000__x000_105"/>
      <sheetName val="[Spt-BH.xls][Spt-BH.xls]B__1536"/>
      <sheetName val="[Spt-BH.xls][Spt-BH.xls]B__1530"/>
      <sheetName val="[Spt-BH.xls][Spt-BH.xls]_Sp_474"/>
      <sheetName val="[Spt-BH.xls][Spt-BH_xls]B___812"/>
      <sheetName val="[Spt-BH.xls][Spt-BH_xls]B___813"/>
      <sheetName val="[Spt-BH.xls][Spt-BH_xls]B___814"/>
      <sheetName val="[Spt-BH.xls][Spt-BH_xls]B___815"/>
      <sheetName val="[Spt-BH.xls][Spt-BH_xls]_Sp_235"/>
      <sheetName val="[Spt-BH.xls][Spt-BH_xls]B___816"/>
      <sheetName val="[Spt-BH.xls][Spt-BH_xls]B___817"/>
      <sheetName val="[Spt-BH.xls][Spt-BH_xls]B___818"/>
      <sheetName val="[Spt-BH.xls][Spt-BH_xls]_Sp_236"/>
      <sheetName val="[Spt-BH.xls][Spt-BH_xls]B___819"/>
      <sheetName val="[Spt-BH.xls][Spt-BH_xls]B___820"/>
      <sheetName val="[Spt-BH.xls][Spt-BH_xls]B___821"/>
      <sheetName val="[Spt-BH.xls][Spt-BH_xls]B___822"/>
      <sheetName val="[Spt-BH.xls][Spt-BH_xls]_Sp_237"/>
      <sheetName val="[Spt-BH.xls][Spt-BH_xls]B___801"/>
      <sheetName val="[Spt-BH.xls][Spt-BH_xls]B___802"/>
      <sheetName val="[Spt-BH.xls][Spt-BH_xls]B___803"/>
      <sheetName val="[Spt-BH.xls][Spt-BH_xls]B___804"/>
      <sheetName val="[Spt-BH.xls][Spt-BH_xls]_Sp_232"/>
      <sheetName val="[Spt-BH.xls][Spt-BH_xls]B___805"/>
      <sheetName val="[Spt-BH.xls][Spt-BH_xls]B___806"/>
      <sheetName val="[Spt-BH.xls][Spt-BH_xls]B___807"/>
      <sheetName val="[Spt-BH.xls][Spt-BH_xls]_Sp_233"/>
      <sheetName val="[Spt-BH.xls][Spt-BH_xls]B___808"/>
      <sheetName val="[Spt-BH.xls][Spt-BH_xls]B___809"/>
      <sheetName val="[Spt-BH.xls][Spt-BH_xls]B___810"/>
      <sheetName val="[Spt-BH.xls][Spt-BH_xls]B___811"/>
      <sheetName val="[Spt-BH.xls][Spt-BH_xls]_Sp_234"/>
      <sheetName val="[Spt-BH.xls][Spt-BH.xls]_Sp_467"/>
      <sheetName val="[Spt-BH.xls][Spt-BH.xls]B__1518"/>
      <sheetName val="[Spt-BH.xls][Spt-BH.xls]B__1519"/>
      <sheetName val="[Spt-BH.xls][Spt-BH.xls]_Sp_470"/>
      <sheetName val="[Spt-BH.xls][Spt-BH.xls]B__1520"/>
      <sheetName val="[Spt-BH.xls][Spt-BH.xls]B__1521"/>
      <sheetName val="[Spt-BH.xls][Spt-BH.xls]B__1522"/>
      <sheetName val="[Spt-BH.xls][Spt-BH.xls]_Sp_469"/>
      <sheetName val="[Spt-BH.xls]B____x005f_x0004______104"/>
      <sheetName val="[Spt-BH.xls]B___x005f_x0000__x000_104"/>
      <sheetName val="[Spt-BH.xls][Spt-BH.xls]B__1523"/>
      <sheetName val="[Spt-BH.xls][Spt-BH.xls]_Sp_468"/>
      <sheetName val="[Spt-BH.xls][Spt-BH.xls]_Sp_476"/>
      <sheetName val="[Spt-BH.xls][Spt-BH.xls]_Sp_477"/>
      <sheetName val="[Spt-BH.xls][Spt-BH.xls]B__1537"/>
      <sheetName val="[Spt-BH.xls][Spt-BH.xls]B__1538"/>
      <sheetName val="[Spt-BH.xls][Spt-BH.xls]B__1539"/>
      <sheetName val="[Spt-BH.xls][Spt-BH.xls]B__1540"/>
      <sheetName val="[Spt-BH.xls][Spt-BH.xls]B__1541"/>
      <sheetName val="[Spt-BH.xls][Spt-BH.xls]_Sp_478"/>
      <sheetName val="[Spt-BH.xls][Spt-BH.xls]B__1542"/>
      <sheetName val="[Spt-BH.xls][Spt-BH.xls]_Sp_479"/>
      <sheetName val="[Spt-BH.xls][Spt-BH.xls]B__1544"/>
      <sheetName val="[Spt-BH.xls][Spt-BH.xls]B__1545"/>
      <sheetName val="[Spt-BH.xls][Spt-BH.xls]B__1546"/>
      <sheetName val="[Spt-BH.xls][Spt-BH.xls]B__1547"/>
      <sheetName val="[Spt-BH.xls][Spt-BH.xls]B__1548"/>
      <sheetName val="[Spt-BH.xls]B____x005f_x0004______106"/>
      <sheetName val="[Spt-BH.xls]B___x005f_x0000__x000_106"/>
      <sheetName val="[Spt-BH.xls][Spt-BH.xls]B__1549"/>
      <sheetName val="[Spt-BH.xls][Spt-BH.xls]B__1543"/>
      <sheetName val="[Spt-BH.xls][Spt-BH.xls]_Sp_481"/>
      <sheetName val="[Spt-BH.xls][Spt-BH_xls]B___823"/>
      <sheetName val="[Spt-BH.xls][Spt-BH_xls]B___824"/>
      <sheetName val="[Spt-BH.xls][Spt-BH_xls]B___825"/>
      <sheetName val="[Spt-BH.xls][Spt-BH_xls]B___826"/>
      <sheetName val="[Spt-BH.xls][Spt-BH_xls]_Sp_238"/>
      <sheetName val="[Spt-BH.xls][Spt-BH_xls]B___827"/>
      <sheetName val="[Spt-BH.xls][Spt-BH_xls]B___828"/>
      <sheetName val="[Spt-BH.xls][Spt-BH_xls]B___829"/>
      <sheetName val="[Spt-BH.xls][Spt-BH_xls]_Sp_239"/>
      <sheetName val="[Spt-BH.xls][Spt-BH_xls]B___830"/>
      <sheetName val="[Spt-BH.xls][Spt-BH_xls]B___831"/>
      <sheetName val="[Spt-BH.xls][Spt-BH_xls]B___832"/>
      <sheetName val="[Spt-BH.xls][Spt-BH_xls]B___833"/>
      <sheetName val="[Spt-BH.xls][Spt-BH_xls]_Sp_240"/>
      <sheetName val="[Spt-BH.xls][Spt-BH.xls]_Sp_485"/>
      <sheetName val="[Spt-BH.xls][Spt-BH.xls]B__1550"/>
      <sheetName val="[Spt-BH.xls][Spt-BH.xls]B__1551"/>
      <sheetName val="[Spt-BH.xls][Spt-BH.xls]B__1552"/>
      <sheetName val="[Spt-BH.xls][Spt-BH.xls]B__1553"/>
      <sheetName val="[Spt-BH.xls][Spt-BH.xls]B__1554"/>
      <sheetName val="[Spt-BH.xls][Spt-BH.xls]_Sp_482"/>
      <sheetName val="[Spt-BH.xls][Spt-BH.xls]B__1555"/>
      <sheetName val="[Spt-BH.xls][Spt-BH.xls]_Sp_483"/>
      <sheetName val="[Spt-BH.xls][Spt-BH.xls]_Sp_489"/>
      <sheetName val="[Spt-BH.xls][Spt-BH.xls]_Sp_495"/>
      <sheetName val="[Spt-BH.xls][Spt-BH.xls]_Sp_490"/>
      <sheetName val="[Spt-BH.xls][Spt-BH.xls]_Sp_491"/>
      <sheetName val="[Spt-BH.xls][Spt-BH.xls]B__1568"/>
      <sheetName val="[Spt-BH.xls][Spt-BH.xls]B__1569"/>
      <sheetName val="[Spt-BH.xls][Spt-BH.xls]_Sp_493"/>
      <sheetName val="[Spt-BH.xls][Spt-BH.xls]B__1570"/>
      <sheetName val="[Spt-BH.xls][Spt-BH.xls]B__1571"/>
      <sheetName val="[Spt-BH.xls][Spt-BH.xls]B__1572"/>
      <sheetName val="[Spt-BH.xls][Spt-BH.xls]B__1573"/>
      <sheetName val="[Spt-BH.xls][Spt-BH.xls]_Sp_492"/>
      <sheetName val="[Spt-BH.xls][Spt-BH.xls]_Sp_494"/>
      <sheetName val="[Spt-BH.xls][Spt-BH_xls]B___845"/>
      <sheetName val="[Spt-BH.xls][Spt-BH_xls]B___846"/>
      <sheetName val="[Spt-BH.xls][Spt-BH_xls]B___847"/>
      <sheetName val="[Spt-BH.xls][Spt-BH_xls]B___848"/>
      <sheetName val="[Spt-BH.xls][Spt-BH_xls]_Sp_244"/>
      <sheetName val="[Spt-BH.xls][Spt-BH_xls]B___849"/>
      <sheetName val="[Spt-BH.xls][Spt-BH_xls]B___850"/>
      <sheetName val="[Spt-BH.xls][Spt-BH_xls]B___851"/>
      <sheetName val="[Spt-BH.xls][Spt-BH_xls]_Sp_245"/>
      <sheetName val="[Spt-BH.xls][Spt-BH_xls]B___852"/>
      <sheetName val="[Spt-BH.xls][Spt-BH_xls]B___853"/>
      <sheetName val="[Spt-BH.xls][Spt-BH_xls]B___854"/>
      <sheetName val="[Spt-BH.xls][Spt-BH_xls]B___855"/>
      <sheetName val="[Spt-BH.xls][Spt-BH_xls]_Sp_246"/>
      <sheetName val="[Spt-BH.xls]B____x005f_x0004______108"/>
      <sheetName val="[Spt-BH.xls]B___x005f_x0000__x000_108"/>
      <sheetName val="[Spt-BH.xls][Spt-BH.xls]_Sp_501"/>
      <sheetName val="[Spt-BH.xls][Spt-BH.xls]B__1595"/>
      <sheetName val="[Spt-BH.xls][Spt-BH.xls]B__1596"/>
      <sheetName val="[Spt-BH.xls][Spt-BH.xls]B__1588"/>
      <sheetName val="[Spt-BH.xls][Spt-BH.xls]B__1589"/>
      <sheetName val="[Spt-BH.xls][Spt-BH.xls]_Sp_506"/>
      <sheetName val="[Spt-BH.xls][Spt-BH.xls]B__1597"/>
      <sheetName val="[Spt-BH.xls][Spt-BH.xls]B__1598"/>
      <sheetName val="[Spt-BH.xls][Spt-BH.xls]B__1599"/>
      <sheetName val="[Spt-BH.xls][Spt-BH.xls]_Sp_502"/>
      <sheetName val="[Spt-BH.xls][Spt-BH.xls]_Sp_504"/>
      <sheetName val="[Spt-BH.xls][Spt-BH.xls]B__1590"/>
      <sheetName val="[Spt-BH.xls][Spt-BH.xls]B__1591"/>
      <sheetName val="[Spt-BH.xls][Spt-BH.xls]B__1592"/>
      <sheetName val="[Spt-BH.xls]B____x005f_x0004______109"/>
      <sheetName val="[Spt-BH.xls]B___x005f_x0000__x000_109"/>
      <sheetName val="[Spt-BH.xls][Spt-BH.xls]B__1600"/>
      <sheetName val="[Spt-BH.xls][Spt-BH.xls]B__1593"/>
      <sheetName val="[Spt-BH.xls][Spt-BH.xls]_Sp_503"/>
      <sheetName val="[Spt-BH.xls][Spt-BH.xls]B__1594"/>
      <sheetName val="[Spt-BH.xls][Spt-BH.xls]_Sp_505"/>
      <sheetName val="[Spt-BH.xls][Spt-BH_xls]B___856"/>
      <sheetName val="[Spt-BH.xls][Spt-BH_xls]B___857"/>
      <sheetName val="[Spt-BH.xls][Spt-BH_xls]B___858"/>
      <sheetName val="[Spt-BH.xls][Spt-BH_xls]B___859"/>
      <sheetName val="[Spt-BH.xls][Spt-BH_xls]_Sp_247"/>
      <sheetName val="[Spt-BH.xls][Spt-BH_xls]B___860"/>
      <sheetName val="[Spt-BH.xls][Spt-BH_xls]B___861"/>
      <sheetName val="[Spt-BH.xls][Spt-BH_xls]B___862"/>
      <sheetName val="[Spt-BH.xls][Spt-BH_xls]_Sp_248"/>
      <sheetName val="[Spt-BH.xls][Spt-BH_xls]B___863"/>
      <sheetName val="[Spt-BH.xls][Spt-BH_xls]B___864"/>
      <sheetName val="[Spt-BH.xls][Spt-BH_xls]B___865"/>
      <sheetName val="[Spt-BH.xls][Spt-BH_xls]B___866"/>
      <sheetName val="[Spt-BH.xls][Spt-BH_xls]_Sp_249"/>
      <sheetName val="[Spt-BH.xls][Spt-BH.xls]B__1587"/>
      <sheetName val="[Spt-BH.xls][Spt-BH.xls]_Sp_507"/>
      <sheetName val="[Spt-BH.xls][Spt-BH.xls]_Sp_509"/>
      <sheetName val="[Spt-BH.xls][Spt-BH.xls]_Sp_508"/>
      <sheetName val="[Spt-BH.xls][Spt-BH.xls]B__1608"/>
      <sheetName val="[Spt-BH.xls][Spt-BH.xls]B__1609"/>
      <sheetName val="[Spt-BH.xls][Spt-BH.xls]B__1601"/>
      <sheetName val="[Spt-BH.xls][Spt-BH.xls]B__1602"/>
      <sheetName val="[Spt-BH.xls][Spt-BH.xls]_Sp_512"/>
      <sheetName val="[Spt-BH.xls][Spt-BH.xls]B__1610"/>
      <sheetName val="[Spt-BH.xls][Spt-BH.xls]B__1611"/>
      <sheetName val="[Spt-BH.xls][Spt-BH.xls]B__1612"/>
      <sheetName val="[Spt-BH.xls][Spt-BH.xls]_Sp_510"/>
      <sheetName val="[Spt-BH.xls][Spt-BH.xls]B__1603"/>
      <sheetName val="[Spt-BH.xls][Spt-BH.xls]B__1604"/>
      <sheetName val="[Spt-BH.xls][Spt-BH.xls]B__1605"/>
      <sheetName val="[Spt-BH.xls]B____x005f_x0004______110"/>
      <sheetName val="[Spt-BH.xls]B___x005f_x0000__x000_110"/>
      <sheetName val="[Spt-BH.xls][Spt-BH.xls]B__1613"/>
      <sheetName val="[Spt-BH.xls][Spt-BH.xls]B__1606"/>
      <sheetName val="[Spt-BH.xls][Spt-BH.xls]B__1607"/>
      <sheetName val="[Spt-BH.xls][Spt-BH.xls]_Sp_511"/>
      <sheetName val="[Spt-BH.xls][Spt-BH_xls]B___867"/>
      <sheetName val="[Spt-BH.xls][Spt-BH_xls]B___868"/>
      <sheetName val="[Spt-BH.xls][Spt-BH_xls]B___869"/>
      <sheetName val="[Spt-BH.xls][Spt-BH_xls]B___870"/>
      <sheetName val="[Spt-BH.xls][Spt-BH_xls]_Sp_250"/>
      <sheetName val="[Spt-BH.xls][Spt-BH_xls]B___871"/>
      <sheetName val="[Spt-BH.xls][Spt-BH_xls]B___872"/>
      <sheetName val="[Spt-BH.xls][Spt-BH_xls]B___873"/>
      <sheetName val="[Spt-BH.xls][Spt-BH_xls]_Sp_251"/>
      <sheetName val="[Spt-BH.xls][Spt-BH_xls]B___874"/>
      <sheetName val="[Spt-BH.xls][Spt-BH_xls]B___875"/>
      <sheetName val="[Spt-BH.xls][Spt-BH_xls]B___876"/>
      <sheetName val="[Spt-BH.xls][Spt-BH_xls]B___877"/>
      <sheetName val="[Spt-BH.xls][Spt-BH_xls]_Sp_252"/>
      <sheetName val="[Spt-BH.xls][Spt-BH.xls]B__1620"/>
      <sheetName val="[Spt-BH.xls][Spt-BH.xls]B__1621"/>
      <sheetName val="[Spt-BH.xls][Spt-BH.xls]_Sp_514"/>
      <sheetName val="[Spt-BH.xls][Spt-BH.xls]B__1622"/>
      <sheetName val="[Spt-BH.xls][Spt-BH.xls]B__1623"/>
      <sheetName val="[Spt-BH.xls][Spt-BH.xls]B__1624"/>
      <sheetName val="[Spt-BH.xls][Spt-BH.xls]_Sp_513"/>
      <sheetName val="[Spt-BH.xls][Spt-BH.xls]B__1625"/>
      <sheetName val="[Spt-BH.xls][Spt-BH.xls]B__1626"/>
      <sheetName val="[Spt-BH.xls][Spt-BH.xls]B__1627"/>
      <sheetName val="[Spt-BH.xls][Spt-BH.xls]_Sp_517"/>
      <sheetName val="[Spt-BH.xls][Spt-BH.xls]B__1628"/>
      <sheetName val="[Spt-BH.xls][Spt-BH.xls]B__1629"/>
      <sheetName val="[Spt-BH.xls][Spt-BH.xls]B__1630"/>
      <sheetName val="[Spt-BH.xls]B____x005f_x0004______112"/>
      <sheetName val="[Spt-BH.xls]B___x005f_x0000__x000_112"/>
      <sheetName val="[Spt-BH.xls][Spt-BH.xls]B__1631"/>
      <sheetName val="[Spt-BH.xls][Spt-BH.xls]B__1614"/>
      <sheetName val="[Spt-BH.xls][Spt-BH.xls]B__1615"/>
      <sheetName val="[Spt-BH.xls][Spt-BH.xls]B__1616"/>
      <sheetName val="[Spt-BH.xls][Spt-BH.xls]B__1617"/>
      <sheetName val="[Spt-BH.xls][Spt-BH.xls]B__1618"/>
      <sheetName val="[Spt-BH.xls][Spt-BH.xls]B__1619"/>
      <sheetName val="[Spt-BH.xls]B____x005f_x0004______111"/>
      <sheetName val="[Spt-BH.xls]B___x005f_x0000__x000_111"/>
      <sheetName val="[Spt-BH.xls][Spt-BH_xls]B___889"/>
      <sheetName val="[Spt-BH.xls][Spt-BH_xls]B___890"/>
      <sheetName val="[Spt-BH.xls][Spt-BH_xls]B___891"/>
      <sheetName val="[Spt-BH.xls][Spt-BH_xls]B___892"/>
      <sheetName val="[Spt-BH.xls][Spt-BH_xls]_Sp_256"/>
      <sheetName val="[Spt-BH.xls][Spt-BH_xls]B___893"/>
      <sheetName val="[Spt-BH.xls][Spt-BH_xls]B___894"/>
      <sheetName val="[Spt-BH.xls][Spt-BH_xls]B___895"/>
      <sheetName val="[Spt-BH.xls][Spt-BH_xls]_Sp_257"/>
      <sheetName val="[Spt-BH.xls][Spt-BH_xls]B___896"/>
      <sheetName val="[Spt-BH.xls][Spt-BH_xls]B___897"/>
      <sheetName val="[Spt-BH.xls][Spt-BH_xls]B___898"/>
      <sheetName val="[Spt-BH.xls][Spt-BH_xls]B___899"/>
      <sheetName val="[Spt-BH.xls][Spt-BH_xls]_Sp_258"/>
      <sheetName val="[Spt-BH.xls][Spt-BH_xls]B___878"/>
      <sheetName val="[Spt-BH.xls][Spt-BH_xls]B___879"/>
      <sheetName val="[Spt-BH.xls][Spt-BH_xls]B___880"/>
      <sheetName val="[Spt-BH.xls][Spt-BH_xls]B___881"/>
      <sheetName val="[Spt-BH.xls][Spt-BH_xls]_Sp_253"/>
      <sheetName val="[Spt-BH.xls][Spt-BH_xls]B___882"/>
      <sheetName val="[Spt-BH.xls][Spt-BH_xls]B___883"/>
      <sheetName val="[Spt-BH.xls][Spt-BH_xls]B___884"/>
      <sheetName val="[Spt-BH.xls][Spt-BH_xls]_Sp_254"/>
      <sheetName val="[Spt-BH.xls][Spt-BH_xls]B___885"/>
      <sheetName val="[Spt-BH.xls][Spt-BH_xls]B___886"/>
      <sheetName val="[Spt-BH.xls][Spt-BH_xls]B___887"/>
      <sheetName val="[Spt-BH.xls][Spt-BH_xls]B___888"/>
      <sheetName val="[Spt-BH.xls][Spt-BH_xls]_Sp_255"/>
      <sheetName val="[Spt-BH.xls][Spt-BH.xls]_Sp_515"/>
      <sheetName val="[Spt-BH.xls][Spt-BH.xls]_Sp_516"/>
      <sheetName val="[Spt-BH.xls][Spt-BH.xls]_Sp_522"/>
      <sheetName val="[Spt-BH.xls][Spt-BH.xls]_Sp_520"/>
      <sheetName val="[Spt-BH.xls][Spt-BH.xls]B__1673"/>
      <sheetName val="[Spt-BH.xls][Spt-BH.xls]_Sp_521"/>
      <sheetName val="[Spt-BH.xls][Spt-BH.xls]B__1674"/>
      <sheetName val="[Spt-BH.xls][Spt-BH.xls]B__1675"/>
      <sheetName val="[Spt-BH.xls][Spt-BH.xls]B__1676"/>
      <sheetName val="[Spt-BH.xls][Spt-BH.xls]B__1677"/>
      <sheetName val="[Spt-BH.xls][Spt-BH.xls]B__1678"/>
      <sheetName val="[Spt-BH.xls][Spt-BH.xls]B__1667"/>
      <sheetName val="[Spt-BH.xls][Spt-BH.xls]B__1668"/>
      <sheetName val="[Spt-BH.xls][Spt-BH.xls]B__1660"/>
      <sheetName val="[Spt-BH.xls][Spt-BH.xls]B__1661"/>
      <sheetName val="[Spt-BH.xls][Spt-BH.xls]_Sp_519"/>
      <sheetName val="[Spt-BH.xls][Spt-BH.xls]B__1669"/>
      <sheetName val="[Spt-BH.xls][Spt-BH.xls]B__1670"/>
      <sheetName val="[Spt-BH.xls][Spt-BH.xls]B__1671"/>
      <sheetName val="[Spt-BH.xls][Spt-BH.xls]B__1662"/>
      <sheetName val="[Spt-BH.xls][Spt-BH.xls]B__1663"/>
      <sheetName val="[Spt-BH.xls][Spt-BH.xls]B__1664"/>
      <sheetName val="[Spt-BH.xls]B____x005f_x0004______119"/>
      <sheetName val="[Spt-BH.xls]B___x005f_x0000__x000_119"/>
      <sheetName val="[Spt-BH.xls][Spt-BH.xls]B__1672"/>
      <sheetName val="[Spt-BH.xls][Spt-BH.xls]B__1665"/>
      <sheetName val="[Spt-BH.xls][Spt-BH.xls]B__1666"/>
      <sheetName val="[Spt-BH.xls][Spt-BH.xls]_Sp_518"/>
      <sheetName val="[Spt-BH.xls][Spt-BH_xls]B___977"/>
      <sheetName val="[Spt-BH.xls][Spt-BH_xls]B___978"/>
      <sheetName val="[Spt-BH.xls][Spt-BH_xls]B___979"/>
      <sheetName val="[Spt-BH.xls][Spt-BH_xls]B___980"/>
      <sheetName val="[Spt-BH.xls][Spt-BH_xls]_Sp_280"/>
      <sheetName val="[Spt-BH.xls][Spt-BH_xls]B___981"/>
      <sheetName val="[Spt-BH.xls][Spt-BH_xls]B___982"/>
      <sheetName val="[Spt-BH.xls][Spt-BH_xls]B___983"/>
      <sheetName val="[Spt-BH.xls][Spt-BH_xls]_Sp_281"/>
      <sheetName val="[Spt-BH.xls][Spt-BH_xls]B___984"/>
      <sheetName val="[Spt-BH.xls][Spt-BH_xls]B___985"/>
      <sheetName val="[Spt-BH.xls][Spt-BH_xls]B___986"/>
      <sheetName val="[Spt-BH.xls][Spt-BH_xls]B___987"/>
      <sheetName val="[Spt-BH.xls][Spt-BH_xls]_Sp_282"/>
      <sheetName val="[Spt-BH.xls][Spt-BH_xls]B___900"/>
      <sheetName val="[Spt-BH.xls][Spt-BH_xls]B___901"/>
      <sheetName val="[Spt-BH.xls][Spt-BH_xls]B___902"/>
      <sheetName val="[Spt-BH.xls][Spt-BH_xls]B___903"/>
      <sheetName val="[Spt-BH.xls][Spt-BH_xls]_Sp_259"/>
      <sheetName val="[Spt-BH.xls][Spt-BH_xls]B___904"/>
      <sheetName val="[Spt-BH.xls][Spt-BH_xls]B___905"/>
      <sheetName val="[Spt-BH.xls][Spt-BH_xls]B___906"/>
      <sheetName val="[Spt-BH.xls][Spt-BH_xls]_Sp_260"/>
      <sheetName val="[Spt-BH.xls][Spt-BH_xls]B___907"/>
      <sheetName val="[Spt-BH.xls][Spt-BH_xls]B___908"/>
      <sheetName val="[Spt-BH.xls][Spt-BH_xls]B___909"/>
      <sheetName val="[Spt-BH.xls][Spt-BH_xls]B___910"/>
      <sheetName val="[Spt-BH.xls][Spt-BH_xls]_Sp_261"/>
      <sheetName val="[Spt-BH.xls]B____x005f_x0004______113"/>
      <sheetName val="[Spt-BH.xls]B___x005f_x0000__x000_113"/>
      <sheetName val="[Spt-BH.xls][Spt-BH_xls]B___911"/>
      <sheetName val="[Spt-BH.xls][Spt-BH_xls]B___912"/>
      <sheetName val="[Spt-BH.xls][Spt-BH_xls]B___913"/>
      <sheetName val="[Spt-BH.xls][Spt-BH_xls]B___914"/>
      <sheetName val="[Spt-BH.xls][Spt-BH_xls]_Sp_262"/>
      <sheetName val="[Spt-BH.xls][Spt-BH_xls]B___915"/>
      <sheetName val="[Spt-BH.xls][Spt-BH_xls]B___916"/>
      <sheetName val="[Spt-BH.xls][Spt-BH_xls]B___917"/>
      <sheetName val="[Spt-BH.xls][Spt-BH_xls]_Sp_263"/>
      <sheetName val="[Spt-BH.xls][Spt-BH_xls]B___918"/>
      <sheetName val="[Spt-BH.xls][Spt-BH_xls]B___919"/>
      <sheetName val="[Spt-BH.xls][Spt-BH_xls]B___920"/>
      <sheetName val="[Spt-BH.xls][Spt-BH_xls]B___921"/>
      <sheetName val="[Spt-BH.xls][Spt-BH_xls]_Sp_264"/>
      <sheetName val="[Spt-BH.xls]B____x005f_x0004______114"/>
      <sheetName val="[Spt-BH.xls]B___x005f_x0000__x000_114"/>
      <sheetName val="[Spt-BH.xls][Spt-BH_xls]B___922"/>
      <sheetName val="[Spt-BH.xls][Spt-BH_xls]B___923"/>
      <sheetName val="[Spt-BH.xls][Spt-BH_xls]B___924"/>
      <sheetName val="[Spt-BH.xls][Spt-BH_xls]B___925"/>
      <sheetName val="[Spt-BH.xls][Spt-BH_xls]_Sp_265"/>
      <sheetName val="[Spt-BH.xls][Spt-BH_xls]B___926"/>
      <sheetName val="[Spt-BH.xls][Spt-BH_xls]B___927"/>
      <sheetName val="[Spt-BH.xls][Spt-BH_xls]B___928"/>
      <sheetName val="[Spt-BH.xls][Spt-BH_xls]_Sp_266"/>
      <sheetName val="[Spt-BH.xls][Spt-BH_xls]B___929"/>
      <sheetName val="[Spt-BH.xls][Spt-BH_xls]B___930"/>
      <sheetName val="[Spt-BH.xls][Spt-BH_xls]B___931"/>
      <sheetName val="[Spt-BH.xls][Spt-BH_xls]B___932"/>
      <sheetName val="[Spt-BH.xls][Spt-BH_xls]_Sp_267"/>
      <sheetName val="[Spt-BH.xls]B____x005f_x0004______115"/>
      <sheetName val="[Spt-BH.xls]B___x005f_x0000__x000_115"/>
      <sheetName val="[Spt-BH.xls][Spt-BH.xls]B__1632"/>
      <sheetName val="[Spt-BH.xls][Spt-BH_xls]B___933"/>
      <sheetName val="[Spt-BH.xls][Spt-BH_xls]B___934"/>
      <sheetName val="[Spt-BH.xls][Spt-BH_xls]B___935"/>
      <sheetName val="[Spt-BH.xls][Spt-BH_xls]B___936"/>
      <sheetName val="[Spt-BH.xls][Spt-BH_xls]_Sp_268"/>
      <sheetName val="[Spt-BH.xls][Spt-BH_xls]B___937"/>
      <sheetName val="[Spt-BH.xls][Spt-BH_xls]B___938"/>
      <sheetName val="[Spt-BH.xls][Spt-BH_xls]B___939"/>
      <sheetName val="[Spt-BH.xls][Spt-BH_xls]_Sp_269"/>
      <sheetName val="[Spt-BH.xls][Spt-BH_xls]B___940"/>
      <sheetName val="[Spt-BH.xls][Spt-BH_xls]B___941"/>
      <sheetName val="[Spt-BH.xls][Spt-BH_xls]B___942"/>
      <sheetName val="[Spt-BH.xls][Spt-BH_xls]B___943"/>
      <sheetName val="[Spt-BH.xls][Spt-BH_xls]_Sp_270"/>
      <sheetName val="[Spt-BH.xls][Spt-BH.xls]B__1640"/>
      <sheetName val="[Spt-BH.xls][Spt-BH.xls]B__1641"/>
      <sheetName val="[Spt-BH.xls][Spt-BH.xls]B__1642"/>
      <sheetName val="[Spt-BH.xls][Spt-BH.xls]B__1643"/>
      <sheetName val="[Spt-BH.xls][Spt-BH.xls]B__1644"/>
      <sheetName val="[Spt-BH.xls]B____x005f_x0004______116"/>
      <sheetName val="[Spt-BH.xls]B___x005f_x0000__x000_116"/>
      <sheetName val="[Spt-BH.xls][Spt-BH.xls]B__1645"/>
      <sheetName val="[Spt-BH.xls][Spt-BH.xls]B__1633"/>
      <sheetName val="[Spt-BH.xls][Spt-BH_xls]B___944"/>
      <sheetName val="[Spt-BH.xls][Spt-BH_xls]B___945"/>
      <sheetName val="[Spt-BH.xls][Spt-BH_xls]B___946"/>
      <sheetName val="[Spt-BH.xls][Spt-BH_xls]B___947"/>
      <sheetName val="[Spt-BH.xls][Spt-BH_xls]_Sp_271"/>
      <sheetName val="[Spt-BH.xls][Spt-BH_xls]B___948"/>
      <sheetName val="[Spt-BH.xls][Spt-BH_xls]B___949"/>
      <sheetName val="[Spt-BH.xls][Spt-BH_xls]B___950"/>
      <sheetName val="[Spt-BH.xls][Spt-BH_xls]_Sp_272"/>
      <sheetName val="[Spt-BH.xls][Spt-BH_xls]B___951"/>
      <sheetName val="[Spt-BH.xls][Spt-BH_xls]B___952"/>
      <sheetName val="[Spt-BH.xls][Spt-BH_xls]B___953"/>
      <sheetName val="[Spt-BH.xls][Spt-BH_xls]B___954"/>
      <sheetName val="[Spt-BH.xls][Spt-BH_xls]_Sp_273"/>
      <sheetName val="[Spt-BH.xls][Spt-BH.xls]B__1634"/>
      <sheetName val="[Spt-BH.xls][Spt-BH.xls]B__1635"/>
      <sheetName val="[Spt-BH.xls][Spt-BH.xls]B__1636"/>
      <sheetName val="[Spt-BH.xls][Spt-BH.xls]B__1637"/>
      <sheetName val="[Spt-BH.xls][Spt-BH.xls]B__1638"/>
      <sheetName val="[Spt-BH.xls][Spt-BH.xls]B__1639"/>
      <sheetName val="[Spt-BH.xls][Spt-BH.xls]B__1647"/>
      <sheetName val="[Spt-BH.xls][Spt-BH.xls]B__1648"/>
      <sheetName val="[Spt-BH.xls][Spt-BH.xls]B__1649"/>
      <sheetName val="[Spt-BH.xls][Spt-BH.xls]B__1650"/>
      <sheetName val="[Spt-BH.xls][Spt-BH.xls]B__1651"/>
      <sheetName val="[Spt-BH.xls]B____x005f_x0004______117"/>
      <sheetName val="[Spt-BH.xls]B___x005f_x0000__x000_117"/>
      <sheetName val="[Spt-BH.xls][Spt-BH.xls]B__1652"/>
      <sheetName val="[Spt-BH.xls][Spt-BH.xls]B__1646"/>
      <sheetName val="[Spt-BH.xls][Spt-BH_xls]B___955"/>
      <sheetName val="[Spt-BH.xls][Spt-BH_xls]B___956"/>
      <sheetName val="[Spt-BH.xls][Spt-BH_xls]B___957"/>
      <sheetName val="[Spt-BH.xls][Spt-BH_xls]B___958"/>
      <sheetName val="[Spt-BH.xls][Spt-BH_xls]_Sp_274"/>
      <sheetName val="[Spt-BH.xls][Spt-BH_xls]B___959"/>
      <sheetName val="[Spt-BH.xls][Spt-BH_xls]B___960"/>
      <sheetName val="[Spt-BH.xls][Spt-BH_xls]B___961"/>
      <sheetName val="[Spt-BH.xls][Spt-BH_xls]_Sp_275"/>
      <sheetName val="[Spt-BH.xls][Spt-BH_xls]B___962"/>
      <sheetName val="[Spt-BH.xls][Spt-BH_xls]B___963"/>
      <sheetName val="[Spt-BH.xls][Spt-BH_xls]B___964"/>
      <sheetName val="[Spt-BH.xls][Spt-BH_xls]B___965"/>
      <sheetName val="[Spt-BH.xls][Spt-BH_xls]_Sp_276"/>
      <sheetName val="[Spt-BH.xls][Spt-BH.xls]B__1654"/>
      <sheetName val="[Spt-BH.xls][Spt-BH.xls]B__1655"/>
      <sheetName val="[Spt-BH.xls][Spt-BH.xls]B__1656"/>
      <sheetName val="[Spt-BH.xls][Spt-BH.xls]B__1657"/>
      <sheetName val="[Spt-BH.xls][Spt-BH.xls]B__1658"/>
      <sheetName val="[Spt-BH.xls]B____x005f_x0004______118"/>
      <sheetName val="[Spt-BH.xls]B___x005f_x0000__x000_118"/>
      <sheetName val="[Spt-BH.xls][Spt-BH.xls]B__1659"/>
      <sheetName val="[Spt-BH.xls][Spt-BH.xls]B__1653"/>
      <sheetName val="[Spt-BH.xls][Spt-BH_xls]B___966"/>
      <sheetName val="[Spt-BH.xls][Spt-BH_xls]B___967"/>
      <sheetName val="[Spt-BH.xls][Spt-BH_xls]B___968"/>
      <sheetName val="[Spt-BH.xls][Spt-BH_xls]B___969"/>
      <sheetName val="[Spt-BH.xls][Spt-BH_xls]_Sp_277"/>
      <sheetName val="[Spt-BH.xls][Spt-BH_xls]B___970"/>
      <sheetName val="[Spt-BH.xls][Spt-BH_xls]B___971"/>
      <sheetName val="[Spt-BH.xls][Spt-BH_xls]B___972"/>
      <sheetName val="[Spt-BH.xls][Spt-BH_xls]_Sp_278"/>
      <sheetName val="[Spt-BH.xls][Spt-BH_xls]B___973"/>
      <sheetName val="[Spt-BH.xls][Spt-BH_xls]B___974"/>
      <sheetName val="[Spt-BH.xls][Spt-BH_xls]B___975"/>
      <sheetName val="[Spt-BH.xls][Spt-BH_xls]B___976"/>
      <sheetName val="[Spt-BH.xls][Spt-BH_xls]_Sp_279"/>
      <sheetName val="[Spt-BH.xls][Spt-BH.xls]B__1685"/>
      <sheetName val="[Spt-BH.xls][Spt-BH.xls]B__1686"/>
      <sheetName val="[Spt-BH.xls][Spt-BH.xls]_Sp_583"/>
      <sheetName val="[Spt-BH.xls][Spt-BH.xls]B__1687"/>
      <sheetName val="[Spt-BH.xls][Spt-BH.xls]B__1688"/>
      <sheetName val="[Spt-BH.xls][Spt-BH.xls]B__1689"/>
      <sheetName val="[Spt-BH.xls][Spt-BH.xls]B__1679"/>
      <sheetName val="[Spt-BH.xls][Spt-BH.xls]B__1680"/>
      <sheetName val="[Spt-BH.xls][Spt-BH.xls]B__1681"/>
      <sheetName val="[Spt-BH.xls][Spt-BH.xls]B__1682"/>
      <sheetName val="[Spt-BH.xls][Spt-BH.xls]B__1683"/>
      <sheetName val="[Spt-BH.xls]B____x005f_x0004______120"/>
      <sheetName val="[Spt-BH.xls]B___x005f_x0000__x000_120"/>
      <sheetName val="[Spt-BH.xls][Spt-BH.xls]B__1690"/>
      <sheetName val="[Spt-BH.xls][Spt-BH.xls]B__1684"/>
      <sheetName val="[Spt-BH.xls][Spt-BH.xls]B__1710"/>
      <sheetName val="[Spt-BH.xls][Spt-BH.xls]B__1711"/>
      <sheetName val="[Spt-BH.xls][Spt-BH.xls]_Sp_536"/>
      <sheetName val="[Spt-BH.xls][Spt-BH.xls]B__1712"/>
      <sheetName val="[Spt-BH.xls][Spt-BH.xls]B__1713"/>
      <sheetName val="[Spt-BH.xls][Spt-BH.xls]B__1714"/>
      <sheetName val="[Spt-BH.xls][Spt-BH.xls]_Sp_534"/>
      <sheetName val="[Spt-BH.xls][Spt-BH.xls]B__1715"/>
      <sheetName val="[Spt-BH.xls][Spt-BH.xls]_Sp_535"/>
      <sheetName val="[Spt-BH.xls][Spt-BH.xls]_Sp_524"/>
      <sheetName val="[Spt-BH.xls][Spt-BH.xls]_Sp_523"/>
      <sheetName val="[Spt-BH.xls][Spt-BH.xls]_Sp_528"/>
      <sheetName val="[Spt-BH.xls][Spt-BH.xls]_Sp_525"/>
      <sheetName val="[Spt-BH.xls][Spt-BH.xls]_Sp_532"/>
      <sheetName val="[Spt-BH.xls][Spt-BH.xls]_Sp_529"/>
      <sheetName val="[Spt-BH.xls][Spt-BH.xls]_Sp_526"/>
      <sheetName val="[Spt-BH.xls][Spt-BH.xls]_Sp_527"/>
      <sheetName val="[Spt-BH.xls][Spt-BH.xls]_Sp_530"/>
      <sheetName val="[Spt-BH.xls][Spt-BH.xls]_Sp_531"/>
      <sheetName val="[Spt-BH.xls][Spt-BH.xls]_Sp_533"/>
      <sheetName val="[Spt-BH.xls][Spt-BH.xls]B__1704"/>
      <sheetName val="[Spt-BH.xls][Spt-BH.xls]B__1705"/>
      <sheetName val="[Spt-BH.xls][Spt-BH.xls]B__1706"/>
      <sheetName val="[Spt-BH.xls][Spt-BH.xls]B__1691"/>
      <sheetName val="[Spt-BH.xls][Spt-BH.xls]B__1692"/>
      <sheetName val="[Spt-BH.xls][Spt-BH.xls]B__1693"/>
      <sheetName val="[Spt-BH.xls][Spt-BH.xls]B__1707"/>
      <sheetName val="[Spt-BH.xls][Spt-BH.xls]B__1694"/>
      <sheetName val="[Spt-BH.xls]B____x005f_x0004______121"/>
      <sheetName val="[Spt-BH.xls]B___x005f_x0000__x000_121"/>
      <sheetName val="[Spt-BH.xls][Spt-BH.xls]B__1695"/>
      <sheetName val="[Spt-BH.xls][Spt-BH_xls]B___988"/>
      <sheetName val="[Spt-BH.xls][Spt-BH_xls]B___989"/>
      <sheetName val="[Spt-BH.xls][Spt-BH_xls]B___990"/>
      <sheetName val="[Spt-BH.xls][Spt-BH_xls]B___991"/>
      <sheetName val="[Spt-BH.xls][Spt-BH_xls]_Sp_283"/>
      <sheetName val="[Spt-BH.xls][Spt-BH_xls]B___992"/>
      <sheetName val="[Spt-BH.xls][Spt-BH_xls]B___993"/>
      <sheetName val="[Spt-BH.xls][Spt-BH_xls]B___994"/>
      <sheetName val="[Spt-BH.xls][Spt-BH_xls]_Sp_284"/>
      <sheetName val="[Spt-BH.xls][Spt-BH_xls]B___995"/>
      <sheetName val="[Spt-BH.xls][Spt-BH_xls]B___996"/>
      <sheetName val="[Spt-BH.xls][Spt-BH_xls]B___997"/>
      <sheetName val="[Spt-BH.xls][Spt-BH_xls]B___998"/>
      <sheetName val="[Spt-BH.xls][Spt-BH_xls]_Sp_285"/>
      <sheetName val="[Spt-BH.xls][Spt-BH.xls]B__1708"/>
      <sheetName val="[Spt-BH.xls][Spt-BH.xls]B__1709"/>
      <sheetName val="[Spt-BH.xls][Spt-BH.xls]B__1696"/>
      <sheetName val="[Spt-BH.xls][Spt-BH.xls]B__1697"/>
      <sheetName val="[Spt-BH.xls]B____x005f_x0004______122"/>
      <sheetName val="[Spt-BH.xls]B___x005f_x0000__x000_122"/>
      <sheetName val="[Spt-BH.xls][Spt-BH_xls]B__1010"/>
      <sheetName val="[Spt-BH.xls][Spt-BH_xls]B__1011"/>
      <sheetName val="[Spt-BH.xls][Spt-BH_xls]B__1012"/>
      <sheetName val="[Spt-BH.xls][Spt-BH_xls]B__1013"/>
      <sheetName val="[Spt-BH.xls][Spt-BH_xls]_Sp_289"/>
      <sheetName val="[Spt-BH.xls][Spt-BH_xls]B__1014"/>
      <sheetName val="[Spt-BH.xls][Spt-BH_xls]B__1015"/>
      <sheetName val="[Spt-BH.xls][Spt-BH_xls]B__1016"/>
      <sheetName val="[Spt-BH.xls][Spt-BH_xls]_Sp_290"/>
      <sheetName val="[Spt-BH.xls][Spt-BH_xls]B__1017"/>
      <sheetName val="[Spt-BH.xls][Spt-BH_xls]B__1018"/>
      <sheetName val="[Spt-BH.xls][Spt-BH_xls]B__1019"/>
      <sheetName val="[Spt-BH.xls][Spt-BH_xls]B__1020"/>
      <sheetName val="[Spt-BH.xls][Spt-BH_xls]_Sp_291"/>
      <sheetName val="[Spt-BH.xls][Spt-BH_xls]B___999"/>
      <sheetName val="[Spt-BH.xls][Spt-BH_xls]B__1000"/>
      <sheetName val="[Spt-BH.xls][Spt-BH_xls]B__1001"/>
      <sheetName val="[Spt-BH.xls][Spt-BH_xls]B__1002"/>
      <sheetName val="[Spt-BH.xls][Spt-BH_xls]_Sp_286"/>
      <sheetName val="[Spt-BH.xls][Spt-BH_xls]B__1003"/>
      <sheetName val="[Spt-BH.xls][Spt-BH_xls]B__1004"/>
      <sheetName val="[Spt-BH.xls][Spt-BH_xls]B__1005"/>
      <sheetName val="[Spt-BH.xls][Spt-BH_xls]_Sp_287"/>
      <sheetName val="[Spt-BH.xls][Spt-BH_xls]B__1006"/>
      <sheetName val="[Spt-BH.xls][Spt-BH_xls]B__1007"/>
      <sheetName val="[Spt-BH.xls][Spt-BH_xls]B__1008"/>
      <sheetName val="[Spt-BH.xls][Spt-BH_xls]B__1009"/>
      <sheetName val="[Spt-BH.xls][Spt-BH_xls]_Sp_288"/>
      <sheetName val="[Spt-BH.xls]B____x005f_x0004______125"/>
      <sheetName val="[Spt-BH.xls]B___x005f_x0000__x000_125"/>
      <sheetName val="[Spt-BH.xls][Spt-BH_xls]B__1043"/>
      <sheetName val="[Spt-BH.xls][Spt-BH_xls]B__1044"/>
      <sheetName val="[Spt-BH.xls][Spt-BH_xls]B__1045"/>
      <sheetName val="[Spt-BH.xls][Spt-BH_xls]B__1046"/>
      <sheetName val="[Spt-BH.xls][Spt-BH_xls]_Sp_298"/>
      <sheetName val="[Spt-BH.xls][Spt-BH_xls]B__1047"/>
      <sheetName val="[Spt-BH.xls][Spt-BH_xls]B__1048"/>
      <sheetName val="[Spt-BH.xls][Spt-BH_xls]B__1049"/>
      <sheetName val="[Spt-BH.xls][Spt-BH_xls]_Sp_299"/>
      <sheetName val="[Spt-BH.xls][Spt-BH_xls]B__1050"/>
      <sheetName val="[Spt-BH.xls][Spt-BH_xls]B__1051"/>
      <sheetName val="[Spt-BH.xls][Spt-BH_xls]B__1052"/>
      <sheetName val="[Spt-BH.xls][Spt-BH_xls]B__1053"/>
      <sheetName val="[Spt-BH.xls][Spt-BH_xls]_Sp_300"/>
      <sheetName val="[Spt-BH.xls]B____x005f_x0004______123"/>
      <sheetName val="[Spt-BH.xls]B___x005f_x0000__x000_123"/>
      <sheetName val="[Spt-BH.xls][Spt-BH_xls]B__1021"/>
      <sheetName val="[Spt-BH.xls][Spt-BH_xls]B__1022"/>
      <sheetName val="[Spt-BH.xls][Spt-BH_xls]B__1023"/>
      <sheetName val="[Spt-BH.xls][Spt-BH_xls]B__1024"/>
      <sheetName val="[Spt-BH.xls][Spt-BH_xls]_Sp_292"/>
      <sheetName val="[Spt-BH.xls][Spt-BH_xls]B__1025"/>
      <sheetName val="[Spt-BH.xls][Spt-BH_xls]B__1026"/>
      <sheetName val="[Spt-BH.xls][Spt-BH_xls]B__1027"/>
      <sheetName val="[Spt-BH.xls][Spt-BH_xls]_Sp_293"/>
      <sheetName val="[Spt-BH.xls][Spt-BH_xls]B__1028"/>
      <sheetName val="[Spt-BH.xls][Spt-BH_xls]B__1029"/>
      <sheetName val="[Spt-BH.xls][Spt-BH_xls]B__1030"/>
      <sheetName val="[Spt-BH.xls][Spt-BH_xls]B__1031"/>
      <sheetName val="[Spt-BH.xls][Spt-BH_xls]_Sp_294"/>
      <sheetName val="[Spt-BH.xls]B____x005f_x0004______124"/>
      <sheetName val="[Spt-BH.xls]B___x005f_x0000__x000_124"/>
      <sheetName val="[Spt-BH.xls][Spt-BH_xls]B__1032"/>
      <sheetName val="[Spt-BH.xls][Spt-BH_xls]B__1033"/>
      <sheetName val="[Spt-BH.xls][Spt-BH_xls]B__1034"/>
      <sheetName val="[Spt-BH.xls][Spt-BH_xls]B__1035"/>
      <sheetName val="[Spt-BH.xls][Spt-BH_xls]_Sp_295"/>
      <sheetName val="[Spt-BH.xls][Spt-BH_xls]B__1036"/>
      <sheetName val="[Spt-BH.xls][Spt-BH_xls]B__1037"/>
      <sheetName val="[Spt-BH.xls][Spt-BH_xls]B__1038"/>
      <sheetName val="[Spt-BH.xls][Spt-BH_xls]_Sp_296"/>
      <sheetName val="[Spt-BH.xls][Spt-BH_xls]B__1039"/>
      <sheetName val="[Spt-BH.xls][Spt-BH_xls]B__1040"/>
      <sheetName val="[Spt-BH.xls][Spt-BH_xls]B__1041"/>
      <sheetName val="[Spt-BH.xls][Spt-BH_xls]B__1042"/>
      <sheetName val="[Spt-BH.xls][Spt-BH_xls]_Sp_297"/>
      <sheetName val="[Spt-BH.xls][Spt-BH.xls]B__1698"/>
      <sheetName val="[Spt-BH.xls][Spt-BH.xls]B__1699"/>
      <sheetName val="[Spt-BH.xls][Spt-BH.xls]B__1700"/>
      <sheetName val="[Spt-BH.xls][Spt-BH.xls]B__1701"/>
      <sheetName val="[Spt-BH.xls][Spt-BH.xls]B__1702"/>
      <sheetName val="[Spt-BH.xls][Spt-BH.xls]B__1703"/>
      <sheetName val="[Spt-BH.xls][Spt-BH.xls]B__1716"/>
      <sheetName val="[Spt-BH.xls][Spt-BH.xls]B__1717"/>
      <sheetName val="[Spt-BH.xls][Spt-BH.xls]_Sp_537"/>
      <sheetName val="[Spt-BH.xls][Spt-BH.xls]B__1718"/>
      <sheetName val="[Spt-BH.xls][Spt-BH.xls]B__1719"/>
      <sheetName val="[Spt-BH.xls][Spt-BH.xls]B__1720"/>
      <sheetName val="[Spt-BH.xls]B____x005f_x0004______126"/>
      <sheetName val="[Spt-BH.xls]B___x005f_x0000__x000_126"/>
      <sheetName val="[Spt-BH.xls][Spt-BH.xls]B__1721"/>
      <sheetName val="[Spt-BH.xls][Spt-BH.xls]B__1722"/>
      <sheetName val="[Spt-BH.xls][Spt-BH.xls]B__1723"/>
      <sheetName val="[Spt-BH.xls][Spt-BH.xls]_Sp_538"/>
      <sheetName val="[Spt-BH.xls][Spt-BH.xls]B__1724"/>
      <sheetName val="[Spt-BH.xls][Spt-BH.xls]B__1725"/>
      <sheetName val="[Spt-BH.xls][Spt-BH.xls]B__1726"/>
      <sheetName val="[Spt-BH.xls]B____x005f_x0004______127"/>
      <sheetName val="[Spt-BH.xls]B___x005f_x0000__x000_127"/>
      <sheetName val="[Spt-BH.xls][Spt-BH.xls]B__1727"/>
      <sheetName val="[Spt-BH.xls][Spt-BH.xls]B__1728"/>
      <sheetName val="[Spt-BH.xls][Spt-BH.xls]B__1729"/>
      <sheetName val="[Spt-BH.xls][Spt-BH.xls]_Sp_539"/>
      <sheetName val="[Spt-BH.xls][Spt-BH.xls]B__1730"/>
      <sheetName val="[Spt-BH.xls][Spt-BH.xls]B__1731"/>
      <sheetName val="[Spt-BH.xls][Spt-BH.xls]B__1732"/>
      <sheetName val="[Spt-BH.xls][Spt-BH.xls]B__1733"/>
      <sheetName val="[Spt-BH.xls][Spt-BH.xls]B__1734"/>
      <sheetName val="[Spt-BH.xls][Spt-BH.xls]B__1735"/>
      <sheetName val="[Spt-BH.xls][Spt-BH.xls]_Sp_540"/>
      <sheetName val="[Spt-BH.xls][Spt-BH.xls]B__1736"/>
      <sheetName val="[Spt-BH.xls][Spt-BH.xls]B__1737"/>
      <sheetName val="[Spt-BH.xls][Spt-BH.xls]B__1738"/>
      <sheetName val="[Spt-BH.xls][Spt-BH.xls]B__1739"/>
      <sheetName val="[Spt-BH.xls][Spt-BH.xls]B__1793"/>
      <sheetName val="[Spt-BH.xls][Spt-BH.xls]B__1794"/>
      <sheetName val="[Spt-BH.xls][Spt-BH.xls]_Sp_563"/>
      <sheetName val="[Spt-BH.xls][Spt-BH.xls]B__1795"/>
      <sheetName val="[Spt-BH.xls][Spt-BH.xls]B__1796"/>
      <sheetName val="[Spt-BH.xls][Spt-BH.xls]B__1797"/>
      <sheetName val="[Spt-BH.xls][Spt-BH.xls]B__1747"/>
      <sheetName val="[Spt-BH.xls][Spt-BH.xls]B__1748"/>
      <sheetName val="[Spt-BH.xls][Spt-BH.xls]_Sp_543"/>
      <sheetName val="[Spt-BH.xls][Spt-BH.xls]_Sp_559"/>
      <sheetName val="[Spt-BH.xls][Spt-BH.xls]B__1749"/>
      <sheetName val="[Spt-BH.xls][Spt-BH.xls]B__1750"/>
      <sheetName val="[Spt-BH.xls][Spt-BH.xls]B__1751"/>
      <sheetName val="[Spt-BH.xls]B____x005f_x0004______129"/>
      <sheetName val="[Spt-BH.xls]B___x005f_x0000__x000_129"/>
      <sheetName val="[Spt-BH.xls][Spt-BH.xls]B__1798"/>
      <sheetName val="[Spt-BH.xls][Spt-BH.xls]B__1752"/>
      <sheetName val="[Spt-BH.xls][Spt-BH.xls]_Sp_544"/>
      <sheetName val="[Spt-BH.xls][Spt-BH.xls]B__1753"/>
      <sheetName val="[Spt-BH.xls][Spt-BH.xls]_Sp_560"/>
      <sheetName val="[Spt-BH.xls][Spt-BH_xls]B__1065"/>
      <sheetName val="[Spt-BH.xls][Spt-BH_xls]B__1066"/>
      <sheetName val="[Spt-BH.xls][Spt-BH_xls]B__1067"/>
      <sheetName val="[Spt-BH.xls][Spt-BH_xls]B__1068"/>
      <sheetName val="[Spt-BH.xls][Spt-BH_xls]_Sp_304"/>
      <sheetName val="[Spt-BH.xls][Spt-BH_xls]B__1069"/>
      <sheetName val="[Spt-BH.xls][Spt-BH_xls]B__1070"/>
      <sheetName val="[Spt-BH.xls][Spt-BH_xls]B__1071"/>
      <sheetName val="[Spt-BH.xls][Spt-BH_xls]_Sp_305"/>
      <sheetName val="[Spt-BH.xls][Spt-BH_xls]B__1072"/>
      <sheetName val="[Spt-BH.xls][Spt-BH_xls]B__1073"/>
      <sheetName val="[Spt-BH.xls][Spt-BH_xls]B__1074"/>
      <sheetName val="[Spt-BH.xls][Spt-BH_xls]B__1075"/>
      <sheetName val="[Spt-BH.xls][Spt-BH_xls]_Sp_306"/>
      <sheetName val="[Spt-BH.xls][Spt-BH.xls]B__1740"/>
      <sheetName val="[Spt-BH.xls][Spt-BH.xls]B__1741"/>
      <sheetName val="[Spt-BH.xls][Spt-BH.xls]_Sp_541"/>
      <sheetName val="[Spt-BH.xls][Spt-BH.xls]B__1742"/>
      <sheetName val="[Spt-BH.xls][Spt-BH.xls]B__1743"/>
      <sheetName val="[Spt-BH.xls][Spt-BH.xls]B__1744"/>
      <sheetName val="[Spt-BH.xls]B____x005f_x0004______128"/>
      <sheetName val="[Spt-BH.xls]B___x005f_x0000__x000_128"/>
      <sheetName val="[Spt-BH.xls][Spt-BH.xls]B__1745"/>
      <sheetName val="[Spt-BH.xls][Spt-BH.xls]_Sp_542"/>
      <sheetName val="[Spt-BH.xls][Spt-BH.xls]B__1746"/>
      <sheetName val="[Spt-BH.xls][Spt-BH_xls]B__1054"/>
      <sheetName val="[Spt-BH.xls][Spt-BH_xls]B__1055"/>
      <sheetName val="[Spt-BH.xls][Spt-BH_xls]B__1056"/>
      <sheetName val="[Spt-BH.xls][Spt-BH_xls]B__1057"/>
      <sheetName val="[Spt-BH.xls][Spt-BH_xls]_Sp_301"/>
      <sheetName val="[Spt-BH.xls][Spt-BH_xls]B__1058"/>
      <sheetName val="[Spt-BH.xls][Spt-BH_xls]B__1059"/>
      <sheetName val="[Spt-BH.xls][Spt-BH_xls]B__1060"/>
      <sheetName val="[Spt-BH.xls][Spt-BH_xls]_Sp_302"/>
      <sheetName val="[Spt-BH.xls][Spt-BH_xls]B__1061"/>
      <sheetName val="[Spt-BH.xls][Spt-BH_xls]B__1062"/>
      <sheetName val="[Spt-BH.xls][Spt-BH_xls]B__1063"/>
      <sheetName val="[Spt-BH.xls][Spt-BH_xls]B__1064"/>
      <sheetName val="[Spt-BH.xls][Spt-BH_xls]_Sp_303"/>
      <sheetName val="[Spt-BH.xls][Spt-BH.xls]_Sp_549"/>
      <sheetName val="[Spt-BH.xls][Spt-BH.xls]B__1761"/>
      <sheetName val="[Spt-BH.xls][Spt-BH.xls]B__1762"/>
      <sheetName val="[Spt-BH.xls][Spt-BH.xls]B__1763"/>
      <sheetName val="[Spt-BH.xls][Spt-BH.xls]B__1764"/>
      <sheetName val="[Spt-BH.xls][Spt-BH.xls]B__1765"/>
      <sheetName val="[Spt-BH.xls][Spt-BH.xls]B__1766"/>
      <sheetName val="[Spt-BH.xls][Spt-BH.xls]_Sp_550"/>
      <sheetName val="[Spt-BH.xls]B____x005f_x0004______131"/>
      <sheetName val="[Spt-BH.xls]B___x005f_x0000__x000_131"/>
      <sheetName val="[Spt-BH.xls][Spt-BH.xls]B__1767"/>
      <sheetName val="[Spt-BH.xls][Spt-BH_xls]B__1087"/>
      <sheetName val="[Spt-BH.xls][Spt-BH_xls]B__1088"/>
      <sheetName val="[Spt-BH.xls][Spt-BH_xls]B__1089"/>
      <sheetName val="[Spt-BH.xls][Spt-BH_xls]B__1090"/>
      <sheetName val="[Spt-BH.xls][Spt-BH_xls]_Sp_310"/>
      <sheetName val="[Spt-BH.xls][Spt-BH_xls]B__1091"/>
      <sheetName val="[Spt-BH.xls][Spt-BH_xls]B__1092"/>
      <sheetName val="[Spt-BH.xls][Spt-BH_xls]B__1093"/>
      <sheetName val="[Spt-BH.xls][Spt-BH_xls]_Sp_311"/>
      <sheetName val="[Spt-BH.xls][Spt-BH_xls]B__1094"/>
      <sheetName val="[Spt-BH.xls][Spt-BH_xls]B__1095"/>
      <sheetName val="[Spt-BH.xls][Spt-BH_xls]B__1096"/>
      <sheetName val="[Spt-BH.xls][Spt-BH_xls]B__1097"/>
      <sheetName val="[Spt-BH.xls][Spt-BH_xls]_Sp_312"/>
      <sheetName val="[Spt-BH.xls][Spt-BH.xls]_Sp_545"/>
      <sheetName val="[Spt-BH.xls][Spt-BH.xls]_Sp_546"/>
      <sheetName val="[Spt-BH.xls][Spt-BH.xls]_Sp_547"/>
      <sheetName val="[Spt-BH.xls][Spt-BH.xls]B__1754"/>
      <sheetName val="[Spt-BH.xls][Spt-BH.xls]B__1755"/>
      <sheetName val="[Spt-BH.xls][Spt-BH.xls]B__1756"/>
      <sheetName val="[Spt-BH.xls][Spt-BH.xls]B__1757"/>
      <sheetName val="[Spt-BH.xls][Spt-BH.xls]B__1758"/>
      <sheetName val="[Spt-BH.xls][Spt-BH.xls]B__1759"/>
      <sheetName val="[Spt-BH.xls][Spt-BH.xls]_Sp_548"/>
      <sheetName val="[Spt-BH.xls]B____x005f_x0004______130"/>
      <sheetName val="[Spt-BH.xls]B___x005f_x0000__x000_130"/>
      <sheetName val="[Spt-BH.xls][Spt-BH.xls]B__1760"/>
      <sheetName val="[Spt-BH.xls][Spt-BH_xls]B__1076"/>
      <sheetName val="[Spt-BH.xls][Spt-BH_xls]B__1077"/>
      <sheetName val="[Spt-BH.xls][Spt-BH_xls]B__1078"/>
      <sheetName val="[Spt-BH.xls][Spt-BH_xls]B__1079"/>
      <sheetName val="[Spt-BH.xls][Spt-BH_xls]_Sp_307"/>
      <sheetName val="[Spt-BH.xls][Spt-BH_xls]B__1080"/>
      <sheetName val="[Spt-BH.xls][Spt-BH_xls]B__1081"/>
      <sheetName val="[Spt-BH.xls][Spt-BH_xls]B__1082"/>
      <sheetName val="[Spt-BH.xls][Spt-BH_xls]_Sp_308"/>
      <sheetName val="[Spt-BH.xls][Spt-BH_xls]B__1083"/>
      <sheetName val="[Spt-BH.xls][Spt-BH_xls]B__1084"/>
      <sheetName val="[Spt-BH.xls][Spt-BH_xls]B__1085"/>
      <sheetName val="[Spt-BH.xls][Spt-BH_xls]B__1086"/>
      <sheetName val="[Spt-BH.xls][Spt-BH_xls]_Sp_309"/>
      <sheetName val="[Spt-BH.xls][Spt-BH.xls]B__1768"/>
      <sheetName val="[Spt-BH.xls][Spt-BH.xls]B__1769"/>
      <sheetName val="[Spt-BH.xls][Spt-BH.xls]B__1770"/>
      <sheetName val="[Spt-BH.xls][Spt-BH.xls]B__1771"/>
      <sheetName val="[Spt-BH.xls][Spt-BH.xls]B__1772"/>
      <sheetName val="[Spt-BH.xls][Spt-BH.xls]_Sp_551"/>
      <sheetName val="[Spt-BH.xls][Spt-BH.xls]B__1773"/>
      <sheetName val="[Spt-BH.xls][Spt-BH.xls]_Sp_552"/>
      <sheetName val="[Spt-BH.xls][Spt-BH.xls]B__1774"/>
      <sheetName val="[Spt-BH.xls][Spt-BH.xls]B__1775"/>
      <sheetName val="[Spt-BH.xls][Spt-BH.xls]B__1776"/>
      <sheetName val="[Spt-BH.xls][Spt-BH.xls]B__1777"/>
      <sheetName val="[Spt-BH.xls][Spt-BH.xls]B__1778"/>
      <sheetName val="[Spt-BH.xls][Spt-BH.xls]_Sp_553"/>
      <sheetName val="[Spt-BH.xls][Spt-BH.xls]B__1779"/>
      <sheetName val="[Spt-BH.xls][Spt-BH.xls]_Sp_554"/>
      <sheetName val="[Spt-BH.xls][Spt-BH.xls]B__1780"/>
      <sheetName val="[Spt-BH.xls][Spt-BH.xls]B__1781"/>
      <sheetName val="[Spt-BH.xls][Spt-BH.xls]B__1782"/>
      <sheetName val="[Spt-BH.xls][Spt-BH.xls]B__1783"/>
      <sheetName val="[Spt-BH.xls][Spt-BH.xls]B__1784"/>
      <sheetName val="[Spt-BH.xls][Spt-BH.xls]_Sp_555"/>
      <sheetName val="[Spt-BH.xls][Spt-BH.xls]B__1785"/>
      <sheetName val="[Spt-BH.xls][Spt-BH.xls]_Sp_556"/>
      <sheetName val="[Spt-BH.xls][Spt-BH.xls]B__1806"/>
      <sheetName val="[Spt-BH.xls][Spt-BH.xls]B__1807"/>
      <sheetName val="[Spt-BH.xls][Spt-BH.xls]_Sp_565"/>
      <sheetName val="[Spt-BH.xls][Spt-BH.xls]B__1808"/>
      <sheetName val="[Spt-BH.xls][Spt-BH.xls]B__1809"/>
      <sheetName val="[Spt-BH.xls][Spt-BH.xls]B__1810"/>
      <sheetName val="[Spt-BH.xls]B____x005f_x0004______133"/>
      <sheetName val="[Spt-BH.xls]B___x005f_x0000__x000_133"/>
      <sheetName val="[Spt-BH.xls][Spt-BH.xls]B__1811"/>
      <sheetName val="[Spt-BH.xls][Spt-BH.xls]B__1799"/>
      <sheetName val="[Spt-BH.xls][Spt-BH.xls]_Sp_564"/>
      <sheetName val="[Spt-BH.xls][Spt-BH_xls]B__1109"/>
      <sheetName val="[Spt-BH.xls][Spt-BH_xls]B__1110"/>
      <sheetName val="[Spt-BH.xls][Spt-BH_xls]B__1111"/>
      <sheetName val="[Spt-BH.xls][Spt-BH_xls]B__1112"/>
      <sheetName val="[Spt-BH.xls][Spt-BH_xls]_Sp_316"/>
      <sheetName val="[Spt-BH.xls][Spt-BH_xls]B__1113"/>
      <sheetName val="[Spt-BH.xls][Spt-BH_xls]B__1114"/>
      <sheetName val="[Spt-BH.xls][Spt-BH_xls]B__1115"/>
      <sheetName val="[Spt-BH.xls][Spt-BH_xls]_Sp_317"/>
      <sheetName val="[Spt-BH.xls][Spt-BH_xls]B__1116"/>
      <sheetName val="[Spt-BH.xls][Spt-BH_xls]B__1117"/>
      <sheetName val="[Spt-BH.xls][Spt-BH_xls]B__1118"/>
      <sheetName val="[Spt-BH.xls][Spt-BH_xls]B__1119"/>
      <sheetName val="[Spt-BH.xls][Spt-BH_xls]_Sp_318"/>
      <sheetName val="[Spt-BH.xls][Spt-BH.xls]B__1786"/>
      <sheetName val="[Spt-BH.xls][Spt-BH.xls]B__1787"/>
      <sheetName val="[Spt-BH.xls][Spt-BH.xls]B__1788"/>
      <sheetName val="[Spt-BH.xls][Spt-BH.xls]B__1789"/>
      <sheetName val="[Spt-BH.xls][Spt-BH.xls]B__1790"/>
      <sheetName val="[Spt-BH.xls][Spt-BH.xls]_Sp_557"/>
      <sheetName val="[Spt-BH.xls][Spt-BH.xls]B__1791"/>
      <sheetName val="[Spt-BH.xls][Spt-BH.xls]_Sp_558"/>
      <sheetName val="[Spt-BH.xls]B____x005f_x0004______132"/>
      <sheetName val="[Spt-BH.xls]B___x005f_x0000__x000_132"/>
      <sheetName val="[Spt-BH.xls][Spt-BH.xls]B__1792"/>
      <sheetName val="[Spt-BH.xls][Spt-BH_xls]B__1098"/>
      <sheetName val="[Spt-BH.xls][Spt-BH_xls]B__1099"/>
      <sheetName val="[Spt-BH.xls][Spt-BH_xls]B__1100"/>
      <sheetName val="[Spt-BH.xls][Spt-BH_xls]B__1101"/>
      <sheetName val="[Spt-BH.xls][Spt-BH_xls]_Sp_313"/>
      <sheetName val="[Spt-BH.xls][Spt-BH_xls]B__1102"/>
      <sheetName val="[Spt-BH.xls][Spt-BH_xls]B__1103"/>
      <sheetName val="[Spt-BH.xls][Spt-BH_xls]B__1104"/>
      <sheetName val="[Spt-BH.xls][Spt-BH_xls]_Sp_314"/>
      <sheetName val="[Spt-BH.xls][Spt-BH_xls]B__1105"/>
      <sheetName val="[Spt-BH.xls][Spt-BH_xls]B__1106"/>
      <sheetName val="[Spt-BH.xls][Spt-BH_xls]B__1107"/>
      <sheetName val="[Spt-BH.xls][Spt-BH_xls]B__1108"/>
      <sheetName val="[Spt-BH.xls][Spt-BH_xls]_Sp_315"/>
      <sheetName val="[Spt-BH.xls][Spt-BH.xls]_Sp_561"/>
      <sheetName val="[Spt-BH.xls][Spt-BH.xls]B__1800"/>
      <sheetName val="[Spt-BH.xls][Spt-BH.xls]B__1801"/>
      <sheetName val="[Spt-BH.xls][Spt-BH.xls]B__1802"/>
      <sheetName val="[Spt-BH.xls][Spt-BH.xls]B__1803"/>
      <sheetName val="[Spt-BH.xls][Spt-BH.xls]B__1804"/>
      <sheetName val="[Spt-BH.xls][Spt-BH.xls]B__1805"/>
      <sheetName val="[Spt-BH.xls][Spt-BH.xls]_Sp_562"/>
      <sheetName val="[Spt-BH.xls][Spt-BH.xls]B__1845"/>
      <sheetName val="[Spt-BH.xls][Spt-BH.xls]B__1846"/>
      <sheetName val="[Spt-BH.xls][Spt-BH.xls]_Sp_589"/>
      <sheetName val="[Spt-BH.xls][Spt-BH.xls]B__1847"/>
      <sheetName val="[Spt-BH.xls][Spt-BH.xls]B__1848"/>
      <sheetName val="[Spt-BH.xls][Spt-BH.xls]B__1849"/>
      <sheetName val="[Spt-BH.xls]B____x005f_x0004______135"/>
      <sheetName val="[Spt-BH.xls]B___x005f_x0000__x000_135"/>
      <sheetName val="[Spt-BH.xls][Spt-BH.xls]B__1850"/>
      <sheetName val="[Spt-BH.xls][Spt-BH.xls]_Sp_584"/>
      <sheetName val="[Spt-BH.xls][Spt-BH_xls]B__1131"/>
      <sheetName val="[Spt-BH.xls][Spt-BH_xls]B__1132"/>
      <sheetName val="[Spt-BH.xls][Spt-BH_xls]B__1133"/>
      <sheetName val="[Spt-BH.xls][Spt-BH_xls]B__1134"/>
      <sheetName val="[Spt-BH.xls][Spt-BH_xls]_Sp_322"/>
      <sheetName val="[Spt-BH.xls][Spt-BH_xls]B__1135"/>
      <sheetName val="[Spt-BH.xls][Spt-BH_xls]B__1136"/>
      <sheetName val="[Spt-BH.xls][Spt-BH_xls]B__1137"/>
      <sheetName val="[Spt-BH.xls][Spt-BH_xls]_Sp_323"/>
      <sheetName val="[Spt-BH.xls][Spt-BH_xls]B__1138"/>
      <sheetName val="[Spt-BH.xls][Spt-BH_xls]B__1139"/>
      <sheetName val="[Spt-BH.xls][Spt-BH_xls]B__1140"/>
      <sheetName val="[Spt-BH.xls][Spt-BH_xls]B__1141"/>
      <sheetName val="[Spt-BH.xls][Spt-BH_xls]_Sp_324"/>
      <sheetName val="[Spt-BH.xls]B____x005f_x0004______134"/>
      <sheetName val="[Spt-BH.xls]B___x005f_x0000__x000_134"/>
      <sheetName val="[Spt-BH.xls][Spt-BH_xls]B__1120"/>
      <sheetName val="[Spt-BH.xls][Spt-BH_xls]B__1121"/>
      <sheetName val="[Spt-BH.xls][Spt-BH_xls]B__1122"/>
      <sheetName val="[Spt-BH.xls][Spt-BH_xls]B__1123"/>
      <sheetName val="[Spt-BH.xls][Spt-BH_xls]_Sp_319"/>
      <sheetName val="[Spt-BH.xls][Spt-BH_xls]B__1124"/>
      <sheetName val="[Spt-BH.xls][Spt-BH_xls]B__1125"/>
      <sheetName val="[Spt-BH.xls][Spt-BH_xls]B__1126"/>
      <sheetName val="[Spt-BH.xls][Spt-BH_xls]_Sp_320"/>
      <sheetName val="[Spt-BH.xls][Spt-BH_xls]B__1127"/>
      <sheetName val="[Spt-BH.xls][Spt-BH_xls]B__1128"/>
      <sheetName val="[Spt-BH.xls][Spt-BH_xls]B__1129"/>
      <sheetName val="[Spt-BH.xls][Spt-BH_xls]B__1130"/>
      <sheetName val="[Spt-BH.xls][Spt-BH_xls]_Sp_321"/>
      <sheetName val="[Spt-BH.xls][Spt-BH.xls]B__1812"/>
      <sheetName val="[Spt-BH.xls][Spt-BH.xls]B__1813"/>
      <sheetName val="[Spt-BH.xls]B____x005f_x0004______136"/>
      <sheetName val="[Spt-BH.xls]B___x005f_x0000__x000_136"/>
      <sheetName val="[Spt-BH.xls][Spt-BH.xls]B__1814"/>
      <sheetName val="[Spt-BH.xls][Spt-BH_xls]B__1142"/>
      <sheetName val="[Spt-BH.xls][Spt-BH_xls]B__1143"/>
      <sheetName val="[Spt-BH.xls][Spt-BH_xls]B__1144"/>
      <sheetName val="[Spt-BH.xls][Spt-BH_xls]B__1145"/>
      <sheetName val="[Spt-BH.xls][Spt-BH_xls]_Sp_325"/>
      <sheetName val="[Spt-BH.xls][Spt-BH_xls]B__1146"/>
      <sheetName val="[Spt-BH.xls][Spt-BH_xls]B__1147"/>
      <sheetName val="[Spt-BH.xls][Spt-BH_xls]B__1148"/>
      <sheetName val="[Spt-BH.xls][Spt-BH_xls]_Sp_326"/>
      <sheetName val="[Spt-BH.xls][Spt-BH_xls]B__1149"/>
      <sheetName val="[Spt-BH.xls][Spt-BH_xls]B__1150"/>
      <sheetName val="[Spt-BH.xls][Spt-BH_xls]B__1151"/>
      <sheetName val="[Spt-BH.xls][Spt-BH_xls]B__1152"/>
      <sheetName val="[Spt-BH.xls][Spt-BH_xls]_Sp_327"/>
      <sheetName val="[Spt-BH.xls][Spt-BH.xls]_Sp_566"/>
      <sheetName val="[Spt-BH.xls][Spt-BH.xls]B__1815"/>
      <sheetName val="[Spt-BH.xls][Spt-BH.xls]B__1816"/>
      <sheetName val="[Spt-BH.xls][Spt-BH.xls]B__1817"/>
      <sheetName val="[Spt-BH.xls][Spt-BH.xls]B__1818"/>
      <sheetName val="[Spt-BH.xls][Spt-BH.xls]B__1819"/>
      <sheetName val="[Spt-BH.xls][Spt-BH.xls]B__1820"/>
      <sheetName val="[Spt-BH.xls][Spt-BH.xls]_Sp_567"/>
      <sheetName val="[Spt-BH.xls][Spt-BH.xls]B__1865"/>
      <sheetName val="[Spt-BH.xls][Spt-BH.xls]B__1866"/>
      <sheetName val="[Spt-BH.xls][Spt-BH.xls]_Sp_591"/>
      <sheetName val="[Spt-BH.xls][Spt-BH.xls]B__1867"/>
      <sheetName val="[Spt-BH.xls][Spt-BH.xls]B__1868"/>
      <sheetName val="[Spt-BH.xls][Spt-BH.xls]B__1869"/>
      <sheetName val="[Spt-BH.xls]B____x005f_x0004______140"/>
      <sheetName val="[Spt-BH.xls]B___x005f_x0000__x000_140"/>
      <sheetName val="[Spt-BH.xls][Spt-BH.xls]B__1870"/>
      <sheetName val="[Spt-BH.xls][Spt-BH.xls]B__1851"/>
      <sheetName val="[Spt-BH.xls][Spt-BH.xls]_Sp_590"/>
      <sheetName val="[Spt-BH.xls][Spt-BH_xls]B__1186"/>
      <sheetName val="[Spt-BH.xls][Spt-BH_xls]B__1187"/>
      <sheetName val="[Spt-BH.xls][Spt-BH_xls]B__1188"/>
      <sheetName val="[Spt-BH.xls][Spt-BH_xls]B__1189"/>
      <sheetName val="[Spt-BH.xls][Spt-BH_xls]_Sp_337"/>
      <sheetName val="[Spt-BH.xls][Spt-BH_xls]B__1190"/>
      <sheetName val="[Spt-BH.xls][Spt-BH_xls]B__1191"/>
      <sheetName val="[Spt-BH.xls][Spt-BH_xls]B__1192"/>
      <sheetName val="[Spt-BH.xls][Spt-BH_xls]_Sp_338"/>
      <sheetName val="[Spt-BH.xls][Spt-BH_xls]B__1193"/>
      <sheetName val="[Spt-BH.xls][Spt-BH_xls]B__1194"/>
      <sheetName val="[Spt-BH.xls][Spt-BH_xls]B__1195"/>
      <sheetName val="[Spt-BH.xls][Spt-BH_xls]B__1196"/>
      <sheetName val="[Spt-BH.xls][Spt-BH_xls]_Sp_339"/>
      <sheetName val="[Spt-BH.xls][Spt-BH.xls]_Sp_568"/>
      <sheetName val="[Spt-BH.xls][Spt-BH.xls]B__1821"/>
      <sheetName val="[Spt-BH.xls][Spt-BH.xls]B__1822"/>
      <sheetName val="[Spt-BH.xls][Spt-BH.xls]B__1823"/>
      <sheetName val="[Spt-BH.xls][Spt-BH.xls]B__1824"/>
      <sheetName val="[Spt-BH.xls][Spt-BH.xls]B__1825"/>
      <sheetName val="[Spt-BH.xls][Spt-BH.xls]B__1826"/>
      <sheetName val="[Spt-BH.xls][Spt-BH.xls]_Sp_569"/>
      <sheetName val="[Spt-BH.xls]B____x005f_x0004______137"/>
      <sheetName val="[Spt-BH.xls]B___x005f_x0000__x000_137"/>
      <sheetName val="[Spt-BH.xls][Spt-BH.xls]B__1827"/>
      <sheetName val="[Spt-BH.xls][Spt-BH_xls]B__1153"/>
      <sheetName val="[Spt-BH.xls][Spt-BH_xls]B__1154"/>
      <sheetName val="[Spt-BH.xls][Spt-BH_xls]B__1155"/>
      <sheetName val="[Spt-BH.xls][Spt-BH_xls]B__1156"/>
      <sheetName val="[Spt-BH.xls][Spt-BH_xls]_Sp_328"/>
      <sheetName val="[Spt-BH.xls][Spt-BH_xls]B__1157"/>
      <sheetName val="[Spt-BH.xls][Spt-BH_xls]B__1158"/>
      <sheetName val="[Spt-BH.xls][Spt-BH_xls]B__1159"/>
      <sheetName val="[Spt-BH.xls][Spt-BH_xls]_Sp_329"/>
      <sheetName val="[Spt-BH.xls][Spt-BH_xls]B__1160"/>
      <sheetName val="[Spt-BH.xls][Spt-BH_xls]B__1161"/>
      <sheetName val="[Spt-BH.xls][Spt-BH_xls]B__1162"/>
      <sheetName val="[Spt-BH.xls][Spt-BH_xls]B__1163"/>
      <sheetName val="[Spt-BH.xls][Spt-BH_xls]_Sp_330"/>
      <sheetName val="[Spt-BH.xls][Spt-BH.xls]_Sp_570"/>
      <sheetName val="[Spt-BH.xls][Spt-BH.xls]_Sp_571"/>
      <sheetName val="[Spt-BH.xls][Spt-BH.xls]_Sp_574"/>
      <sheetName val="[Spt-BH.xls][Spt-BH.xls]_Sp_576"/>
      <sheetName val="[Spt-BH.xls][Spt-BH.xls]_Sp_575"/>
      <sheetName val="[Spt-BH.xls][Spt-BH.xls]_Sp_572"/>
      <sheetName val="[Spt-BH.xls][Spt-BH.xls]_Sp_573"/>
      <sheetName val="[Spt-BH.xls][Spt-BH.xls]_Sp_577"/>
      <sheetName val="[Spt-BH.xls][Spt-BH.xls]B__1828"/>
      <sheetName val="[Spt-BH.xls][Spt-BH.xls]B__1829"/>
      <sheetName val="[Spt-BH.xls][Spt-BH.xls]_Sp_578"/>
      <sheetName val="[Spt-BH.xls][Spt-BH.xls]B__1830"/>
      <sheetName val="[Spt-BH.xls][Spt-BH.xls]_Sp_579"/>
      <sheetName val="[Spt-BH.xls][Spt-BH.xls]B__1831"/>
      <sheetName val="[Spt-BH.xls][Spt-BH.xls]B__1832"/>
      <sheetName val="[Spt-BH.xls][Spt-BH.xls]B__1833"/>
      <sheetName val="[Spt-BH.xls][Spt-BH.xls]B__1834"/>
      <sheetName val="[Spt-BH.xls][Spt-BH.xls]B__1835"/>
      <sheetName val="[Spt-BH.xls][Spt-BH.xls]B__1836"/>
      <sheetName val="[Spt-BH.xls][Spt-BH.xls]_Sp_580"/>
      <sheetName val="[Spt-BH.xls]B____x005f_x0004______138"/>
      <sheetName val="[Spt-BH.xls]B___x005f_x0000__x000_138"/>
      <sheetName val="[Spt-BH.xls][Spt-BH.xls]B__1837"/>
      <sheetName val="[Spt-BH.xls][Spt-BH_xls]B__1164"/>
      <sheetName val="[Spt-BH.xls][Spt-BH_xls]B__1165"/>
      <sheetName val="[Spt-BH.xls][Spt-BH_xls]B__1166"/>
      <sheetName val="[Spt-BH.xls][Spt-BH_xls]B__1167"/>
      <sheetName val="[Spt-BH.xls][Spt-BH_xls]_Sp_331"/>
      <sheetName val="[Spt-BH.xls][Spt-BH_xls]B__1168"/>
      <sheetName val="[Spt-BH.xls][Spt-BH_xls]B__1169"/>
      <sheetName val="[Spt-BH.xls][Spt-BH_xls]B__1170"/>
      <sheetName val="[Spt-BH.xls][Spt-BH_xls]_Sp_332"/>
      <sheetName val="[Spt-BH.xls][Spt-BH_xls]B__1171"/>
      <sheetName val="[Spt-BH.xls][Spt-BH_xls]B__1172"/>
      <sheetName val="[Spt-BH.xls][Spt-BH_xls]B__1173"/>
      <sheetName val="[Spt-BH.xls][Spt-BH_xls]B__1174"/>
      <sheetName val="[Spt-BH.xls][Spt-BH_xls]_Sp_333"/>
      <sheetName val="[Spt-BH.xls][Spt-BH.xls]_Sp_581"/>
      <sheetName val="[Spt-BH.xls][Spt-BH.xls]B__1838"/>
      <sheetName val="[Spt-BH.xls][Spt-BH.xls]B__1839"/>
      <sheetName val="[Spt-BH.xls][Spt-BH.xls]B__1840"/>
      <sheetName val="[Spt-BH.xls][Spt-BH.xls]B__1841"/>
      <sheetName val="[Spt-BH.xls][Spt-BH.xls]B__1842"/>
      <sheetName val="[Spt-BH.xls][Spt-BH.xls]B__1843"/>
      <sheetName val="[Spt-BH.xls][Spt-BH.xls]_Sp_582"/>
      <sheetName val="[Spt-BH.xls]B____x005f_x0004______139"/>
      <sheetName val="[Spt-BH.xls]B___x005f_x0000__x000_139"/>
      <sheetName val="[Spt-BH.xls][Spt-BH.xls]B__1844"/>
      <sheetName val="[Spt-BH.xls][Spt-BH_xls]B__1175"/>
      <sheetName val="[Spt-BH.xls][Spt-BH_xls]B__1176"/>
      <sheetName val="[Spt-BH.xls][Spt-BH_xls]B__1177"/>
      <sheetName val="[Spt-BH.xls][Spt-BH_xls]B__1178"/>
      <sheetName val="[Spt-BH.xls][Spt-BH_xls]_Sp_334"/>
      <sheetName val="[Spt-BH.xls][Spt-BH_xls]B__1179"/>
      <sheetName val="[Spt-BH.xls][Spt-BH_xls]B__1180"/>
      <sheetName val="[Spt-BH.xls][Spt-BH_xls]B__1181"/>
      <sheetName val="[Spt-BH.xls][Spt-BH_xls]_Sp_335"/>
      <sheetName val="[Spt-BH.xls][Spt-BH_xls]B__1182"/>
      <sheetName val="[Spt-BH.xls][Spt-BH_xls]B__1183"/>
      <sheetName val="[Spt-BH.xls][Spt-BH_xls]B__1184"/>
      <sheetName val="[Spt-BH.xls][Spt-BH_xls]B__1185"/>
      <sheetName val="[Spt-BH.xls][Spt-BH_xls]_Sp_336"/>
      <sheetName val="[Spt-BH.xls][Spt-BH.xls]_Sp_587"/>
      <sheetName val="[Spt-BH.xls][Spt-BH.xls]B__1858"/>
      <sheetName val="[Spt-BH.xls][Spt-BH.xls]B__1859"/>
      <sheetName val="[Spt-BH.xls][Spt-BH.xls]B__1860"/>
      <sheetName val="[Spt-BH.xls][Spt-BH.xls]B__1861"/>
      <sheetName val="[Spt-BH.xls][Spt-BH.xls]B__1862"/>
      <sheetName val="[Spt-BH.xls][Spt-BH.xls]B__1863"/>
      <sheetName val="[Spt-BH.xls][Spt-BH.xls]_Sp_588"/>
      <sheetName val="[Spt-BH.xls][Spt-BH.xls]_Sp_585"/>
      <sheetName val="[Spt-BH.xls][Spt-BH.xls]B__1852"/>
      <sheetName val="[Spt-BH.xls][Spt-BH.xls]B__1853"/>
      <sheetName val="[Spt-BH.xls][Spt-BH.xls]B__1854"/>
      <sheetName val="[Spt-BH.xls][Spt-BH.xls]B__1855"/>
      <sheetName val="[Spt-BH.xls][Spt-BH.xls]B__1856"/>
      <sheetName val="[Spt-BH.xls][Spt-BH.xls]B__1857"/>
      <sheetName val="[Spt-BH.xls][Spt-BH.xls]_Sp_586"/>
      <sheetName val="[Spt-BH.xls]B____x005f_x0004______141"/>
      <sheetName val="[Spt-BH.xls]B___x005f_x0000__x000_141"/>
      <sheetName val="[Spt-BH.xls][Spt-BH.xls]B__1864"/>
      <sheetName val="[Spt-BH.xls][Spt-BH_xls]B__1197"/>
      <sheetName val="[Spt-BH.xls][Spt-BH_xls]B__1198"/>
      <sheetName val="[Spt-BH.xls][Spt-BH_xls]B__1199"/>
      <sheetName val="[Spt-BH.xls][Spt-BH_xls]B__1200"/>
      <sheetName val="[Spt-BH.xls][Spt-BH_xls]_Sp_340"/>
      <sheetName val="[Spt-BH.xls][Spt-BH_xls]B__1201"/>
      <sheetName val="[Spt-BH.xls][Spt-BH_xls]B__1202"/>
      <sheetName val="[Spt-BH.xls][Spt-BH_xls]B__1203"/>
      <sheetName val="[Spt-BH.xls][Spt-BH_xls]_Sp_341"/>
      <sheetName val="[Spt-BH.xls][Spt-BH_xls]B__1204"/>
      <sheetName val="[Spt-BH.xls][Spt-BH_xls]B__1205"/>
      <sheetName val="[Spt-BH.xls][Spt-BH_xls]B__1206"/>
      <sheetName val="[Spt-BH.xls][Spt-BH_xls]B__1207"/>
      <sheetName val="[Spt-BH.xls][Spt-BH_xls]_Sp_342"/>
      <sheetName val="[Spt-BH.xls][Spt-BH.xls]B__1871"/>
      <sheetName val="[Spt-BH.xls][Spt-BH.xls]B__1872"/>
      <sheetName val="[Spt-BH.xls][Spt-BH.xls]_Sp_593"/>
      <sheetName val="[Spt-BH.xls][Spt-BH.xls]B__1873"/>
      <sheetName val="[Spt-BH.xls][Spt-BH.xls]B__1874"/>
      <sheetName val="[Spt-BH.xls][Spt-BH.xls]B__1875"/>
      <sheetName val="[Spt-BH.xls][Spt-BH.xls]B__1876"/>
      <sheetName val="[Spt-BH.xls][Spt-BH.xls]_Sp_592"/>
      <sheetName val="[Spt-BH.xls][Spt-BH.xls]B__1878"/>
      <sheetName val="[Spt-BH.xls][Spt-BH.xls]B__1879"/>
      <sheetName val="[Spt-BH.xls][Spt-BH.xls]_Sp_595"/>
      <sheetName val="[Spt-BH.xls][Spt-BH.xls]B__1880"/>
      <sheetName val="[Spt-BH.xls][Spt-BH.xls]B__1881"/>
      <sheetName val="[Spt-BH.xls][Spt-BH.xls]B__1882"/>
      <sheetName val="[Spt-BH.xls]B____x005f_x0004______142"/>
      <sheetName val="[Spt-BH.xls]B___x005f_x0000__x000_142"/>
      <sheetName val="[Spt-BH.xls][Spt-BH.xls]B__1883"/>
      <sheetName val="[Spt-BH.xls][Spt-BH.xls]B__1877"/>
      <sheetName val="[Spt-BH.xls][Spt-BH.xls]_Sp_594"/>
      <sheetName val="[Spt-BH.xls][Spt-BH_xls]B__1208"/>
      <sheetName val="[Spt-BH.xls][Spt-BH_xls]B__1209"/>
      <sheetName val="[Spt-BH.xls][Spt-BH_xls]B__1210"/>
      <sheetName val="[Spt-BH.xls][Spt-BH_xls]B__1211"/>
      <sheetName val="[Spt-BH.xls][Spt-BH_xls]_Sp_343"/>
      <sheetName val="[Spt-BH.xls][Spt-BH_xls]B__1212"/>
      <sheetName val="[Spt-BH.xls][Spt-BH_xls]B__1213"/>
      <sheetName val="[Spt-BH.xls][Spt-BH_xls]B__1214"/>
      <sheetName val="[Spt-BH.xls][Spt-BH_xls]_Sp_344"/>
      <sheetName val="[Spt-BH.xls][Spt-BH_xls]B__1215"/>
      <sheetName val="[Spt-BH.xls][Spt-BH_xls]B__1216"/>
      <sheetName val="[Spt-BH.xls][Spt-BH_xls]B__1217"/>
      <sheetName val="[Spt-BH.xls][Spt-BH_xls]B__1218"/>
      <sheetName val="[Spt-BH.xls][Spt-BH_xls]_Sp_345"/>
      <sheetName val="[Spt-BH.xls][Spt-BH.xls]_Sp_617"/>
      <sheetName val="[Spt-BH.xls][Spt-BH.xls]B__1948"/>
      <sheetName val="[Spt-BH.xls][Spt-BH.xls]B__1949"/>
      <sheetName val="[Spt-BH.xls][Spt-BH.xls]_Sp_621"/>
      <sheetName val="[Spt-BH.xls][Spt-BH.xls]B__1950"/>
      <sheetName val="[Spt-BH.xls][Spt-BH.xls]B__1951"/>
      <sheetName val="[Spt-BH.xls][Spt-BH.xls]B__1952"/>
      <sheetName val="[Spt-BH.xls][Spt-BH.xls]B__1953"/>
      <sheetName val="[Spt-BH.xls][Spt-BH.xls]_Sp_618"/>
      <sheetName val="[Spt-BH.xls][Spt-BH.xls]B__1961"/>
      <sheetName val="[Spt-BH.xls][Spt-BH.xls]B__1962"/>
      <sheetName val="[Spt-BH.xls][Spt-BH.xls]_Sp_624"/>
      <sheetName val="[Spt-BH.xls][Spt-BH.xls]B__1963"/>
      <sheetName val="[Spt-BH.xls][Spt-BH.xls]B__1964"/>
      <sheetName val="[Spt-BH.xls][Spt-BH.xls]B__1965"/>
      <sheetName val="[Spt-BH.xls]B____x005f_x0004______147"/>
      <sheetName val="[Spt-BH.xls]B___x005f_x0000__x000_147"/>
      <sheetName val="[Spt-BH.xls][Spt-BH.xls]B__1966"/>
      <sheetName val="[Spt-BH.xls][Spt-BH.xls]B__1954"/>
      <sheetName val="[Spt-BH.xls][Spt-BH.xls]_Sp_622"/>
      <sheetName val="[Spt-BH.xls][Spt-BH_xls]B__1263"/>
      <sheetName val="[Spt-BH.xls][Spt-BH_xls]B__1264"/>
      <sheetName val="[Spt-BH.xls][Spt-BH_xls]B__1265"/>
      <sheetName val="[Spt-BH.xls][Spt-BH_xls]B__1266"/>
      <sheetName val="[Spt-BH.xls][Spt-BH_xls]_Sp_358"/>
      <sheetName val="[Spt-BH.xls][Spt-BH_xls]B__1267"/>
      <sheetName val="[Spt-BH.xls][Spt-BH_xls]B__1268"/>
      <sheetName val="[Spt-BH.xls][Spt-BH_xls]B__1269"/>
      <sheetName val="[Spt-BH.xls][Spt-BH_xls]_Sp_359"/>
      <sheetName val="[Spt-BH.xls][Spt-BH_xls]B__1270"/>
      <sheetName val="[Spt-BH.xls][Spt-BH_xls]B__1271"/>
      <sheetName val="[Spt-BH.xls][Spt-BH_xls]B__1272"/>
      <sheetName val="[Spt-BH.xls][Spt-BH_xls]B__1273"/>
      <sheetName val="[Spt-BH.xls][Spt-BH_xls]_Sp_360"/>
      <sheetName val="[Spt-BH.xls][Spt-BH.xls]_Sp_600"/>
      <sheetName val="[Spt-BH.xls][Spt-BH.xls]B__1891"/>
      <sheetName val="[Spt-BH.xls][Spt-BH.xls]B__1892"/>
      <sheetName val="[Spt-BH.xls][Spt-BH.xls]B__1893"/>
      <sheetName val="[Spt-BH.xls][Spt-BH.xls]B__1894"/>
      <sheetName val="[Spt-BH.xls][Spt-BH.xls]B__1895"/>
      <sheetName val="[Spt-BH.xls][Spt-BH.xls]_Sp_598"/>
      <sheetName val="[Spt-BH.xls][Spt-BH.xls]B__1896"/>
      <sheetName val="[Spt-BH.xls][Spt-BH.xls]_Sp_599"/>
      <sheetName val="[Spt-BH.xls][Spt-BH.xls]B__1885"/>
      <sheetName val="[Spt-BH.xls][Spt-BH.xls]B__1886"/>
      <sheetName val="[Spt-BH.xls][Spt-BH.xls]_Sp_597"/>
      <sheetName val="[Spt-BH.xls][Spt-BH.xls]B__1887"/>
      <sheetName val="[Spt-BH.xls][Spt-BH.xls]B__1888"/>
      <sheetName val="[Spt-BH.xls][Spt-BH.xls]B__1889"/>
      <sheetName val="[Spt-BH.xls][Spt-BH.xls]B__1890"/>
      <sheetName val="[Spt-BH.xls][Spt-BH.xls]_Sp_596"/>
      <sheetName val="[Spt-BH.xls]B____x005f_x0004______143"/>
      <sheetName val="[Spt-BH.xls]B___x005f_x0000__x000_143"/>
      <sheetName val="[Spt-BH.xls][Spt-BH.xls]B__1884"/>
      <sheetName val="[Spt-BH.xls][Spt-BH_xls]B__1219"/>
      <sheetName val="[Spt-BH.xls][Spt-BH_xls]B__1220"/>
      <sheetName val="[Spt-BH.xls][Spt-BH_xls]B__1221"/>
      <sheetName val="[Spt-BH.xls][Spt-BH_xls]B__1222"/>
      <sheetName val="[Spt-BH.xls][Spt-BH_xls]_Sp_346"/>
      <sheetName val="[Spt-BH.xls][Spt-BH_xls]B__1223"/>
      <sheetName val="[Spt-BH.xls][Spt-BH_xls]B__1224"/>
      <sheetName val="[Spt-BH.xls][Spt-BH_xls]B__1225"/>
      <sheetName val="[Spt-BH.xls][Spt-BH_xls]_Sp_347"/>
      <sheetName val="[Spt-BH.xls][Spt-BH_xls]B__1226"/>
      <sheetName val="[Spt-BH.xls][Spt-BH_xls]B__1227"/>
      <sheetName val="[Spt-BH.xls][Spt-BH_xls]B__1228"/>
      <sheetName val="[Spt-BH.xls][Spt-BH_xls]B__1229"/>
      <sheetName val="[Spt-BH.xls][Spt-BH_xls]_Sp_348"/>
      <sheetName val="[Spt-BH.xls][Spt-BH.xls]B__1897"/>
      <sheetName val="[Spt-BH.xls][Spt-BH.xls]B__1898"/>
      <sheetName val="[Spt-BH.xls][Spt-BH.xls]_Sp_602"/>
      <sheetName val="[Spt-BH.xls][Spt-BH.xls]B__1899"/>
      <sheetName val="[Spt-BH.xls][Spt-BH.xls]B__1900"/>
      <sheetName val="[Spt-BH.xls][Spt-BH.xls]B__1901"/>
      <sheetName val="[Spt-BH.xls][Spt-BH.xls]B__1902"/>
      <sheetName val="[Spt-BH.xls][Spt-BH.xls]_Sp_601"/>
      <sheetName val="[Spt-BH.xls][Spt-BH.xls]B__1910"/>
      <sheetName val="[Spt-BH.xls][Spt-BH.xls]B__1911"/>
      <sheetName val="[Spt-BH.xls][Spt-BH.xls]_Sp_607"/>
      <sheetName val="[Spt-BH.xls][Spt-BH.xls]B__1912"/>
      <sheetName val="[Spt-BH.xls][Spt-BH.xls]B__1913"/>
      <sheetName val="[Spt-BH.xls][Spt-BH.xls]B__1914"/>
      <sheetName val="[Spt-BH.xls][Spt-BH.xls]B__1903"/>
      <sheetName val="[Spt-BH.xls][Spt-BH.xls]B__1904"/>
      <sheetName val="[Spt-BH.xls][Spt-BH.xls]B__1905"/>
      <sheetName val="[Spt-BH.xls][Spt-BH.xls]_Sp_605"/>
      <sheetName val="[Spt-BH.xls][Spt-BH.xls]B__1906"/>
      <sheetName val="[Spt-BH.xls][Spt-BH.xls]_Sp_603"/>
      <sheetName val="[Spt-BH.xls][Spt-BH.xls]B__1907"/>
      <sheetName val="[Spt-BH.xls][Spt-BH.xls]B__1908"/>
      <sheetName val="[Spt-BH.xls]B____x005f_x0004______144"/>
      <sheetName val="[Spt-BH.xls]B___x005f_x0000__x000_144"/>
      <sheetName val="[Spt-BH.xls][Spt-BH.xls]B__1915"/>
      <sheetName val="[Spt-BH.xls][Spt-BH.xls]_Sp_604"/>
      <sheetName val="[Spt-BH.xls][Spt-BH.xls]B__1909"/>
      <sheetName val="[Spt-BH.xls][Spt-BH.xls]_Sp_606"/>
      <sheetName val="[Spt-BH.xls][Spt-BH_xls]B__1230"/>
      <sheetName val="[Spt-BH.xls][Spt-BH_xls]B__1231"/>
      <sheetName val="[Spt-BH.xls][Spt-BH_xls]B__1232"/>
      <sheetName val="[Spt-BH.xls][Spt-BH_xls]B__1233"/>
      <sheetName val="[Spt-BH.xls][Spt-BH_xls]_Sp_349"/>
      <sheetName val="[Spt-BH.xls][Spt-BH_xls]B__1234"/>
      <sheetName val="[Spt-BH.xls][Spt-BH_xls]B__1235"/>
      <sheetName val="[Spt-BH.xls][Spt-BH_xls]B__1236"/>
      <sheetName val="[Spt-BH.xls][Spt-BH_xls]_Sp_350"/>
      <sheetName val="[Spt-BH.xls][Spt-BH_xls]B__1237"/>
      <sheetName val="[Spt-BH.xls][Spt-BH_xls]B__1238"/>
      <sheetName val="[Spt-BH.xls][Spt-BH_xls]B__1239"/>
      <sheetName val="[Spt-BH.xls][Spt-BH_xls]B__1240"/>
      <sheetName val="[Spt-BH.xls][Spt-BH_xls]_Sp_351"/>
      <sheetName val="[Spt-BH.xls][Spt-BH.xls]_Sp_609"/>
      <sheetName val="[Spt-BH.xls][Spt-BH.xls]B__1922"/>
      <sheetName val="[Spt-BH.xls][Spt-BH.xls]B__1923"/>
      <sheetName val="[Spt-BH.xls][Spt-BH.xls]_Sp_611"/>
      <sheetName val="[Spt-BH.xls][Spt-BH.xls]B__1924"/>
      <sheetName val="[Spt-BH.xls][Spt-BH.xls]B__1925"/>
      <sheetName val="[Spt-BH.xls][Spt-BH.xls]B__1926"/>
      <sheetName val="[Spt-BH.xls][Spt-BH.xls]B__1927"/>
      <sheetName val="[Spt-BH.xls][Spt-BH.xls]_Sp_610"/>
      <sheetName val="[Spt-BH.xls][Spt-BH.xls]_Sp_608"/>
      <sheetName val="[Spt-BH.xls][Spt-BH.xls]B__1916"/>
      <sheetName val="[Spt-BH.xls][Spt-BH.xls]B__1917"/>
      <sheetName val="[Spt-BH.xls][Spt-BH.xls]B__1918"/>
      <sheetName val="[Spt-BH.xls][Spt-BH.xls]B__1919"/>
      <sheetName val="[Spt-BH.xls][Spt-BH.xls]B__1920"/>
      <sheetName val="[Spt-BH.xls][Spt-BH.xls]B__1921"/>
      <sheetName val="[Spt-BH.xls][Spt-BH.xls]B__1928"/>
      <sheetName val="[Spt-BH.xls][Spt-BH.xls]B__1929"/>
      <sheetName val="[Spt-BH.xls][Spt-BH.xls]_Sp_613"/>
      <sheetName val="[Spt-BH.xls][Spt-BH.xls]B__1930"/>
      <sheetName val="[Spt-BH.xls][Spt-BH.xls]B__1931"/>
      <sheetName val="[Spt-BH.xls][Spt-BH.xls]B__1932"/>
      <sheetName val="[Spt-BH.xls][Spt-BH.xls]B__1933"/>
      <sheetName val="[Spt-BH.xls][Spt-BH.xls]_Sp_612"/>
      <sheetName val="[Spt-BH.xls][Spt-BH.xls]B__1935"/>
      <sheetName val="[Spt-BH.xls][Spt-BH.xls]B__1936"/>
      <sheetName val="[Spt-BH.xls][Spt-BH.xls]_Sp_615"/>
      <sheetName val="[Spt-BH.xls][Spt-BH.xls]B__1937"/>
      <sheetName val="[Spt-BH.xls][Spt-BH.xls]B__1938"/>
      <sheetName val="[Spt-BH.xls][Spt-BH.xls]B__1939"/>
      <sheetName val="[Spt-BH.xls]B____x005f_x0004______145"/>
      <sheetName val="[Spt-BH.xls]B___x005f_x0000__x000_145"/>
      <sheetName val="[Spt-BH.xls][Spt-BH.xls]B__1940"/>
      <sheetName val="[Spt-BH.xls][Spt-BH.xls]B__1934"/>
      <sheetName val="[Spt-BH.xls][Spt-BH.xls]_Sp_614"/>
      <sheetName val="[Spt-BH.xls][Spt-BH_xls]B__1241"/>
      <sheetName val="[Spt-BH.xls][Spt-BH_xls]B__1242"/>
      <sheetName val="[Spt-BH.xls][Spt-BH_xls]B__1243"/>
      <sheetName val="[Spt-BH.xls][Spt-BH_xls]B__1244"/>
      <sheetName val="[Spt-BH.xls][Spt-BH_xls]_Sp_352"/>
      <sheetName val="[Spt-BH.xls][Spt-BH_xls]B__1245"/>
      <sheetName val="[Spt-BH.xls][Spt-BH_xls]B__1246"/>
      <sheetName val="[Spt-BH.xls][Spt-BH_xls]B__1247"/>
      <sheetName val="[Spt-BH.xls][Spt-BH_xls]_Sp_353"/>
      <sheetName val="[Spt-BH.xls][Spt-BH_xls]B__1248"/>
      <sheetName val="[Spt-BH.xls][Spt-BH_xls]B__1249"/>
      <sheetName val="[Spt-BH.xls][Spt-BH_xls]B__1250"/>
      <sheetName val="[Spt-BH.xls][Spt-BH_xls]B__1251"/>
      <sheetName val="[Spt-BH.xls][Spt-BH_xls]_Sp_354"/>
      <sheetName val="[Spt-BH.xls][Spt-BH.xls]B__1942"/>
      <sheetName val="[Spt-BH.xls][Spt-BH.xls]B__1943"/>
      <sheetName val="[Spt-BH.xls][Spt-BH.xls]B__1944"/>
      <sheetName val="[Spt-BH.xls][Spt-BH.xls]B__1945"/>
      <sheetName val="[Spt-BH.xls][Spt-BH.xls]B__1946"/>
      <sheetName val="[Spt-BH.xls]B____x005f_x0004______146"/>
      <sheetName val="[Spt-BH.xls]B___x005f_x0000__x000_146"/>
      <sheetName val="[Spt-BH.xls][Spt-BH.xls]B__1947"/>
      <sheetName val="[Spt-BH.xls][Spt-BH.xls]B__1941"/>
      <sheetName val="[Spt-BH.xls][Spt-BH.xls]_Sp_616"/>
      <sheetName val="[Spt-BH.xls][Spt-BH_xls]B__1252"/>
      <sheetName val="[Spt-BH.xls][Spt-BH_xls]B__1253"/>
      <sheetName val="[Spt-BH.xls][Spt-BH_xls]B__1254"/>
      <sheetName val="[Spt-BH.xls][Spt-BH_xls]B__1255"/>
      <sheetName val="[Spt-BH.xls][Spt-BH_xls]_Sp_355"/>
      <sheetName val="[Spt-BH.xls][Spt-BH_xls]B__1256"/>
      <sheetName val="[Spt-BH.xls][Spt-BH_xls]B__1257"/>
      <sheetName val="[Spt-BH.xls][Spt-BH_xls]B__1258"/>
      <sheetName val="[Spt-BH.xls][Spt-BH_xls]_Sp_356"/>
      <sheetName val="[Spt-BH.xls][Spt-BH_xls]B__1259"/>
      <sheetName val="[Spt-BH.xls][Spt-BH_xls]B__1260"/>
      <sheetName val="[Spt-BH.xls][Spt-BH_xls]B__1261"/>
      <sheetName val="[Spt-BH.xls][Spt-BH_xls]B__1262"/>
      <sheetName val="[Spt-BH.xls][Spt-BH_xls]_Sp_357"/>
      <sheetName val="[Spt-BH.xls][Spt-BH.xls]_Sp_619"/>
      <sheetName val="[Spt-BH.xls][Spt-BH.xls]B__1955"/>
      <sheetName val="[Spt-BH.xls][Spt-BH.xls]B__1956"/>
      <sheetName val="[Spt-BH.xls][Spt-BH.xls]B__1957"/>
      <sheetName val="[Spt-BH.xls][Spt-BH.xls]B__1958"/>
      <sheetName val="[Spt-BH.xls][Spt-BH.xls]B__1959"/>
      <sheetName val="[Spt-BH.xls][Spt-BH.xls]B__1960"/>
      <sheetName val="[Spt-BH.xls][Spt-BH.xls]_Sp_620"/>
      <sheetName val="[Spt-BH.xls][Spt-BH.xls]_Sp_623"/>
      <sheetName val="[Spt-BH.xls][Spt-BH.xls]_Sp_634"/>
      <sheetName val="[Spt-BH.xls][Spt-BH.xls]B__1986"/>
      <sheetName val="[Spt-BH.xls][Spt-BH.xls]B__1987"/>
      <sheetName val="[Spt-BH.xls][Spt-BH.xls]_Sp_635"/>
      <sheetName val="[Spt-BH.xls][Spt-BH.xls]B__1988"/>
      <sheetName val="[Spt-BH.xls][Spt-BH.xls]B__1989"/>
      <sheetName val="[Spt-BH.xls][Spt-BH.xls]B__1990"/>
      <sheetName val="[Spt-BH.xls][Spt-BH.xls]B__1991"/>
      <sheetName val="[Spt-BH.xls][Spt-BH.xls]_Sp_625"/>
      <sheetName val="[Spt-BH.xls][Spt-BH.xls]B__1967"/>
      <sheetName val="[Spt-BH.xls][Spt-BH.xls]B__1968"/>
      <sheetName val="[Spt-BH.xls][Spt-BH.xls]_Sp_627"/>
      <sheetName val="[Spt-BH.xls][Spt-BH.xls]B__1969"/>
      <sheetName val="[Spt-BH.xls][Spt-BH.xls]B__1970"/>
      <sheetName val="[Spt-BH.xls][Spt-BH.xls]B__1971"/>
      <sheetName val="[Spt-BH.xls][Spt-BH.xls]B__1972"/>
      <sheetName val="[Spt-BH.xls][Spt-BH.xls]_Sp_626"/>
      <sheetName val="[Spt-BH.xls][Spt-BH.xls]B__1974"/>
      <sheetName val="[Spt-BH.xls][Spt-BH.xls]B__1975"/>
      <sheetName val="[Spt-BH.xls][Spt-BH.xls]_Sp_629"/>
      <sheetName val="[Spt-BH.xls][Spt-BH.xls]B__1976"/>
      <sheetName val="[Spt-BH.xls][Spt-BH.xls]B__1977"/>
      <sheetName val="[Spt-BH.xls][Spt-BH.xls]B__1978"/>
      <sheetName val="[Spt-BH.xls]B____x005f_x0004______149"/>
      <sheetName val="[Spt-BH.xls]B___x005f_x0000__x000_149"/>
      <sheetName val="[Spt-BH.xls][Spt-BH.xls]B__1979"/>
      <sheetName val="[Spt-BH.xls][Spt-BH.xls]B__1973"/>
      <sheetName val="[Spt-BH.xls][Spt-BH.xls]_Sp_628"/>
      <sheetName val="[Spt-BH.xls][Spt-BH_xls]B__1285"/>
      <sheetName val="[Spt-BH.xls][Spt-BH_xls]B__1286"/>
      <sheetName val="[Spt-BH.xls][Spt-BH_xls]B__1287"/>
      <sheetName val="[Spt-BH.xls][Spt-BH_xls]B__1288"/>
      <sheetName val="[Spt-BH.xls][Spt-BH_xls]_Sp_364"/>
      <sheetName val="[Spt-BH.xls][Spt-BH_xls]B__1289"/>
      <sheetName val="[Spt-BH.xls][Spt-BH_xls]B__1290"/>
      <sheetName val="[Spt-BH.xls][Spt-BH_xls]B__1291"/>
      <sheetName val="[Spt-BH.xls][Spt-BH_xls]_Sp_365"/>
      <sheetName val="[Spt-BH.xls][Spt-BH_xls]B__1292"/>
      <sheetName val="[Spt-BH.xls][Spt-BH_xls]B__1293"/>
      <sheetName val="[Spt-BH.xls][Spt-BH_xls]B__1294"/>
      <sheetName val="[Spt-BH.xls][Spt-BH_xls]B__1295"/>
      <sheetName val="[Spt-BH.xls][Spt-BH_xls]_Sp_366"/>
      <sheetName val="[Spt-BH.xls]B____x005f_x0004______148"/>
      <sheetName val="[Spt-BH.xls]B___x005f_x0000__x000_148"/>
      <sheetName val="[Spt-BH.xls][Spt-BH_xls]B__1274"/>
      <sheetName val="[Spt-BH.xls][Spt-BH_xls]B__1275"/>
      <sheetName val="[Spt-BH.xls][Spt-BH_xls]B__1276"/>
      <sheetName val="[Spt-BH.xls][Spt-BH_xls]B__1277"/>
      <sheetName val="[Spt-BH.xls][Spt-BH_xls]_Sp_361"/>
      <sheetName val="[Spt-BH.xls][Spt-BH_xls]B__1278"/>
      <sheetName val="[Spt-BH.xls][Spt-BH_xls]B__1279"/>
      <sheetName val="[Spt-BH.xls][Spt-BH_xls]B__1280"/>
      <sheetName val="[Spt-BH.xls][Spt-BH_xls]_Sp_362"/>
      <sheetName val="[Spt-BH.xls][Spt-BH_xls]B__1281"/>
      <sheetName val="[Spt-BH.xls][Spt-BH_xls]B__1282"/>
      <sheetName val="[Spt-BH.xls][Spt-BH_xls]B__1283"/>
      <sheetName val="[Spt-BH.xls][Spt-BH_xls]B__1284"/>
      <sheetName val="[Spt-BH.xls][Spt-BH_xls]_Sp_363"/>
      <sheetName val="[Spt-BH.xls][Spt-BH.xls]_Sp_630"/>
      <sheetName val="[Spt-BH.xls][Spt-BH.xls]B__1980"/>
      <sheetName val="[Spt-BH.xls][Spt-BH.xls]B__1981"/>
      <sheetName val="[Spt-BH.xls][Spt-BH.xls]_Sp_633"/>
      <sheetName val="[Spt-BH.xls][Spt-BH.xls]B__1982"/>
      <sheetName val="[Spt-BH.xls][Spt-BH.xls]B__1983"/>
      <sheetName val="[Spt-BH.xls][Spt-BH.xls]B__1984"/>
      <sheetName val="[Spt-BH.xls][Spt-BH.xls]_Sp_631"/>
      <sheetName val="[Spt-BH.xls][Spt-BH.xls]B__1985"/>
      <sheetName val="[Spt-BH.xls][Spt-BH.xls]_Sp_632"/>
      <sheetName val="[Spt-BH.xls][Spt-BH.xls]_Sp_642"/>
      <sheetName val="[Spt-BH.xls][Spt-BH.xls]B__2005"/>
      <sheetName val="[Spt-BH.xls][Spt-BH.xls]B__2006"/>
      <sheetName val="[Spt-BH.xls][Spt-BH.xls]_Sp_644"/>
      <sheetName val="[Spt-BH.xls][Spt-BH.xls]B__2007"/>
      <sheetName val="[Spt-BH.xls][Spt-BH.xls]B__2008"/>
      <sheetName val="[Spt-BH.xls][Spt-BH.xls]B__2009"/>
      <sheetName val="[Spt-BH.xls][Spt-BH.xls]B__2010"/>
      <sheetName val="[Spt-BH.xls][Spt-BH.xls]_Sp_643"/>
      <sheetName val="[Spt-BH.xls][Spt-BH.xls]B__2012"/>
      <sheetName val="[Spt-BH.xls][Spt-BH.xls]B__2013"/>
      <sheetName val="[Spt-BH.xls][Spt-BH.xls]_Sp_646"/>
      <sheetName val="[Spt-BH.xls][Spt-BH.xls]B__2014"/>
      <sheetName val="[Spt-BH.xls][Spt-BH.xls]B__2015"/>
      <sheetName val="[Spt-BH.xls][Spt-BH.xls]B__2016"/>
      <sheetName val="[Spt-BH.xls]B____x005f_x0004______152"/>
      <sheetName val="[Spt-BH.xls]B___x005f_x0000__x000_152"/>
      <sheetName val="[Spt-BH.xls][Spt-BH.xls]B__2017"/>
      <sheetName val="[Spt-BH.xls][Spt-BH.xls]B__2011"/>
      <sheetName val="[Spt-BH.xls][Spt-BH.xls]_Sp_645"/>
      <sheetName val="[Spt-BH.xls][Spt-BH_xls]B__1307"/>
      <sheetName val="[Spt-BH.xls][Spt-BH_xls]B__1308"/>
      <sheetName val="[Spt-BH.xls][Spt-BH_xls]B__1309"/>
      <sheetName val="[Spt-BH.xls][Spt-BH_xls]B__1310"/>
      <sheetName val="[Spt-BH.xls][Spt-BH_xls]_Sp_370"/>
      <sheetName val="[Spt-BH.xls][Spt-BH_xls]B__1311"/>
      <sheetName val="[Spt-BH.xls][Spt-BH_xls]B__1312"/>
      <sheetName val="[Spt-BH.xls][Spt-BH_xls]B__1313"/>
      <sheetName val="[Spt-BH.xls][Spt-BH_xls]_Sp_371"/>
      <sheetName val="[Spt-BH.xls][Spt-BH_xls]B__1314"/>
      <sheetName val="[Spt-BH.xls][Spt-BH_xls]B__1315"/>
      <sheetName val="[Spt-BH.xls][Spt-BH_xls]B__1316"/>
      <sheetName val="[Spt-BH.xls][Spt-BH_xls]B__1317"/>
      <sheetName val="[Spt-BH.xls][Spt-BH_xls]_Sp_372"/>
      <sheetName val="[Spt-BH.xls][Spt-BH.xls]_Sp_640"/>
      <sheetName val="[Spt-BH.xls][Spt-BH.xls]B__1999"/>
      <sheetName val="[Spt-BH.xls][Spt-BH.xls]B__2000"/>
      <sheetName val="[Spt-BH.xls][Spt-BH.xls]B__2001"/>
      <sheetName val="[Spt-BH.xls][Spt-BH.xls]B__2002"/>
      <sheetName val="[Spt-BH.xls][Spt-BH.xls]B__2003"/>
      <sheetName val="[Spt-BH.xls]B____x005f_x0004______151"/>
      <sheetName val="[Spt-BH.xls]B___x005f_x0000__x000_151"/>
      <sheetName val="[Spt-BH.xls][Spt-BH.xls]B__2004"/>
      <sheetName val="[Spt-BH.xls][Spt-BH.xls]_Sp_641"/>
      <sheetName val="[Spt-BH.xls][Spt-BH.xls]B__1992"/>
      <sheetName val="[Spt-BH.xls][Spt-BH.xls]B__1993"/>
      <sheetName val="[Spt-BH.xls][Spt-BH.xls]B__1994"/>
      <sheetName val="[Spt-BH.xls][Spt-BH.xls]B__1995"/>
      <sheetName val="[Spt-BH.xls][Spt-BH.xls]B__1996"/>
      <sheetName val="[Spt-BH.xls]B____x005f_x0004______150"/>
      <sheetName val="[Spt-BH.xls]B___x005f_x0000__x000_150"/>
      <sheetName val="[Spt-BH.xls][Spt-BH.xls]B__1997"/>
      <sheetName val="[Spt-BH.xls][Spt-BH.xls]_Sp_636"/>
      <sheetName val="[Spt-BH.xls][Spt-BH.xls]_Sp_637"/>
      <sheetName val="[Spt-BH.xls][Spt-BH.xls]_Sp_639"/>
      <sheetName val="[Spt-BH.xls][Spt-BH.xls]B__1998"/>
      <sheetName val="[Spt-BH.xls][Spt-BH.xls]_Sp_638"/>
      <sheetName val="[Spt-BH.xls][Spt-BH_xls]B__1296"/>
      <sheetName val="[Spt-BH.xls][Spt-BH_xls]B__1297"/>
      <sheetName val="[Spt-BH.xls][Spt-BH_xls]B__1298"/>
      <sheetName val="[Spt-BH.xls][Spt-BH_xls]B__1299"/>
      <sheetName val="[Spt-BH.xls][Spt-BH_xls]_Sp_367"/>
      <sheetName val="[Spt-BH.xls][Spt-BH_xls]B__1300"/>
      <sheetName val="[Spt-BH.xls][Spt-BH_xls]B__1301"/>
      <sheetName val="[Spt-BH.xls][Spt-BH_xls]B__1302"/>
      <sheetName val="[Spt-BH.xls][Spt-BH_xls]_Sp_368"/>
      <sheetName val="[Spt-BH.xls][Spt-BH_xls]B__1303"/>
      <sheetName val="[Spt-BH.xls][Spt-BH_xls]B__1304"/>
      <sheetName val="[Spt-BH.xls][Spt-BH_xls]B__1305"/>
      <sheetName val="[Spt-BH.xls][Spt-BH_xls]B__1306"/>
      <sheetName val="[Spt-BH.xls][Spt-BH_xls]_Sp_369"/>
      <sheetName val="[Spt-BH.xls][Spt-BH.xls]B__2018"/>
      <sheetName val="[Spt-BH.xls][Spt-BH.xls]B__2019"/>
      <sheetName val="[Spt-BH.xls][Spt-BH.xls]_Sp_648"/>
      <sheetName val="[Spt-BH.xls][Spt-BH.xls]B__2020"/>
      <sheetName val="[Spt-BH.xls][Spt-BH.xls]B__2021"/>
      <sheetName val="[Spt-BH.xls][Spt-BH.xls]B__2022"/>
      <sheetName val="[Spt-BH.xls][Spt-BH.xls]B__2023"/>
      <sheetName val="[Spt-BH.xls][Spt-BH.xls]_Sp_647"/>
      <sheetName val="[Spt-BH.xls][Spt-BH.xls]B__2025"/>
      <sheetName val="[Spt-BH.xls][Spt-BH.xls]B__2026"/>
      <sheetName val="[Spt-BH.xls][Spt-BH.xls]_Sp_650"/>
      <sheetName val="[Spt-BH.xls][Spt-BH.xls]B__2027"/>
      <sheetName val="[Spt-BH.xls][Spt-BH.xls]B__2028"/>
      <sheetName val="[Spt-BH.xls][Spt-BH.xls]B__2029"/>
      <sheetName val="[Spt-BH.xls]B____x005f_x0004______153"/>
      <sheetName val="[Spt-BH.xls]B___x005f_x0000__x000_153"/>
      <sheetName val="[Spt-BH.xls][Spt-BH.xls]B__2030"/>
      <sheetName val="[Spt-BH.xls][Spt-BH.xls]B__2024"/>
      <sheetName val="[Spt-BH.xls][Spt-BH.xls]_Sp_649"/>
      <sheetName val="[Spt-BH.xls][Spt-BH_xls]B__1318"/>
      <sheetName val="[Spt-BH.xls][Spt-BH_xls]B__1319"/>
      <sheetName val="[Spt-BH.xls][Spt-BH_xls]B__1320"/>
      <sheetName val="[Spt-BH.xls][Spt-BH_xls]B__1321"/>
      <sheetName val="[Spt-BH.xls][Spt-BH_xls]_Sp_373"/>
      <sheetName val="[Spt-BH.xls][Spt-BH_xls]B__1322"/>
      <sheetName val="[Spt-BH.xls][Spt-BH_xls]B__1323"/>
      <sheetName val="[Spt-BH.xls][Spt-BH_xls]B__1324"/>
      <sheetName val="[Spt-BH.xls][Spt-BH_xls]_Sp_374"/>
      <sheetName val="[Spt-BH.xls][Spt-BH_xls]B__1325"/>
      <sheetName val="[Spt-BH.xls][Spt-BH_xls]B__1326"/>
      <sheetName val="[Spt-BH.xls][Spt-BH_xls]B__1327"/>
      <sheetName val="[Spt-BH.xls][Spt-BH_xls]B__1328"/>
      <sheetName val="[Spt-BH.xls][Spt-BH_xls]_Sp_375"/>
      <sheetName val="[Spt-BH.xls][Spt-BH.xls]B__2031"/>
      <sheetName val="[Spt-BH.xls][Spt-BH.xls]B__2032"/>
      <sheetName val="[Spt-BH.xls][Spt-BH.xls]_Sp_652"/>
      <sheetName val="[Spt-BH.xls][Spt-BH.xls]B__2033"/>
      <sheetName val="[Spt-BH.xls][Spt-BH.xls]B__2034"/>
      <sheetName val="[Spt-BH.xls][Spt-BH.xls]B__2035"/>
      <sheetName val="[Spt-BH.xls][Spt-BH.xls]B__2036"/>
      <sheetName val="[Spt-BH.xls][Spt-BH.xls]_Sp_651"/>
      <sheetName val="[Spt-BH.xls][Spt-BH.xls]_Sp_654"/>
      <sheetName val="[Spt-BH.xls][Spt-BH.xls]_Sp_656"/>
      <sheetName val="[Spt-BH.xls][Spt-BH.xls]_Sp_655"/>
      <sheetName val="[Spt-BH.xls][Spt-BH.xls]B__2038"/>
      <sheetName val="[Spt-BH.xls][Spt-BH.xls]B__2039"/>
      <sheetName val="[Spt-BH.xls][Spt-BH.xls]_Sp_658"/>
      <sheetName val="[Spt-BH.xls][Spt-BH.xls]B__2040"/>
      <sheetName val="[Spt-BH.xls][Spt-BH.xls]B__2041"/>
      <sheetName val="[Spt-BH.xls][Spt-BH.xls]B__2042"/>
      <sheetName val="[Spt-BH.xls]B____x005f_x0004______154"/>
      <sheetName val="[Spt-BH.xls]B___x005f_x0000__x000_154"/>
      <sheetName val="[Spt-BH.xls][Spt-BH.xls]B__2043"/>
      <sheetName val="[Spt-BH.xls][Spt-BH.xls]B__2037"/>
      <sheetName val="[Spt-BH.xls][Spt-BH.xls]_Sp_657"/>
      <sheetName val="[Spt-BH.xls][Spt-BH_xls]B__1329"/>
      <sheetName val="[Spt-BH.xls][Spt-BH_xls]B__1330"/>
      <sheetName val="[Spt-BH.xls][Spt-BH_xls]B__1331"/>
      <sheetName val="[Spt-BH.xls][Spt-BH_xls]B__1332"/>
      <sheetName val="[Spt-BH.xls][Spt-BH_xls]_Sp_376"/>
      <sheetName val="[Spt-BH.xls][Spt-BH_xls]B__1333"/>
      <sheetName val="[Spt-BH.xls][Spt-BH_xls]B__1334"/>
      <sheetName val="[Spt-BH.xls][Spt-BH_xls]B__1335"/>
      <sheetName val="[Spt-BH.xls][Spt-BH_xls]_Sp_377"/>
      <sheetName val="[Spt-BH.xls][Spt-BH_xls]B__1336"/>
      <sheetName val="[Spt-BH.xls][Spt-BH_xls]B__1337"/>
      <sheetName val="[Spt-BH.xls][Spt-BH_xls]B__1338"/>
      <sheetName val="[Spt-BH.xls][Spt-BH_xls]B__1339"/>
      <sheetName val="[Spt-BH.xls][Spt-BH_xls]_Sp_378"/>
      <sheetName val="glass_project_i"/>
      <sheetName val="oject_indices4_"/>
      <sheetName val="_Recovered_SheetName_511_"/>
      <sheetName val="_Recovered_SheetName_512_"/>
      <sheetName val="_Recovered_SheetName_513_"/>
      <sheetName val="_Recovered_SheetName_514_"/>
      <sheetName val="_Recovered_SheetName_515_"/>
      <sheetName val="_Recovered_SheetName_516_"/>
      <sheetName val="_Recovered_SheetName_517_"/>
      <sheetName val="_Recovered_SheetName_518_"/>
      <sheetName val="_Recovered_SheetName_519_"/>
      <sheetName val="_Recovered_SheetName_520_"/>
      <sheetName val="_Recovered_SheetName_521_"/>
      <sheetName val="_Recovered_SheetName_522_"/>
      <sheetName val="_Recovered_SheetName_523_"/>
      <sheetName val="_Recovered_SheetName_524_"/>
      <sheetName val="_Recovered_SheetName_525_"/>
      <sheetName val="_Recovered_SheetName_526_"/>
      <sheetName val="_Recovered_SheetName_527_"/>
      <sheetName val="_Recovered_SheetName_528_"/>
      <sheetName val="_Recovered_SheetName_529_"/>
      <sheetName val="_Recovered_SheetName_530_"/>
      <sheetName val="_Recovered_SheetName_531_"/>
      <sheetName val="_Recovered_SheetName_532_"/>
      <sheetName val="_Recovered_SheetName_533_"/>
      <sheetName val="_Recovered_SheetName_534_"/>
      <sheetName val="_Recovered_SheetName_535_"/>
      <sheetName val="_Recovered_SheetName_536_"/>
      <sheetName val="_Recovered_SheetName_537_"/>
      <sheetName val="_Recovered_SheetName_538_"/>
      <sheetName val="_Recovered_SheetName_539_"/>
      <sheetName val="_Recovered_SheetName_540_"/>
      <sheetName val="_Recovered_SheetName_541_"/>
      <sheetName val="_Recovered_SheetName_542_"/>
      <sheetName val="_Recovered_SheetName_543_"/>
      <sheetName val="_Recovered_SheetName_544_"/>
      <sheetName val="_Recovered_SheetName_545_"/>
      <sheetName val="_Recovered_SheetName_546_"/>
      <sheetName val="_Recovered_SheetName_547_"/>
      <sheetName val="_Recovered_SheetName_548_"/>
      <sheetName val="_Recovered_SheetName_549_"/>
      <sheetName val="_Recovered_SheetName_550_"/>
      <sheetName val="_Recovered_SheetName_551_"/>
      <sheetName val="_Recovered_SheetName_552_"/>
      <sheetName val="_Recovered_SheetName_553_"/>
      <sheetName val="_Recovered_SheetName_554_"/>
      <sheetName val="_Recovered_SheetName_555_"/>
      <sheetName val="_Recovered_SheetName_556_"/>
      <sheetName val="_Recovered_SheetName_557_"/>
      <sheetName val="_Recovered_SheetName_558_"/>
      <sheetName val="_Recovered_SheetName_559_"/>
      <sheetName val="_Recovered_SheetName_560_"/>
      <sheetName val="_Recovered_SheetName_561_"/>
      <sheetName val="_Recovered_SheetName_562_"/>
      <sheetName val="_Recovered_SheetName_563_"/>
      <sheetName val="_Recovered_SheetName_564_"/>
      <sheetName val="_Recovered_SheetName_565_"/>
      <sheetName val="_Recovered_SheetName_566_"/>
      <sheetName val="_Recovered_SheetName_567_"/>
      <sheetName val="_Recovered_SheetName_568_"/>
      <sheetName val="_Recovered_SheetName_569_"/>
      <sheetName val="_Recovered_SheetName_570_"/>
      <sheetName val="_Recovered_SheetName_571_"/>
      <sheetName val="_Recovered_SheetName_572_"/>
      <sheetName val="_Recovered_SheetName_573_"/>
      <sheetName val="_Recovered_SheetName_574_"/>
      <sheetName val="_Recovered_SheetName_575_"/>
      <sheetName val="_Recovered_SheetName_576_"/>
      <sheetName val="_Recovered_SheetName_577_"/>
      <sheetName val="_Recovered_SheetName_578_"/>
      <sheetName val="_Recovered_SheetName_579_"/>
      <sheetName val="_Recovered_SheetName_580_"/>
      <sheetName val="_Recovered_SheetName_581_"/>
      <sheetName val="_Recovered_SheetName_582_"/>
      <sheetName val="_Recovered_SheetName_583_"/>
      <sheetName val="_Recovered_SheetName_584_"/>
      <sheetName val="_Recovered_SheetName_585_"/>
      <sheetName val="_Recovered_SheetName_586_"/>
      <sheetName val="_Recovered_SheetName_587_"/>
      <sheetName val="_Recovered_SheetName_588_"/>
      <sheetName val="_Recovered_SheetName_589_"/>
      <sheetName val="_Recovered_SheetName_590_"/>
      <sheetName val="_Recovered_SheetName_591_"/>
      <sheetName val="_Recovered_SheetName_592_"/>
      <sheetName val="_Recovered_SheetName_593_"/>
      <sheetName val="_Recovered_SheetName_594_"/>
      <sheetName val="_Recovered_SheetName_595_"/>
      <sheetName val="_Recovered_SheetName_596_"/>
      <sheetName val="_Recovered_SheetName_597_"/>
      <sheetName val="_Recovered_SheetName_598_"/>
      <sheetName val="_Recovered_SheetName_599_"/>
      <sheetName val="_Recovered_SheetName_600_"/>
      <sheetName val="_Recovered_SheetName_601_"/>
      <sheetName val="_Recovered_SheetName_602_"/>
      <sheetName val="_Recovered_SheetName_603_"/>
      <sheetName val="_Recovered_SheetName_604_"/>
      <sheetName val="_Recovered_SheetName_605_"/>
      <sheetName val="_Recovered_SheetName_606_"/>
      <sheetName val="_Recovered_SheetName_607_"/>
      <sheetName val="_Recovered_SheetName_608_"/>
      <sheetName val="_Recovered_SheetName_609_"/>
      <sheetName val="_Recovered_SheetName_610_"/>
      <sheetName val="_Recovered_SheetName_611_"/>
      <sheetName val="_Recovered_SheetName_612_"/>
      <sheetName val="_Recovered_SheetName_613_"/>
      <sheetName val="_Recovered_SheetName_614_"/>
      <sheetName val="_Recovered_SheetName_615_"/>
      <sheetName val="_Recovered_SheetName_616_"/>
      <sheetName val="_Recovered_SheetName_617_"/>
      <sheetName val="_Recovered_SheetName_618_"/>
      <sheetName val="_Recovered_SheetName_619_"/>
      <sheetName val="_Recovered_SheetName_620_"/>
      <sheetName val="_Recovered_SheetName_621_"/>
      <sheetName val="_Recovered_SheetName_622_"/>
      <sheetName val="_Recovered_SheetName_623_"/>
      <sheetName val="_Recovered_SheetName_624_"/>
      <sheetName val="_Recovered_SheetName_625_"/>
      <sheetName val="_Recovered_SheetName_626_"/>
      <sheetName val="_Recovered_SheetName_627_"/>
      <sheetName val="_Recovered_SheetName_628_"/>
      <sheetName val="_Recovered_SheetName_629_"/>
      <sheetName val="_Recovered_SheetName_630_"/>
      <sheetName val="_Recovered_SheetName_631_"/>
      <sheetName val="_Recovered_SheetName_632_"/>
      <sheetName val="_Recovered_SheetName_633_"/>
      <sheetName val="_Recovered_SheetName_634_"/>
      <sheetName val="_Recovered_SheetName_635_"/>
      <sheetName val="_Recovered_SheetName_636_"/>
      <sheetName val="_Recovered_SheetName_637_"/>
      <sheetName val="_Recovered_SheetName_638_"/>
      <sheetName val="_Recovered_SheetName_639_"/>
      <sheetName val="_Recovered_SheetName_640_"/>
      <sheetName val="_Recovered_SheetName_641_"/>
      <sheetName val="_Recovered_SheetName_642_"/>
      <sheetName val="_Recovered_SheetName_643_"/>
      <sheetName val="_Recovered_SheetName_644_"/>
      <sheetName val="_Recovered_SheetName_645_"/>
      <sheetName val="_Recovered_SheetName_646_"/>
      <sheetName val="_Recovered_SheetName_647_"/>
      <sheetName val="_Recovered_SheetName_648_"/>
      <sheetName val="_Recovered_SheetName_649_"/>
      <sheetName val="_Recovered_SheetName_650_"/>
      <sheetName val="_Recovered_SheetName_651_"/>
      <sheetName val="_Recovered_SheetName_652_"/>
      <sheetName val="_Recovered_SheetName_653_"/>
      <sheetName val="_Recovered_SheetName_654_"/>
      <sheetName val="_Recovered_SheetName_655_"/>
      <sheetName val="_Recovered_SheetName_656_"/>
      <sheetName val="_Recovered_SheetName_657_"/>
      <sheetName val="_Recovered_SheetName_658_"/>
      <sheetName val="_Recovered_SheetName_659_"/>
      <sheetName val="_Recovered_SheetName_660_"/>
      <sheetName val="_Recovered_SheetName_661_"/>
      <sheetName val="_Recovered_SheetName_662_"/>
      <sheetName val="_Recovered_SheetName_663_"/>
      <sheetName val="_Recovered_SheetName_664_"/>
      <sheetName val="_Recovered_SheetName_665_"/>
      <sheetName val="_Recovered_SheetName_666_"/>
      <sheetName val="_Recovered_SheetName_667_"/>
      <sheetName val="_Recovered_SheetName_668_"/>
      <sheetName val="_Recovered_SheetName_669_"/>
      <sheetName val="_Recovered_SheetName_670_"/>
      <sheetName val="_Recovered_SheetName_671_"/>
      <sheetName val="_Recovered_SheetName_672_"/>
      <sheetName val="_Recovered_SheetName_673_"/>
      <sheetName val="_Recovered_SheetName_674_"/>
      <sheetName val="_Recovered_SheetName_675_"/>
      <sheetName val="_Recovered_SheetName_676_"/>
      <sheetName val="_Recovered_SheetName_677_"/>
      <sheetName val="_Recovered_SheetName_678_"/>
      <sheetName val="_Recovered_SheetName_679_"/>
      <sheetName val="_Recovered_SheetName_680_"/>
      <sheetName val="_Recovered_SheetName_681_"/>
      <sheetName val="_Recovered_SheetName_682_"/>
      <sheetName val="_Recovered_SheetName_683_"/>
      <sheetName val="_Recovered_SheetName_684_"/>
      <sheetName val="_Recovered_SheetName_685_"/>
      <sheetName val="_Recovered_SheetName_686_"/>
      <sheetName val="_Recovered_SheetName_687_"/>
      <sheetName val="_Recovered_SheetName_688_"/>
      <sheetName val="_Recovered_SheetName_689_"/>
      <sheetName val="_Recovered_SheetName_690_"/>
      <sheetName val="_Recovered_SheetName_691_"/>
      <sheetName val="_Recovered_SheetName_692_"/>
      <sheetName val="_Recovered_SheetName_693_"/>
      <sheetName val="_Recovered_SheetName_694_"/>
      <sheetName val="_Recovered_SheetName_695_"/>
      <sheetName val="_Recovered_SheetName_696_"/>
      <sheetName val="_Recovered_SheetName_697_"/>
      <sheetName val="_Recovered_SheetName_698_"/>
      <sheetName val="_Recovered_SheetName_699_"/>
      <sheetName val="_Recovered_SheetName_700_"/>
      <sheetName val="_Recovered_SheetName_701_"/>
      <sheetName val="_Recovered_SheetName_702_"/>
      <sheetName val="_Recovered_SheetName_703_"/>
      <sheetName val="_Recovered_SheetName_704_"/>
      <sheetName val="_Recovered_SheetName_705_"/>
      <sheetName val="_Recovered_SheetName_706_"/>
      <sheetName val="_Recovered_SheetName_707_"/>
      <sheetName val="_Recovered_SheetName_708_"/>
      <sheetName val="_Recovered_SheetName_709_"/>
      <sheetName val="_Recovered_SheetName_710_"/>
      <sheetName val="_Recovered_SheetName_711_"/>
      <sheetName val="_Recovered_SheetName_712_"/>
      <sheetName val="_Recovered_SheetName_713_"/>
      <sheetName val="_Recovered_SheetName_714_"/>
      <sheetName val="_Recovered_SheetName_715_"/>
      <sheetName val="_Recovered_SheetName_716_"/>
      <sheetName val="_Recovered_SheetName_717_"/>
      <sheetName val="_Recovered_SheetName_718_"/>
      <sheetName val="_Recovered_SheetName_719_"/>
      <sheetName val="_Recovered_SheetName_720_"/>
      <sheetName val="_Recovered_SheetName_721_"/>
      <sheetName val="_Recovered_SheetName_722_"/>
      <sheetName val="_Recovered_SheetName_723_"/>
      <sheetName val="_Recovered_SheetName_724_"/>
      <sheetName val="_Recovered_SheetName_725_"/>
      <sheetName val="_Recovered_SheetName_726_"/>
      <sheetName val="_Recovered_SheetName_727_"/>
      <sheetName val="_Recovered_SheetName_728_"/>
      <sheetName val="_Recovered_SheetName_729_"/>
      <sheetName val="_Recovered_SheetName_730_"/>
      <sheetName val="_Recovered_SheetName_731_"/>
      <sheetName val="_Recovered_SheetName_732_"/>
      <sheetName val="_Recovered_SheetName_733_"/>
      <sheetName val="_Recovered_SheetName_734_"/>
      <sheetName val="_Recovered_SheetName_735_"/>
      <sheetName val="_Recovered_SheetName_736_"/>
      <sheetName val="_Recovered_SheetName_737_"/>
      <sheetName val="_Recovered_SheetName_738_"/>
      <sheetName val="_Recovered_SheetName_739_"/>
      <sheetName val="_Recovered_SheetName_740_"/>
      <sheetName val="_Recovered_SheetName_741_"/>
      <sheetName val="_Recovered_SheetName_742_"/>
      <sheetName val="_Recovered_SheetName_743_"/>
      <sheetName val="_Recovered_SheetName_744_"/>
      <sheetName val="_Recovered_SheetName_745_"/>
      <sheetName val="_Recovered_SheetName_746_"/>
      <sheetName val="_Recovered_SheetName_747_"/>
      <sheetName val="_Recovered_SheetName_748_"/>
      <sheetName val="_Recovered_SheetName_749_"/>
      <sheetName val="_Recovered_SheetName_750_"/>
      <sheetName val="_Recovered_SheetName_751_"/>
      <sheetName val="_Recovered_SheetName_752_"/>
      <sheetName val="_Recovered_SheetName_753_"/>
      <sheetName val="_Recovered_SheetName_754_"/>
      <sheetName val="_Recovered_SheetName_755_"/>
      <sheetName val="_Recovered_SheetName_756_"/>
      <sheetName val="_Recovered_SheetName_757_"/>
      <sheetName val="_Recovered_SheetName_758_"/>
      <sheetName val="_Recovered_SheetName_759_"/>
      <sheetName val="_Recovered_SheetName_760_"/>
      <sheetName val="_Recovered_SheetName_761_"/>
      <sheetName val="_Recovered_SheetName_762_"/>
      <sheetName val="_Recovered_SheetName_763_"/>
      <sheetName val="_Recovered_SheetName_764_"/>
      <sheetName val="_Recovered_SheetName_765_"/>
      <sheetName val="_Recovered_SheetName_766_"/>
      <sheetName val="_Recovered_SheetName_767_"/>
      <sheetName val="_Recovered_SheetName_768_"/>
      <sheetName val="_Recovered_SheetName_769_"/>
      <sheetName val="_Recovered_SheetName_770_"/>
      <sheetName val="_Recovered_SheetName_771_"/>
      <sheetName val="_Recovered_SheetName_772_"/>
      <sheetName val="_Recovered_SheetName_773_"/>
      <sheetName val="_Recovered_SheetName_774_"/>
      <sheetName val="_Recovered_SheetName_775_"/>
      <sheetName val="_Recovered_SheetName_776_"/>
      <sheetName val="_Recovered_SheetName_777_"/>
      <sheetName val="_Recovered_SheetName_778_"/>
      <sheetName val="_Recovered_SheetName_779_"/>
      <sheetName val="_Recovered_SheetName_780_"/>
      <sheetName val="_Recovered_SheetName_781_"/>
      <sheetName val="_Recovered_SheetName_782_"/>
      <sheetName val="_Recovered_SheetName_783_"/>
      <sheetName val="_Recovered_SheetName_784_"/>
      <sheetName val="_Recovered_SheetName_785_"/>
      <sheetName val="_Recovered_SheetName_786_"/>
      <sheetName val="_Recovered_SheetName_787_"/>
      <sheetName val="_Recovered_SheetName_788_"/>
      <sheetName val="_Recovered_SheetName_789_"/>
      <sheetName val="_Recovered_SheetName_790_"/>
      <sheetName val="_Recovered_SheetName_791_"/>
      <sheetName val="_Recovered_SheetName_792_"/>
      <sheetName val="_Recovered_SheetName_793_"/>
      <sheetName val="_Recovered_SheetName_794_"/>
      <sheetName val="_Recovered_SheetName_795_"/>
      <sheetName val="_Recovered_SheetName_796_"/>
      <sheetName val="_Recovered_SheetName_797_"/>
      <sheetName val="_Recovered_SheetName_798_"/>
      <sheetName val="_Recovered_SheetName_799_"/>
      <sheetName val="_Recovered_SheetName_800_"/>
      <sheetName val="_Recovered_SheetName_801_"/>
      <sheetName val="_Recovered_SheetName_802_"/>
      <sheetName val="_Recovered_SheetName_803_"/>
      <sheetName val="_Recovered_SheetName_804_"/>
      <sheetName val="_Recovered_SheetName_805_"/>
      <sheetName val="_Recovered_SheetName_806_"/>
      <sheetName val="_Recovered_SheetName_807_"/>
      <sheetName val="_Recovered_SheetName_808_"/>
      <sheetName val="_Recovered_SheetName_809_"/>
      <sheetName val="_Recovered_SheetName_810_"/>
      <sheetName val="_Recovered_SheetName_811_"/>
      <sheetName val="_Recovered_SheetName_812_"/>
      <sheetName val="_Recovered_SheetName_813_"/>
      <sheetName val="_Recovered_SheetName_814_"/>
      <sheetName val="_Recovered_SheetName_815_"/>
      <sheetName val="_Recovered_SheetName_816_"/>
      <sheetName val="_Recovered_SheetName_817_"/>
      <sheetName val="_Recovered_SheetName_818_"/>
      <sheetName val="_Recovered_SheetName_819_"/>
      <sheetName val="_Recovered_SheetName_820_"/>
      <sheetName val="_Recovered_SheetName_821_"/>
      <sheetName val="_Recovered_SheetName_822_"/>
      <sheetName val="_Recovered_SheetName_823_"/>
      <sheetName val="_Recovered_SheetName_824_"/>
      <sheetName val="_Recovered_SheetName_825_"/>
      <sheetName val="_Recovered_SheetName_826_"/>
      <sheetName val="_Recovered_SheetName_827_"/>
      <sheetName val="_Recovered_SheetName_828_"/>
      <sheetName val="_Recovered_SheetName_829_"/>
      <sheetName val="_Recovered_SheetName_830_"/>
      <sheetName val="_Recovered_SheetName_831_"/>
      <sheetName val="_Recovered_SheetName_832_"/>
      <sheetName val="_Recovered_SheetName_833_"/>
      <sheetName val="_Recovered_SheetName_834_"/>
      <sheetName val="_Recovered_SheetName_835_"/>
      <sheetName val="_Recovered_SheetName_836_"/>
      <sheetName val="_Recovered_SheetName_837_"/>
      <sheetName val="_Recovered_SheetName_838_"/>
      <sheetName val="_Recovered_SheetName_839_"/>
      <sheetName val="_Recovered_SheetName_840_"/>
      <sheetName val="_Recovered_SheetName_841_"/>
      <sheetName val="_Recovered_SheetName_842_"/>
      <sheetName val="_Recovered_SheetName_843_"/>
      <sheetName val="_Recovered_SheetName_844_"/>
      <sheetName val="_Recovered_SheetName_845_"/>
      <sheetName val="_Recovered_SheetName_846_"/>
      <sheetName val="_Recovered_SheetName_847_"/>
      <sheetName val="_Recovered_SheetName_848_"/>
      <sheetName val="_Recovered_SheetName_849_"/>
      <sheetName val="_Recovered_SheetName_850_"/>
      <sheetName val="_Recovered_SheetName_851_"/>
      <sheetName val="_Recovered_SheetName_852_"/>
      <sheetName val="_Recovered_SheetName_853_"/>
      <sheetName val="_Recovered_SheetName_854_"/>
      <sheetName val="_Recovered_SheetName_855_"/>
      <sheetName val="_Recovered_SheetName_856_"/>
      <sheetName val="_Recovered_SheetName_857_"/>
      <sheetName val="_Recovered_SheetName_858_"/>
      <sheetName val="_Recovered_SheetName_859_"/>
      <sheetName val="_Recovered_SheetName_860_"/>
      <sheetName val="_Recovered_SheetName_861_"/>
      <sheetName val="_Recovered_SheetName_862_"/>
      <sheetName val="_Recovered_SheetName_863_"/>
      <sheetName val="_Recovered_SheetName_864_"/>
      <sheetName val="_Recovered_SheetName_865_"/>
      <sheetName val="_Recovered_SheetName_866_"/>
      <sheetName val="_Recovered_SheetName_867_"/>
      <sheetName val="_Recovered_SheetName_868_"/>
      <sheetName val="_Recovered_SheetName_869_"/>
      <sheetName val="_Recovered_SheetName_870_"/>
      <sheetName val="_Recovered_SheetName_871_"/>
      <sheetName val="_Recovered_SheetName_872_"/>
      <sheetName val="_Recovered_SheetName_873_"/>
      <sheetName val="_Recovered_SheetName_874_"/>
      <sheetName val="_Recovered_SheetName_875_"/>
      <sheetName val="_Recovered_SheetName_876_"/>
      <sheetName val="_Recovered_SheetName_877_"/>
      <sheetName val="_Recovered_SheetName_878_"/>
      <sheetName val="_Recovered_SheetName_879_"/>
      <sheetName val="_Recovered_SheetName_880_"/>
      <sheetName val="_Recovered_SheetName_881_"/>
      <sheetName val="_Recovered_SheetName_882_"/>
      <sheetName val="_Recovered_SheetName_883_"/>
      <sheetName val="_Recovered_SheetName_884_"/>
      <sheetName val="_Recovered_SheetName_885_"/>
      <sheetName val="_Recovered_SheetName_886_"/>
      <sheetName val="_Recovered_SheetName_887_"/>
      <sheetName val="_Recovered_SheetName_888_"/>
      <sheetName val="_Recovered_SheetName_889_"/>
      <sheetName val="_Recovered_SheetName_890_"/>
      <sheetName val="_Recovered_SheetName_891_"/>
      <sheetName val="_Recovered_SheetName_892_"/>
      <sheetName val="_Recovered_SheetName_893_"/>
      <sheetName val="_Recovered_SheetName_894_"/>
      <sheetName val="_Recovered_SheetName_895_"/>
      <sheetName val="_Recovered_SheetName_896_"/>
      <sheetName val="_Recovered_SheetName_897_"/>
      <sheetName val="_Recovered_SheetName_898_"/>
      <sheetName val="_Recovered_SheetName_899_"/>
      <sheetName val="_Recovered_SheetName_900_"/>
      <sheetName val="_Recovered_SheetName_901_"/>
      <sheetName val="_Recovered_SheetName_902_"/>
      <sheetName val="_Recovered_SheetName_903_"/>
      <sheetName val="_Recovered_SheetName_904_"/>
      <sheetName val="_Recovered_SheetName_905_"/>
      <sheetName val="_Recovered_SheetName_906_"/>
      <sheetName val="_Recovered_SheetName_907_"/>
      <sheetName val="_Recovered_SheetName_908_"/>
      <sheetName val="_Recovered_SheetName_909_"/>
      <sheetName val="_Recovered_SheetName_910_"/>
      <sheetName val="_Recovered_SheetName_911_"/>
      <sheetName val="_Recovered_SheetName_912_"/>
      <sheetName val="_Recovered_SheetName_913_"/>
      <sheetName val="_Recovered_SheetName_914_"/>
      <sheetName val="_Recovered_SheetName_915_"/>
      <sheetName val="_Recovered_SheetName_916_"/>
      <sheetName val="_Recovered_SheetName_917_"/>
      <sheetName val="_Recovered_SheetName_918_"/>
      <sheetName val="_Recovered_SheetName_919_"/>
      <sheetName val="_Recovered_SheetName_920_"/>
      <sheetName val="_Recovered_SheetName_921_"/>
      <sheetName val="_Recovered_SheetName_922_"/>
      <sheetName val="_Recovered_SheetName_923_"/>
      <sheetName val="_Recovered_SheetName_924_"/>
      <sheetName val="_Recovered_SheetName_925_"/>
      <sheetName val="_Recovered_SheetName_926_"/>
      <sheetName val="_Recovered_SheetName_927_"/>
      <sheetName val="_Recovered_SheetName_928_"/>
      <sheetName val="_Recovered_SheetName_929_"/>
      <sheetName val="_Recovered_SheetName_930_"/>
      <sheetName val="_Recovered_SheetName_931_"/>
      <sheetName val="_Recovered_SheetName_932_"/>
      <sheetName val="_Recovered_SheetName_933_"/>
      <sheetName val="_Recovered_SheetName_934_"/>
      <sheetName val="_Recovered_SheetName_935_"/>
      <sheetName val="_Recovered_SheetName_936_"/>
      <sheetName val="_Recovered_SheetName_937_"/>
      <sheetName val="_Recovered_SheetName_938_"/>
      <sheetName val="_Recovered_SheetName_939_"/>
      <sheetName val="_Recovered_SheetName_940_"/>
      <sheetName val="_Recovered_SheetName_941_"/>
      <sheetName val="_Recovered_SheetName_942_"/>
      <sheetName val="_Recovered_SheetName_943_"/>
      <sheetName val="_Recovered_SheetName_944_"/>
      <sheetName val="_Recovered_SheetName_945_"/>
      <sheetName val="_Recovered_SheetName_946_"/>
      <sheetName val="_Recovered_SheetName_947_"/>
      <sheetName val="_Recovered_SheetName_948_"/>
      <sheetName val="_Recovered_SheetName_949_"/>
      <sheetName val="_Recovered_SheetName_950_"/>
      <sheetName val="_Recovered_SheetName_951_"/>
      <sheetName val="_Recovered_SheetName_952_"/>
      <sheetName val="_Recovered_SheetName_953_"/>
      <sheetName val="_Recovered_SheetName_954_"/>
      <sheetName val="_Recovered_SheetName_955_"/>
      <sheetName val="_Recovered_SheetName_956_"/>
      <sheetName val="_Recovered_SheetName_957_"/>
      <sheetName val="_Recovered_SheetName_958_"/>
      <sheetName val="_Recovered_SheetName_959_"/>
      <sheetName val="_Recovered_SheetName_960_"/>
      <sheetName val="_Recovered_SheetName_961_"/>
      <sheetName val="_Recovered_SheetName_962_"/>
      <sheetName val="_Recovered_SheetName_963_"/>
      <sheetName val="_Recovered_SheetName_964_"/>
      <sheetName val="_Recovered_SheetName_965_"/>
      <sheetName val="_Recovered_SheetName_966_"/>
      <sheetName val="_Recovered_SheetName_967_"/>
      <sheetName val="_Recovered_SheetName_968_"/>
      <sheetName val="_Recovered_SheetName_969_"/>
      <sheetName val="_Recovered_SheetName_970_"/>
      <sheetName val="_Recovered_SheetName_971_"/>
      <sheetName val="_Recovered_SheetName_972_"/>
      <sheetName val="_Recovered_SheetName_973_"/>
      <sheetName val="_Recovered_SheetName_974_"/>
      <sheetName val="_Recovered_SheetName_975_"/>
      <sheetName val="_Recovered_SheetName_976_"/>
      <sheetName val="_Recovered_SheetName_977_"/>
      <sheetName val="_Recovered_SheetName_978_"/>
      <sheetName val="_Recovered_SheetName_979_"/>
      <sheetName val="_Recovered_SheetName_980_"/>
      <sheetName val="_Recovered_SheetName_981_"/>
      <sheetName val="_Recovered_SheetName_982_"/>
      <sheetName val="_Recovered_SheetName_983_"/>
      <sheetName val="_Recovered_SheetName_984_"/>
      <sheetName val="_Recovered_SheetName_985_"/>
      <sheetName val="_Recovered_SheetName_986_"/>
      <sheetName val="_Recovered_SheetName_987_"/>
      <sheetName val="_Recovered_SheetName_988_"/>
      <sheetName val="_Recovered_SheetName_989_"/>
      <sheetName val="_Recovered_SheetName_990_"/>
      <sheetName val="_Recovered_SheetName_991_"/>
      <sheetName val="_Recovered_SheetName_992_"/>
      <sheetName val="_Recovered_SheetName_993_"/>
      <sheetName val="_Recovered_SheetName_994_"/>
      <sheetName val="_Recovered_SheetName_995_"/>
      <sheetName val="_Recovered_SheetName_996_"/>
      <sheetName val="_Recovered_SheetName_997_"/>
      <sheetName val="_Recovered_SheetName_998_"/>
      <sheetName val="_Recovered_SheetName_999_"/>
      <sheetName val="_Recovered_SheetName_1000_"/>
      <sheetName val="_Recovered_SheetName_1001_"/>
      <sheetName val="_Recovered_SheetName_1002_"/>
      <sheetName val="_Recovered_SheetName_1003_"/>
      <sheetName val="_Recovered_SheetName_1004_"/>
      <sheetName val="_Recovered_SheetName_1005_"/>
      <sheetName val="_Recovered_SheetName_1006_"/>
      <sheetName val="_Recovered_SheetName_1007_"/>
      <sheetName val="_Recovered_SheetName_1008_"/>
      <sheetName val="_Recovered_SheetName_1009_"/>
      <sheetName val="_Recovered_SheetName_1010_"/>
      <sheetName val="_Recovered_SheetName_1011_"/>
      <sheetName val="_Recovered_SheetName_1012_"/>
      <sheetName val="_Recovered_SheetName_1013_"/>
      <sheetName val="_Recovered_SheetName_1014_"/>
      <sheetName val="_Recovered_SheetName_1015_"/>
      <sheetName val="_Recovered_SheetName_1016_"/>
      <sheetName val="_Recovered_SheetName_1017_"/>
      <sheetName val="_Recovered_SheetName_1018_"/>
      <sheetName val="_Recovered_SheetName_1019_"/>
      <sheetName val="_Recovered_SheetName_1020_"/>
      <sheetName val="_Recovered_SheetName_1021_"/>
      <sheetName val="_Recovered_SheetName_1022_"/>
      <sheetName val="_Recovered_SheetName_1023_"/>
      <sheetName val="_Recovered_SheetName_1024_"/>
      <sheetName val="_Recovered_SheetName_1025_"/>
      <sheetName val="_Recovered_SheetName_1026_"/>
      <sheetName val="_Recovered_SheetName_1027_"/>
      <sheetName val="_Recovered_SheetName_1028_"/>
      <sheetName val="_Recovered_SheetName_1029_"/>
      <sheetName val="_Recovered_SheetName_1030_"/>
      <sheetName val="_Recovered_SheetName_1031_"/>
      <sheetName val="_Recovered_SheetName_1032_"/>
      <sheetName val="_Recovered_SheetName_1033_"/>
      <sheetName val="_Recovered_SheetName_1034_"/>
      <sheetName val="_Recovered_SheetName_1035_"/>
      <sheetName val="_Recovered_SheetName_1036_"/>
      <sheetName val="_Recovered_SheetName_1037_"/>
      <sheetName val="_Recovered_SheetName_1038_"/>
      <sheetName val="_Recovered_SheetName_1039_"/>
      <sheetName val="_Recovered_SheetName_1040_"/>
      <sheetName val="_Recovered_SheetName_1041_"/>
      <sheetName val="_Recovered_SheetName_1042_"/>
      <sheetName val="_Recovered_SheetName_1043_"/>
      <sheetName val="_Recovered_SheetName_1044_"/>
      <sheetName val="_Recovered_SheetName_1045_"/>
      <sheetName val="_Recovered_SheetName_1046_"/>
      <sheetName val="_Recovered_SheetName_1047_"/>
      <sheetName val="_Recovered_SheetName_1048_"/>
      <sheetName val="_Recovered_SheetName_1049_"/>
      <sheetName val="_Recovered_SheetName_1050_"/>
      <sheetName val="_Recovered_SheetName_1051_"/>
      <sheetName val="_Recovered_SheetName_1052_"/>
      <sheetName val="_Recovered_SheetName_1053_"/>
      <sheetName val="_Recovered_SheetName_1054_"/>
      <sheetName val="_Recovered_SheetName_1055_"/>
      <sheetName val="_Recovered_SheetName_1056_"/>
      <sheetName val="_Recovered_SheetName_1057_"/>
      <sheetName val="_Recovered_SheetName_1058_"/>
      <sheetName val="_Recovered_SheetName_1059_"/>
      <sheetName val="_Recovered_SheetName_1060_"/>
      <sheetName val="_Recovered_SheetName_1061_"/>
      <sheetName val="_Recovered_SheetName_1062_"/>
      <sheetName val="_Recovered_SheetName_1063_"/>
      <sheetName val="_Recovered_SheetName_1064_"/>
      <sheetName val="_Recovered_SheetName_1065_"/>
      <sheetName val="_Recovered_SheetName_1066_"/>
      <sheetName val="_Recovered_SheetName_1067_"/>
      <sheetName val="_Recovered_SheetName_1068_"/>
      <sheetName val="_Recovered_SheetName_1069_"/>
      <sheetName val="_Recovered_SheetName_1070_"/>
      <sheetName val="_Recovered_SheetName_1071_"/>
      <sheetName val="_Recovered_SheetName_1072_"/>
      <sheetName val="_Recovered_SheetName_1073_"/>
      <sheetName val="_Recovered_SheetName_1074_"/>
      <sheetName val="_Recovered_SheetName_1075_"/>
      <sheetName val="_Recovered_SheetName_1076_"/>
      <sheetName val="_Recovered_SheetName_1077_"/>
      <sheetName val="_Recovered_SheetName_1078_"/>
      <sheetName val="_Recovered_SheetName_1079_"/>
      <sheetName val="_Recovered_SheetName_1080_"/>
      <sheetName val="_Recovered_SheetName_1081_"/>
      <sheetName val="_Recovered_SheetName_1082_"/>
      <sheetName val="_Recovered_SheetName_1083_"/>
      <sheetName val="_Recovered_SheetName_1084_"/>
      <sheetName val="_Recovered_SheetName_1085_"/>
      <sheetName val="_Recovered_SheetName_1086_"/>
      <sheetName val="_Recovered_SheetName_1087_"/>
      <sheetName val="_Recovered_SheetName_1088_"/>
      <sheetName val="_Recovered_SheetName_1089_"/>
      <sheetName val="_Recovered_SheetName_1090_"/>
      <sheetName val="_Recovered_SheetName_1091_"/>
      <sheetName val="_Recovered_SheetName_1092_"/>
      <sheetName val="_Recovered_SheetName_1093_"/>
      <sheetName val="_Recovered_SheetName_1094_"/>
      <sheetName val="_Recovered_SheetName_1095_"/>
      <sheetName val="_Recovered_SheetName_1096_"/>
      <sheetName val="_Recovered_SheetName_1097_"/>
      <sheetName val="_Recovered_SheetName_1098_"/>
      <sheetName val="_Recovered_SheetName_1099_"/>
      <sheetName val="_Recovered_SheetName_1100_"/>
      <sheetName val="_Recovered_SheetName_1101_"/>
      <sheetName val="_Recovered_SheetName_1102_"/>
      <sheetName val="_Recovered_SheetName_1103_"/>
      <sheetName val="_Recovered_SheetName_1104_"/>
      <sheetName val="_Recovered_SheetName_1105_"/>
      <sheetName val="_Recovered_SheetName_1106_"/>
      <sheetName val="_Recovered_SheetName_1107_"/>
      <sheetName val="_Recovered_SheetName_1108_"/>
      <sheetName val="_Recovered_SheetName_1109_"/>
      <sheetName val="_Recovered_SheetName_1110_"/>
      <sheetName val="_Recovered_SheetName_1111_"/>
      <sheetName val="_Recovered_SheetName_1112_"/>
      <sheetName val="_Recovered_SheetName_1113_"/>
      <sheetName val="_Recovered_SheetName_1114_"/>
      <sheetName val="_Recovered_SheetName_1115_"/>
      <sheetName val="_Recovered_SheetName_1116_"/>
      <sheetName val="_Recovered_SheetName_1117_"/>
      <sheetName val="_Recovered_SheetName_1118_"/>
      <sheetName val="_Recovered_SheetName_1119_"/>
      <sheetName val="_Recovered_SheetName_1120_"/>
      <sheetName val="_Recovered_SheetName_1121_"/>
      <sheetName val="_Recovered_SheetName_1122_"/>
      <sheetName val="_Recovered_SheetName_1123_"/>
      <sheetName val="_Recovered_SheetName_1124_"/>
      <sheetName val="_Recovered_SheetName_1125_"/>
      <sheetName val="_Recovered_SheetName_1126_"/>
      <sheetName val="_Recovered_SheetName_1127_"/>
      <sheetName val="_Recovered_SheetName_1128_"/>
      <sheetName val="_Recovered_SheetName_1129_"/>
      <sheetName val="_Recovered_SheetName_1130_"/>
      <sheetName val="_Recovered_SheetName_1131_"/>
      <sheetName val="_Recovered_SheetName_1132_"/>
      <sheetName val="_Recovered_SheetName_1133_"/>
      <sheetName val="_Recovered_SheetName_1134_"/>
      <sheetName val="_Recovered_SheetName_1135_"/>
      <sheetName val="_Recovered_SheetName_1136_"/>
      <sheetName val="_Recovered_SheetName_1137_"/>
      <sheetName val="_Recovered_SheetName_1138_"/>
      <sheetName val="_Recovered_SheetName_1139_"/>
      <sheetName val="_Recovered_SheetName_1140_"/>
      <sheetName val="_Recovered_SheetName_1141_"/>
      <sheetName val="_Recovered_SheetName_1142_"/>
      <sheetName val="_Recovered_SheetName_1143_"/>
      <sheetName val="_Recovered_SheetName_1144_"/>
      <sheetName val="_Recovered_SheetName_1145_"/>
      <sheetName val="_Recovered_SheetName_1146_"/>
      <sheetName val="_Recovered_SheetName_1147_"/>
      <sheetName val="_Recovered_SheetName_1148_"/>
      <sheetName val="_Recovered_SheetName_1149_"/>
      <sheetName val="_Recovered_SheetName_1150_"/>
      <sheetName val="_Recovered_SheetName_1151_"/>
      <sheetName val="_Recovered_SheetName_1152_"/>
      <sheetName val="_Recovered_SheetName_1153_"/>
      <sheetName val="_Recovered_SheetName_1154_"/>
      <sheetName val="_Recovered_SheetName_1155_"/>
      <sheetName val="_Recovered_SheetName_1156_"/>
      <sheetName val="_Recovered_SheetName_1157_"/>
      <sheetName val="_Recovered_SheetName_1158_"/>
      <sheetName val="_Recovered_SheetName_1159_"/>
      <sheetName val="_Recovered_SheetName_1160_"/>
      <sheetName val="_Recovered_SheetName_1161_"/>
      <sheetName val="_Recovered_SheetName_1162_"/>
      <sheetName val="_Recovered_SheetName_1163_"/>
      <sheetName val="_Recovered_SheetName_1164_"/>
      <sheetName val="_Recovered_SheetName_1165_"/>
      <sheetName val="_Recovered_SheetName_1166_"/>
      <sheetName val="_Recovered_SheetName_1167_"/>
      <sheetName val="_Recovered_SheetName_1168_"/>
      <sheetName val="_Recovered_SheetName_1169_"/>
      <sheetName val="_Recovered_SheetName_1170_"/>
      <sheetName val="_Recovered_SheetName_1171_"/>
      <sheetName val="_Recovered_SheetName_1172_"/>
      <sheetName val="_Recovered_SheetName_1173_"/>
      <sheetName val="_Recovered_SheetName_1174_"/>
      <sheetName val="_Recovered_SheetName_1175_"/>
      <sheetName val="_Recovered_SheetName_1176_"/>
      <sheetName val="_Recovered_SheetName_1177_"/>
      <sheetName val="_Recovered_SheetName_1178_"/>
      <sheetName val="_Recovered_SheetName_1179_"/>
      <sheetName val="_Recovered_SheetName_1180_"/>
      <sheetName val="_Recovered_SheetName_1181_"/>
      <sheetName val="_Recovered_SheetName_1182_"/>
      <sheetName val="_Recovered_SheetName_1183_"/>
      <sheetName val="_Recovered_SheetName_1184_"/>
      <sheetName val="_Recovered_SheetName_1185_"/>
      <sheetName val="_Recovered_SheetName_1186_"/>
      <sheetName val="_Recovered_SheetName_1187_"/>
      <sheetName val="_Recovered_SheetName_1188_"/>
      <sheetName val="_Recovered_SheetName_1189_"/>
      <sheetName val="_Recovered_SheetName_1190_"/>
      <sheetName val="_Recovered_SheetName_1191_"/>
      <sheetName val="_Recovered_SheetName_1192_"/>
      <sheetName val="_Recovered_SheetName_1193_"/>
      <sheetName val="_Recovered_SheetName_1194_"/>
      <sheetName val="_Recovered_SheetName_1195_"/>
      <sheetName val="_Recovered_SheetName_1196_"/>
      <sheetName val="_Recovered_SheetName_1197_"/>
      <sheetName val="_Recovered_SheetName_1198_"/>
      <sheetName val="_Recovered_SheetName_1199_"/>
      <sheetName val="_Recovered_SheetName_1200_"/>
      <sheetName val="_Recovered_SheetName_1201_"/>
      <sheetName val="_Recovered_SheetName_1202_"/>
      <sheetName val="_Recovered_SheetName_1203_"/>
      <sheetName val="_Recovered_SheetName_1204_"/>
      <sheetName val="_Recovered_SheetName_1205_"/>
      <sheetName val="_Recovered_SheetName_1206_"/>
      <sheetName val="_Recovered_SheetName_1207_"/>
      <sheetName val="_Recovered_SheetName_1208_"/>
      <sheetName val="_Recovered_SheetName_1209_"/>
      <sheetName val="_Recovered_SheetName_1210_"/>
      <sheetName val="_Recovered_SheetName_1211_"/>
      <sheetName val="_Recovered_SheetName_1212_"/>
      <sheetName val="_Recovered_SheetName_1213_"/>
      <sheetName val="_Recovered_SheetName_1214_"/>
      <sheetName val="_Recovered_SheetName_1215_"/>
      <sheetName val="_Recovered_SheetName_1216_"/>
      <sheetName val="_Recovered_SheetName_1217_"/>
      <sheetName val="_Recovered_SheetName_1218_"/>
      <sheetName val="_Recovered_SheetName_1219_"/>
      <sheetName val="_Recovered_SheetName_1220_"/>
      <sheetName val="_Recovered_SheetName_1221_"/>
      <sheetName val="_Recovered_SheetName_1222_"/>
      <sheetName val="_Recovered_SheetName_1223_"/>
      <sheetName val="_Recovered_SheetName_1224_"/>
      <sheetName val="_Recovered_SheetName_1225_"/>
      <sheetName val="_Recovered_SheetName_1226_"/>
      <sheetName val="_Recovered_SheetName_1227_"/>
      <sheetName val="_Recovered_SheetName_1228_"/>
      <sheetName val="_Recovered_SheetName_1229_"/>
      <sheetName val="_Recovered_SheetName_1230_"/>
      <sheetName val="_Recovered_SheetName_1231_"/>
      <sheetName val="_Recovered_SheetName_1232_"/>
      <sheetName val="_Recovered_SheetName_1233_"/>
      <sheetName val="_Recovered_SheetName_1234_"/>
      <sheetName val="_Recovered_SheetName_1235_"/>
      <sheetName val="_Recovered_SheetName_1236_"/>
      <sheetName val="_Recovered_SheetName_1237_"/>
      <sheetName val="_Recovered_SheetName_1238_"/>
      <sheetName val="_Recovered_SheetName_1239_"/>
      <sheetName val="_Recovered_SheetName_1240_"/>
      <sheetName val="_Recovered_SheetName_1241_"/>
      <sheetName val="_Recovered_SheetName_1242_"/>
      <sheetName val="_Recovered_SheetName_1243_"/>
      <sheetName val="_Recovered_SheetName_1244_"/>
      <sheetName val="_Recovered_SheetName_1245_"/>
      <sheetName val="_Recovered_SheetName_1246_"/>
      <sheetName val="_Recovered_SheetName_1247_"/>
      <sheetName val="_Recovered_SheetName_1248_"/>
      <sheetName val="_Recovered_SheetName_1249_"/>
      <sheetName val="_Recovered_SheetName_1250_"/>
      <sheetName val="_Recovered_SheetName_1251_"/>
      <sheetName val="_Recovered_SheetName_1252_"/>
      <sheetName val="_Recovered_SheetName_1253_"/>
      <sheetName val="_Recovered_SheetName_1254_"/>
      <sheetName val="_Recovered_SheetName_1255_"/>
      <sheetName val="_Recovered_SheetName_1256_"/>
      <sheetName val="_Recovered_SheetName_1257_"/>
      <sheetName val="_Recovered_SheetName_1258_"/>
      <sheetName val="_Recovered_SheetName_1259_"/>
      <sheetName val="_Recovered_SheetName_1260_"/>
      <sheetName val="_Recovered_SheetName_1261_"/>
      <sheetName val="_Recovered_SheetName_1262_"/>
      <sheetName val="_Recovered_SheetName_1263_"/>
      <sheetName val="_Recovered_SheetName_1264_"/>
      <sheetName val="_Recovered_SheetName_1265_"/>
      <sheetName val="_Recovered_SheetName_1266_"/>
      <sheetName val="_Recovered_SheetName_1267_"/>
      <sheetName val="_Recovered_SheetName_1268_"/>
      <sheetName val="_Recovered_SheetName_1269_"/>
      <sheetName val="_Recovered_SheetName_1270_"/>
      <sheetName val="_Recovered_SheetName_1271_"/>
      <sheetName val="_Recovered_SheetName_1272_"/>
      <sheetName val="_Recovered_SheetName_1273_"/>
      <sheetName val="_Recovered_SheetName_1274_"/>
      <sheetName val="_Recovered_SheetName_1275_"/>
      <sheetName val="_Recovered_SheetName_1276_"/>
      <sheetName val="_Recovered_SheetName_1277_"/>
      <sheetName val="_Recovered_SheetName_1278_"/>
      <sheetName val="_Recovered_SheetName_1279_"/>
      <sheetName val="_Recovered_SheetName_1280_"/>
      <sheetName val="_Recovered_SheetName_1281_"/>
      <sheetName val="_Recovered_SheetName_1282_"/>
      <sheetName val="_Recovered_SheetName_1283_"/>
      <sheetName val="_Recovered_SheetName_1284_"/>
      <sheetName val="_Recovered_SheetName_1285_"/>
      <sheetName val="_Recovered_SheetName_1286_"/>
      <sheetName val="_Recovered_SheetName_1287_"/>
      <sheetName val="_Recovered_SheetName_1288_"/>
      <sheetName val="_Recovered_SheetName_1289_"/>
      <sheetName val="_Recovered_SheetName_1290_"/>
      <sheetName val="_Recovered_SheetName_1291_"/>
      <sheetName val="_Recovered_SheetName_1292_"/>
      <sheetName val="_Recovered_SheetName_1293_"/>
      <sheetName val="_Recovered_SheetName_1294_"/>
      <sheetName val="_Recovered_SheetName_1295_"/>
      <sheetName val="_Recovered_SheetName_1296_"/>
      <sheetName val="_Recovered_SheetName_1297_"/>
      <sheetName val="_Recovered_SheetName_1298_"/>
      <sheetName val="_Recovered_SheetName_1299_"/>
      <sheetName val="_Recovered_SheetName_1300_"/>
      <sheetName val="_Recovered_SheetName_1301_"/>
      <sheetName val="_Recovered_SheetName_1302_"/>
      <sheetName val="_Recovered_SheetName_1303_"/>
      <sheetName val="_Recovered_SheetName_1304_"/>
      <sheetName val="_Recovered_SheetName_1305_"/>
      <sheetName val="_Recovered_SheetName_1306_"/>
      <sheetName val="_Recovered_SheetName_1307_"/>
      <sheetName val="_Recovered_SheetName_1308_"/>
      <sheetName val="_Recovered_SheetName_1309_"/>
      <sheetName val="_Recovered_SheetName_1310_"/>
      <sheetName val="_Recovered_SheetName_1311_"/>
      <sheetName val="_Recovered_SheetName_1312_"/>
      <sheetName val="_Recovered_SheetName_1313_"/>
      <sheetName val="_Recovered_SheetName_1314_"/>
      <sheetName val="_Recovered_SheetName_1315_"/>
      <sheetName val="_Recovered_SheetName_1316_"/>
      <sheetName val="_Recovered_SheetName_1317_"/>
      <sheetName val="_Recovered_SheetName_1318_"/>
      <sheetName val="_Recovered_SheetName_1319_"/>
      <sheetName val="_Recovered_SheetName_1320_"/>
      <sheetName val="_Recovered_SheetName_1321_"/>
      <sheetName val="_Recovered_SheetName_1322_"/>
      <sheetName val="_Recovered_SheetName_1323_"/>
      <sheetName val="_Recovered_SheetName_1324_"/>
      <sheetName val="_Recovered_SheetName_1325_"/>
      <sheetName val="_Recovered_SheetName_1326_"/>
      <sheetName val="_Recovered_SheetName_1327_"/>
      <sheetName val="_Recovered_SheetName_1328_"/>
      <sheetName val="_Recovered_SheetName_1329_"/>
      <sheetName val="_Recovered_SheetName_1330_"/>
      <sheetName val="_Recovered_SheetName_1331_"/>
      <sheetName val="_Recovered_SheetName_1332_"/>
      <sheetName val="_Recovered_SheetName_1333_"/>
      <sheetName val="_Recovered_SheetName_1334_"/>
      <sheetName val="_Recovered_SheetName_1335_"/>
      <sheetName val="_Recovered_SheetName_1336_"/>
      <sheetName val="_Recovered_SheetName_1337_"/>
      <sheetName val="_Recovered_SheetName_1338_"/>
      <sheetName val="_Recovered_SheetName_1339_"/>
      <sheetName val="_Recovered_SheetName_1340_"/>
      <sheetName val="_Recovered_SheetName_1341_"/>
      <sheetName val="_Recovered_SheetName_1342_"/>
      <sheetName val="_Recovered_SheetName_1343_"/>
      <sheetName val="_Recovered_SheetName_1344_"/>
      <sheetName val="_Recovered_SheetName_1345_"/>
      <sheetName val="_Recovered_SheetName_1346_"/>
      <sheetName val="_Recovered_SheetName_1347_"/>
      <sheetName val="_Recovered_SheetName_1348_"/>
      <sheetName val="_Recovered_SheetName_1349_"/>
      <sheetName val="_Recovered_SheetName_1350_"/>
      <sheetName val="_Recovered_SheetName_1351_"/>
      <sheetName val="_Recovered_SheetName_1352_"/>
      <sheetName val="_Recovered_SheetName_1353_"/>
      <sheetName val="_Recovered_SheetName_1354_"/>
      <sheetName val="_Recovered_SheetName_1355_"/>
      <sheetName val="_Recovered_SheetName_1356_"/>
      <sheetName val="_Recovered_SheetName_1357_"/>
      <sheetName val="_Recovered_SheetName_1358_"/>
      <sheetName val="_Recovered_SheetName_1359_"/>
      <sheetName val="_Recovered_SheetName_1360_"/>
      <sheetName val="_Recovered_SheetName_1361_"/>
      <sheetName val="_Recovered_SheetName_1362_"/>
      <sheetName val="_Recovered_SheetName_1363_"/>
      <sheetName val="_Recovered_SheetName_1364_"/>
      <sheetName val="_Recovered_SheetName_1365_"/>
      <sheetName val="_Recovered_SheetName_1366_"/>
      <sheetName val="_Recovered_SheetName_1367_"/>
      <sheetName val="_Recovered_SheetName_1368_"/>
      <sheetName val="_Recovered_SheetName_1369_"/>
      <sheetName val="_Recovered_SheetName_1370_"/>
      <sheetName val="_Recovered_SheetName_1371_"/>
      <sheetName val="_Recovered_SheetName_1372_"/>
      <sheetName val="_Recovered_SheetName_1373_"/>
      <sheetName val="_Recovered_SheetName_1374_"/>
      <sheetName val="_Recovered_SheetName_1375_"/>
      <sheetName val="_Recovered_SheetName_1376_"/>
      <sheetName val="_Recovered_SheetName_1377_"/>
      <sheetName val="_Recovered_SheetName_1378_"/>
      <sheetName val="_Recovered_SheetName_1379_"/>
      <sheetName val="_Recovered_SheetName_1380_"/>
      <sheetName val="_Recovered_SheetName_1381_"/>
      <sheetName val="_Recovered_SheetName_1382_"/>
      <sheetName val="_Recovered_SheetName_1383_"/>
      <sheetName val="_Recovered_SheetName_1384_"/>
      <sheetName val="_Recovered_SheetName_1385_"/>
      <sheetName val="_Recovered_SheetName_1386_"/>
      <sheetName val="_Recovered_SheetName_1387_"/>
      <sheetName val="_Recovered_SheetName_1388_"/>
      <sheetName val="_Recovered_SheetName_1389_"/>
      <sheetName val="_Recovered_SheetName_1390_"/>
      <sheetName val="_Recovered_SheetName_1391_"/>
      <sheetName val="_Recovered_SheetName_1392_"/>
      <sheetName val="_Recovered_SheetName_1393_"/>
      <sheetName val="_Recovered_SheetName_1394_"/>
      <sheetName val="_Recovered_SheetName_1395_"/>
      <sheetName val="_Recovered_SheetName_1396_"/>
      <sheetName val="_Recovered_SheetName_1397_"/>
      <sheetName val="_Recovered_SheetName_1398_"/>
      <sheetName val="_Recovered_SheetName_1399_"/>
      <sheetName val="_Recovered_SheetName_1400_"/>
      <sheetName val="_Recovered_SheetName_1401_"/>
      <sheetName val="_Recovered_SheetName_1402_"/>
      <sheetName val="_Recovered_SheetName_1403_"/>
      <sheetName val="_Recovered_SheetName_1404_"/>
      <sheetName val="_Recovered_SheetName_1405_"/>
      <sheetName val="_Recovered_SheetName_1406_"/>
      <sheetName val="_Recovered_SheetName_1407_"/>
      <sheetName val="_Recovered_SheetName_1408_"/>
      <sheetName val="_Recovered_SheetName_1409_"/>
      <sheetName val="_Recovered_SheetName_1410_"/>
      <sheetName val="_Recovered_SheetName_1411_"/>
      <sheetName val="_Recovered_SheetName_1412_"/>
      <sheetName val="_Recovered_SheetName_1413_"/>
      <sheetName val="_Recovered_SheetName_1414_"/>
      <sheetName val="_Recovered_SheetName_1415_"/>
      <sheetName val="_Recovered_SheetName_1416_"/>
      <sheetName val="_Recovered_SheetName_1417_"/>
      <sheetName val="_Recovered_SheetName_1418_"/>
      <sheetName val="_Recovered_SheetName_1419_"/>
      <sheetName val="_Recovered_SheetName_1420_"/>
      <sheetName val="_Recovered_SheetName_1421_"/>
      <sheetName val="_Recovered_SheetName_1422_"/>
      <sheetName val="_Recovered_SheetName_1423_"/>
      <sheetName val="_Recovered_SheetName_1424_"/>
      <sheetName val="_Recovered_SheetName_1425_"/>
      <sheetName val="_Recovered_SheetName_1426_"/>
      <sheetName val="_Recovered_SheetName_1427_"/>
      <sheetName val="_Recovered_SheetName_1428_"/>
      <sheetName val="_Recovered_SheetName_1429_"/>
      <sheetName val="_Recovered_SheetName_1430_"/>
      <sheetName val="_Recovered_SheetName_1431_"/>
      <sheetName val="_Recovered_SheetName_1432_"/>
      <sheetName val="_Recovered_SheetName_1433_"/>
      <sheetName val="_Recovered_SheetName_1434_"/>
      <sheetName val="_Recovered_SheetName_1435_"/>
      <sheetName val="_Recovered_SheetName_1436_"/>
      <sheetName val="_Recovered_SheetName_1437_"/>
      <sheetName val="_Recovered_SheetName_1438_"/>
      <sheetName val="_Recovered_SheetName_1439_"/>
      <sheetName val="_Recovered_SheetName_1440_"/>
      <sheetName val="_Recovered_SheetName_1441_"/>
      <sheetName val="_Recovered_SheetName_1442_"/>
      <sheetName val="_Recovered_SheetName_1443_"/>
      <sheetName val="_Recovered_SheetName_1444_"/>
      <sheetName val="_Recovered_SheetName_1445_"/>
      <sheetName val="_Recovered_SheetName_1446_"/>
      <sheetName val="_Recovered_SheetName_1447_"/>
      <sheetName val="_Recovered_SheetName_1448_"/>
      <sheetName val="_Recovered_SheetName_1449_"/>
      <sheetName val="_Recovered_SheetName_1450_"/>
      <sheetName val="_Recovered_SheetName_1451_"/>
      <sheetName val="_Recovered_SheetName_1452_"/>
      <sheetName val="_Recovered_SheetName_1453_"/>
      <sheetName val="_Recovered_SheetName_1454_"/>
      <sheetName val="_Recovered_SheetName_1455_"/>
      <sheetName val="_Recovered_SheetName_1456_"/>
      <sheetName val="_Recovered_SheetName_1457_"/>
      <sheetName val="_Recovered_SheetName_1458_"/>
      <sheetName val="_Recovered_SheetName_1459_"/>
      <sheetName val="_Recovered_SheetName_1460_"/>
      <sheetName val="_Recovered_SheetName_1461_"/>
      <sheetName val="_Recovered_SheetName_1462_"/>
      <sheetName val="_Recovered_SheetName_1463_"/>
      <sheetName val="_Recovered_SheetName_1464_"/>
      <sheetName val="_Recovered_SheetName_1465_"/>
      <sheetName val="_Recovered_SheetName_1466_"/>
      <sheetName val="_Recovered_SheetName_1467_"/>
      <sheetName val="_Recovered_SheetName_1468_"/>
      <sheetName val="_Recovered_SheetName_1469_"/>
      <sheetName val="_Recovered_SheetName_1470_"/>
      <sheetName val="_Recovered_SheetName_1471_"/>
      <sheetName val="_Recovered_SheetName_1472_"/>
      <sheetName val="_Recovered_SheetName_1473_"/>
      <sheetName val="_Recovered_SheetName_1474_"/>
      <sheetName val="_Recovered_SheetName_1475_"/>
      <sheetName val="_Recovered_SheetName_1476_"/>
      <sheetName val="_Recovered_SheetName_1477_"/>
      <sheetName val="_Recovered_SheetName_1478_"/>
      <sheetName val="_Recovered_SheetName_1479_"/>
      <sheetName val="_Recovered_SheetName_1480_"/>
      <sheetName val="_Recovered_SheetName_1481_"/>
      <sheetName val="_Recovered_SheetName_1482_"/>
      <sheetName val="_Recovered_SheetName_1483_"/>
      <sheetName val="_Recovered_SheetName_1484_"/>
      <sheetName val="_Recovered_SheetName_1485_"/>
      <sheetName val="_Recovered_SheetName_1486_"/>
      <sheetName val="_Recovered_SheetName_1487_"/>
      <sheetName val="_Recovered_SheetName_1488_"/>
      <sheetName val="_Recovered_SheetName_1489_"/>
      <sheetName val="_Recovered_SheetName_1490_"/>
      <sheetName val="_Recovered_SheetName_1491_"/>
      <sheetName val="_Recovered_SheetName_1492_"/>
      <sheetName val="_Recovered_SheetName_1493_"/>
      <sheetName val="_Recovered_SheetName_1494_"/>
      <sheetName val="_Recovered_SheetName_1495_"/>
      <sheetName val="_Recovered_SheetName_1496_"/>
      <sheetName val="_Recovered_SheetName_1497_"/>
      <sheetName val="_Recovered_SheetName_1498_"/>
      <sheetName val="_Recovered_SheetName_1499_"/>
      <sheetName val="_Recovered_SheetName_1500_"/>
      <sheetName val="_Recovered_SheetName_1501_"/>
      <sheetName val="_Recovered_SheetName_1502_"/>
      <sheetName val="_Recovered_SheetName_1503_"/>
      <sheetName val="_Recovered_SheetName_1504_"/>
      <sheetName val="_Recovered_SheetName_1505_"/>
      <sheetName val="_Recovered_SheetName_1506_"/>
      <sheetName val="_Recovered_SheetName_1507_"/>
      <sheetName val="_Recovered_SheetName_1508_"/>
      <sheetName val="_Recovered_SheetName_1509_"/>
      <sheetName val="_Recovered_SheetName_1510_"/>
      <sheetName val="_Recovered_SheetName_1511_"/>
      <sheetName val="_Recovered_SheetName_1512_"/>
      <sheetName val="_Recovered_SheetName_1513_"/>
      <sheetName val="_Recovered_SheetName_1514_"/>
      <sheetName val="_Recovered_SheetName_1515_"/>
      <sheetName val="_Recovered_SheetName_1516_"/>
      <sheetName val="_Recovered_SheetName_1517_"/>
      <sheetName val="_Recovered_SheetName_1518_"/>
      <sheetName val="_Recovered_SheetName_1519_"/>
      <sheetName val="_Recovered_SheetName_1520_"/>
      <sheetName val="_Recovered_SheetName_1521_"/>
      <sheetName val="_Recovered_SheetName_1522_"/>
      <sheetName val="_Recovered_SheetName_1523_"/>
      <sheetName val="_Recovered_SheetName_1524_"/>
      <sheetName val="_Recovered_SheetName_1525_"/>
      <sheetName val="_Recovered_SheetName_1526_"/>
      <sheetName val="_Recovered_SheetName_1527_"/>
      <sheetName val="_Recovered_SheetName_1528_"/>
      <sheetName val="_Recovered_SheetName_1529_"/>
      <sheetName val="_Recovered_SheetName_1530_"/>
      <sheetName val="_Recovered_SheetName_1531_"/>
      <sheetName val="_Recovered_SheetName_1532_"/>
      <sheetName val="_Recovered_SheetName_1533_"/>
      <sheetName val="_Recovered_SheetName_1534_"/>
      <sheetName val="_Recovered_SheetName_1535_"/>
      <sheetName val="_Recovered_SheetName_1536_"/>
      <sheetName val="_Recovered_SheetName_1537_"/>
      <sheetName val="_Recovered_SheetName_1538_"/>
      <sheetName val="_Recovered_SheetName_1539_"/>
      <sheetName val="_Recovered_SheetName_1540_"/>
      <sheetName val="_Recovered_SheetName_1541_"/>
      <sheetName val="_Recovered_SheetName_1542_"/>
      <sheetName val="_Recovered_SheetName_1543_"/>
      <sheetName val="_Recovered_SheetName_1544_"/>
      <sheetName val="_Recovered_SheetName_1545_"/>
      <sheetName val="_Recovered_SheetName_1546_"/>
      <sheetName val="_Recovered_SheetName_1547_"/>
      <sheetName val="_Recovered_SheetName_1548_"/>
      <sheetName val="_Recovered_SheetName_1549_"/>
      <sheetName val="_Recovered_SheetName_1550_"/>
      <sheetName val="_Recovered_SheetName_1551_"/>
      <sheetName val="_Recovered_SheetName_1552_"/>
      <sheetName val="_Recovered_SheetName_1553_"/>
      <sheetName val="_Recovered_SheetName_1554_"/>
      <sheetName val="_Recovered_SheetName_1555_"/>
      <sheetName val="_Recovered_SheetName_1556_"/>
      <sheetName val="_Recovered_SheetName_1557_"/>
      <sheetName val="_Recovered_SheetName_1558_"/>
      <sheetName val="_Recovered_SheetName_1559_"/>
      <sheetName val="_Recovered_SheetName_1560_"/>
      <sheetName val="_Recovered_SheetName_1561_"/>
      <sheetName val="_Recovered_SheetName_1562_"/>
      <sheetName val="_Recovered_SheetName_1563_"/>
      <sheetName val="_Recovered_SheetName_1564_"/>
      <sheetName val="_Recovered_SheetName_1565_"/>
      <sheetName val="_Recovered_SheetName_1566_"/>
      <sheetName val="_Recovered_SheetName_1567_"/>
      <sheetName val="_Recovered_SheetName_1568_"/>
      <sheetName val="_Recovered_SheetName_1569_"/>
      <sheetName val="_Recovered_SheetName_1570_"/>
      <sheetName val="_Recovered_SheetName_1571_"/>
      <sheetName val="_Recovered_SheetName_1572_"/>
      <sheetName val="_Recovered_SheetName_1573_"/>
      <sheetName val="_Recovered_SheetName_1574_"/>
      <sheetName val="_Recovered_SheetName_1575_"/>
      <sheetName val="_Recovered_SheetName_1576_"/>
      <sheetName val="_Recovered_SheetName_1577_"/>
      <sheetName val="_Recovered_SheetName_1578_"/>
      <sheetName val="_Recovered_SheetName_1579_"/>
      <sheetName val="_Recovered_SheetName_1580_"/>
      <sheetName val="_Recovered_SheetName_1581_"/>
      <sheetName val="_Recovered_SheetName_1582_"/>
      <sheetName val="_Recovered_SheetName_1583_"/>
      <sheetName val="_Recovered_SheetName_1584_"/>
      <sheetName val="_Recovered_SheetName_1585_"/>
      <sheetName val="_Recovered_SheetName_1586_"/>
      <sheetName val="_Recovered_SheetName_1587_"/>
      <sheetName val="_Recovered_SheetName_1588_"/>
      <sheetName val="_Recovered_SheetName_1589_"/>
      <sheetName val="_Recovered_SheetName_1590_"/>
      <sheetName val="_Recovered_SheetName_1591_"/>
      <sheetName val="_Recovered_SheetName_1592_"/>
      <sheetName val="_Recovered_SheetName_1593_"/>
      <sheetName val="_Recovered_SheetName_1594_"/>
      <sheetName val="_Recovered_SheetName_1595_"/>
      <sheetName val="_Recovered_SheetName_1596_"/>
      <sheetName val="_Recovered_SheetName_1597_"/>
      <sheetName val="_Recovered_SheetName_1598_"/>
      <sheetName val="_Recovered_SheetName_1599_"/>
      <sheetName val="_Recovered_SheetName_1600_"/>
      <sheetName val="_Recovered_SheetName_1601_"/>
      <sheetName val="_Recovered_SheetName_1602_"/>
      <sheetName val="_Recovered_SheetName_1603_"/>
      <sheetName val="_Recovered_SheetName_1604_"/>
      <sheetName val="_Recovered_SheetName_1605_"/>
      <sheetName val="_Recovered_SheetName_1606_"/>
      <sheetName val="_Recovered_SheetName_1607_"/>
      <sheetName val="_Recovered_SheetName_1608_"/>
      <sheetName val="_Recovered_SheetName_1609_"/>
      <sheetName val="_Recovered_SheetName_1610_"/>
      <sheetName val="_Recovered_SheetName_1611_"/>
      <sheetName val="_Recovered_SheetName_1612_"/>
      <sheetName val="_Recovered_SheetName_1613_"/>
      <sheetName val="_Recovered_SheetName_1614_"/>
      <sheetName val="_Recovered_SheetName_1615_"/>
      <sheetName val="_Recovered_SheetName_1616_"/>
      <sheetName val="_Recovered_SheetName_1617_"/>
      <sheetName val="_Recovered_SheetName_1618_"/>
      <sheetName val="_Recovered_SheetName_1619_"/>
      <sheetName val="_Recovered_SheetName_1620_"/>
      <sheetName val="_Recovered_SheetName_1621_"/>
      <sheetName val="_Recovered_SheetName_1622_"/>
      <sheetName val="_Recovered_SheetName_1623_"/>
      <sheetName val="_Recovered_SheetName_1624_"/>
      <sheetName val="_Recovered_SheetName_1625_"/>
      <sheetName val="_Recovered_SheetName_1626_"/>
      <sheetName val="_Recovered_SheetName_1627_"/>
      <sheetName val="_Recovered_SheetName_1628_"/>
      <sheetName val="_Recovered_SheetName_1629_"/>
      <sheetName val="_Recovered_SheetName_1630_"/>
      <sheetName val="_Recovered_SheetName_1631_"/>
      <sheetName val="_Recovered_SheetName_1632_"/>
      <sheetName val="_Recovered_SheetName_1633_"/>
      <sheetName val="_Recovered_SheetName_1634_"/>
      <sheetName val="_Recovered_SheetName_1635_"/>
      <sheetName val="_Recovered_SheetName_1636_"/>
      <sheetName val="_Recovered_SheetName_1637_"/>
      <sheetName val="_Recovered_SheetName_1638_"/>
      <sheetName val="_Recovered_SheetName_1639_"/>
      <sheetName val="_Recovered_SheetName_1640_"/>
      <sheetName val="_Recovered_SheetName_1641_"/>
      <sheetName val="_Recovered_SheetName_1642_"/>
      <sheetName val="_Recovered_SheetName_1643_"/>
      <sheetName val="_Recovered_SheetName_1644_"/>
      <sheetName val="_Recovered_SheetName_1645_"/>
      <sheetName val="_Recovered_SheetName_1646_"/>
      <sheetName val="_Recovered_SheetName_1647_"/>
      <sheetName val="_Recovered_SheetName_1648_"/>
      <sheetName val="_Recovered_SheetName_1649_"/>
      <sheetName val="_Recovered_SheetName_1650_"/>
      <sheetName val="_Recovered_SheetName_1651_"/>
      <sheetName val="_Recovered_SheetName_1652_"/>
      <sheetName val="_Recovered_SheetName_1653_"/>
      <sheetName val="_Recovered_SheetName_1654_"/>
      <sheetName val="_Recovered_SheetName_1655_"/>
      <sheetName val="_Recovered_SheetName_1656_"/>
      <sheetName val="_Recovered_SheetName_1657_"/>
      <sheetName val="_Recovered_SheetName_1658_"/>
      <sheetName val="_Recovered_SheetName_1659_"/>
      <sheetName val="_Recovered_SheetName_1660_"/>
      <sheetName val="_Recovered_SheetName_1661_"/>
      <sheetName val="_Recovered_SheetName_1662_"/>
      <sheetName val="_Recovered_SheetName_1663_"/>
      <sheetName val="_Recovered_SheetName_1664_"/>
      <sheetName val="_Recovered_SheetName_1665_"/>
      <sheetName val="_Recovered_SheetName_1666_"/>
      <sheetName val="_Recovered_SheetName_1667_"/>
      <sheetName val="_Recovered_SheetName_1668_"/>
      <sheetName val="_Recovered_SheetName_1669_"/>
      <sheetName val="_Recovered_SheetName_1670_"/>
      <sheetName val="_Recovered_SheetName_1671_"/>
      <sheetName val="_Recovered_SheetName_1672_"/>
      <sheetName val="_Recovered_SheetName_1673_"/>
      <sheetName val="_Recovered_SheetName_1674_"/>
      <sheetName val="_Recovered_SheetName_1675_"/>
      <sheetName val="_Recovered_SheetName_1676_"/>
      <sheetName val="_Recovered_SheetName_1677_"/>
      <sheetName val="_Recovered_SheetName_1678_"/>
      <sheetName val="_Recovered_SheetName_1679_"/>
      <sheetName val="_Recovered_SheetName_1680_"/>
      <sheetName val="_Recovered_SheetName_1681_"/>
      <sheetName val="_Recovered_SheetName_1682_"/>
      <sheetName val="_Recovered_SheetName_1683_"/>
      <sheetName val="_Recovered_SheetName_1684_"/>
      <sheetName val="_Recovered_SheetName_1685_"/>
      <sheetName val="_Recovered_SheetName_1686_"/>
      <sheetName val="_Recovered_SheetName_1687_"/>
      <sheetName val="_Recovered_SheetName_1688_"/>
      <sheetName val="_Recovered_SheetName_1689_"/>
      <sheetName val="_Recovered_SheetName_1690_"/>
      <sheetName val="_Recovered_SheetName_1691_"/>
      <sheetName val="_Recovered_SheetName_1692_"/>
      <sheetName val="_Recovered_SheetName_1693_"/>
      <sheetName val="_Recovered_SheetName_1694_"/>
      <sheetName val="_Recovered_SheetName_1695_"/>
      <sheetName val="_Recovered_SheetName_1696_"/>
      <sheetName val="_Recovered_SheetName_1697_"/>
      <sheetName val="_Recovered_SheetName_1698_"/>
      <sheetName val="_Recovered_SheetName_1699_"/>
      <sheetName val="_Recovered_SheetName_1700_"/>
      <sheetName val="_Recovered_SheetName_1701_"/>
      <sheetName val="_Recovered_SheetName_1702_"/>
      <sheetName val="_Recovered_SheetName_1703_"/>
      <sheetName val="_Recovered_SheetName_1704_"/>
      <sheetName val="_Recovered_SheetName_1705_"/>
      <sheetName val="_Recovered_SheetName_1706_"/>
      <sheetName val="_Recovered_SheetName_1707_"/>
      <sheetName val="_Recovered_SheetName_1708_"/>
      <sheetName val="_Recovered_SheetName_1709_"/>
      <sheetName val="_Recovered_SheetName_1710_"/>
      <sheetName val="_Recovered_SheetName_1711_"/>
      <sheetName val="_Recovered_SheetName_1712_"/>
      <sheetName val="_Recovered_SheetName_1713_"/>
      <sheetName val="_Recovered_SheetName_1714_"/>
      <sheetName val="_Recovered_SheetName_1715_"/>
      <sheetName val="_Recovered_SheetName_1716_"/>
      <sheetName val="_Recovered_SheetName_1717_"/>
      <sheetName val="_Recovered_SheetName_1718_"/>
      <sheetName val="_Recovered_SheetName_1719_"/>
      <sheetName val="_Recovered_SheetName_1720_"/>
      <sheetName val="_Recovered_SheetName_1721_"/>
      <sheetName val="_Recovered_SheetName_1722_"/>
      <sheetName val="_Recovered_SheetName_1723_"/>
      <sheetName val="_Recovered_SheetName_1724_"/>
      <sheetName val="_Recovered_SheetName_1725_"/>
      <sheetName val="_Recovered_SheetName_1726_"/>
      <sheetName val="_Recovered_SheetName_1727_"/>
      <sheetName val="_Recovered_SheetName_1728_"/>
      <sheetName val="_Recovered_SheetName_1729_"/>
      <sheetName val="_Recovered_SheetName_1730_"/>
      <sheetName val="_Recovered_SheetName_1731_"/>
      <sheetName val="_Recovered_SheetName_1732_"/>
      <sheetName val="_Recovered_SheetName_1733_"/>
      <sheetName val="_Recovered_SheetName_1734_"/>
      <sheetName val="_Recovered_SheetName_1735_"/>
      <sheetName val="_Recovered_SheetName_1736_"/>
      <sheetName val="_Recovered_SheetName_1737_"/>
      <sheetName val="_Recovered_SheetName_1738_"/>
      <sheetName val="_Recovered_SheetName_1739_"/>
      <sheetName val="_Recovered_SheetName_1740_"/>
      <sheetName val="_Recovered_SheetName_1741_"/>
      <sheetName val="_Recovered_SheetName_1742_"/>
      <sheetName val="_Recovered_SheetName_1743_"/>
      <sheetName val="_Recovered_SheetName_1744_"/>
      <sheetName val="_Recovered_SheetName_1745_"/>
      <sheetName val="_Recovered_SheetName_1746_"/>
      <sheetName val="_Recovered_SheetName_1747_"/>
      <sheetName val="_Recovered_SheetName_1748_"/>
      <sheetName val="_Recovered_SheetName_1749_"/>
      <sheetName val="_Recovered_SheetName_1750_"/>
      <sheetName val="_Recovered_SheetName_1751_"/>
      <sheetName val="_Recovered_SheetName_1752_"/>
      <sheetName val="_Recovered_SheetName_1753_"/>
      <sheetName val="_Recovered_SheetName_1754_"/>
      <sheetName val="_Recovered_SheetName_1755_"/>
      <sheetName val="_Recovered_SheetName_1756_"/>
      <sheetName val="_Recovered_SheetName_1757_"/>
      <sheetName val="_Recovered_SheetName_1758_"/>
      <sheetName val="_Recovered_SheetName_1759_"/>
      <sheetName val="_Recovered_SheetName_1760_"/>
      <sheetName val="_Recovered_SheetName_1761_"/>
      <sheetName val="_Recovered_SheetName_1762_"/>
      <sheetName val="_Recovered_SheetName_1763_"/>
      <sheetName val="_Recovered_SheetName_1764_"/>
      <sheetName val="_Recovered_SheetName_1765_"/>
      <sheetName val="_Recovered_SheetName_1766_"/>
      <sheetName val="_Recovered_SheetName_1767_"/>
      <sheetName val="_Recovered_SheetName_1768_"/>
      <sheetName val="_Recovered_SheetName_1769_"/>
      <sheetName val="_Recovered_SheetName_1770_"/>
      <sheetName val="_Recovered_SheetName_1771_"/>
      <sheetName val="_Recovered_SheetName_1772_"/>
      <sheetName val="_Recovered_SheetName_1773_"/>
      <sheetName val="_Recovered_SheetName_1774_"/>
      <sheetName val="_Recovered_SheetName_1775_"/>
      <sheetName val="_Recovered_SheetName_1776_"/>
      <sheetName val="_Recovered_SheetName_1777_"/>
      <sheetName val="_Recovered_SheetName_1778_"/>
      <sheetName val="_Recovered_SheetName_1779_"/>
      <sheetName val="_Recovered_SheetName_1780_"/>
      <sheetName val="_Recovered_SheetName_1781_"/>
      <sheetName val="_Recovered_SheetName_1782_"/>
      <sheetName val="_Recovered_SheetName_1783_"/>
      <sheetName val="_Recovered_SheetName_1784_"/>
      <sheetName val="_Recovered_SheetName_1785_"/>
      <sheetName val="_Recovered_SheetName_1786_"/>
      <sheetName val="_Recovered_SheetName_1787_"/>
      <sheetName val="_Recovered_SheetName_1788_"/>
      <sheetName val="_Recovered_SheetName_1789_"/>
      <sheetName val="_Recovered_SheetName_1790_"/>
      <sheetName val="_Recovered_SheetName_1791_"/>
      <sheetName val="_Recovered_SheetName_1792_"/>
      <sheetName val="_Recovered_SheetName_1793_"/>
      <sheetName val="_Recovered_SheetName_1794_"/>
      <sheetName val="_Recovered_SheetName_1795_"/>
      <sheetName val="_Recovered_SheetName_1796_"/>
      <sheetName val="_Recovered_SheetName_1797_"/>
      <sheetName val="_Recovered_SheetName_1798_"/>
      <sheetName val="_Recovered_SheetName_1799_"/>
      <sheetName val="_Recovered_SheetName_1800_"/>
      <sheetName val="_Recovered_SheetName_1801_"/>
      <sheetName val="_Recovered_SheetName_1802_"/>
      <sheetName val="_Recovered_SheetName_1803_"/>
      <sheetName val="_Recovered_SheetName_1804_"/>
      <sheetName val="_Recovered_SheetName_1805_"/>
      <sheetName val="_Recovered_SheetName_1806_"/>
      <sheetName val="_Recovered_SheetName_1807_"/>
      <sheetName val="_Recovered_SheetName_1808_"/>
      <sheetName val="_Recovered_SheetName_1809_"/>
      <sheetName val="_Recovered_SheetName_1810_"/>
      <sheetName val="_Recovered_SheetName_1811_"/>
      <sheetName val="_Recovered_SheetName_1812_"/>
      <sheetName val="_Recovered_SheetName_1813_"/>
      <sheetName val="_Recovered_SheetName_1814_"/>
      <sheetName val="_Recovered_SheetName_1815_"/>
      <sheetName val="_Recovered_SheetName_1816_"/>
      <sheetName val="_Recovered_SheetName_1817_"/>
      <sheetName val="_Recovered_SheetName_1818_"/>
      <sheetName val="_Recovered_SheetName_1819_"/>
      <sheetName val="_Recovered_SheetName_1820_"/>
      <sheetName val="_Recovered_SheetName_1821_"/>
      <sheetName val="_Recovered_SheetName_1822_"/>
      <sheetName val="_Recovered_SheetName_1823_"/>
      <sheetName val="_Recovered_SheetName_1824_"/>
      <sheetName val="_Recovered_SheetName_1825_"/>
      <sheetName val="_Recovered_SheetName_1826_"/>
      <sheetName val="_Recovered_SheetName_1827_"/>
      <sheetName val="_Recovered_SheetName_1828_"/>
      <sheetName val="_Recovered_SheetName_1829_"/>
      <sheetName val="_Recovered_SheetName_1830_"/>
      <sheetName val="_Recovered_SheetName_1831_"/>
      <sheetName val="_Recovered_SheetName_1832_"/>
      <sheetName val="_Recovered_SheetName_1833_"/>
      <sheetName val="_Recovered_SheetName_1834_"/>
      <sheetName val="_Recovered_SheetName_1835_"/>
      <sheetName val="_Recovered_SheetName_1836_"/>
      <sheetName val="_Recovered_SheetName_1837_"/>
      <sheetName val="_Recovered_SheetName_1838_"/>
      <sheetName val="_Recovered_SheetName_1839_"/>
      <sheetName val="_Recovered_SheetName_1840_"/>
      <sheetName val="_Recovered_SheetName_1841_"/>
      <sheetName val="_Recovered_SheetName_1842_"/>
      <sheetName val="_Recovered_SheetName_1843_"/>
      <sheetName val="_Recovered_SheetName_1844_"/>
      <sheetName val="_Recovered_SheetName_1845_"/>
      <sheetName val="_Recovered_SheetName_1846_"/>
      <sheetName val="_Recovered_SheetName_1847_"/>
      <sheetName val="_Recovered_SheetName_1848_"/>
      <sheetName val="_Recovered_SheetName_1849_"/>
      <sheetName val="_Recovered_SheetName_1850_"/>
      <sheetName val="_Recovered_SheetName_1851_"/>
      <sheetName val="_Recovered_SheetName_1852_"/>
      <sheetName val="_Recovered_SheetName_1853_"/>
      <sheetName val="_Recovered_SheetName_1854_"/>
      <sheetName val="_Recovered_SheetName_1855_"/>
      <sheetName val="_Recovered_SheetName_1856_"/>
      <sheetName val="_Recovered_SheetName_1857_"/>
      <sheetName val="_Recovered_SheetName_1858_"/>
      <sheetName val="_Recovered_SheetName_1859_"/>
      <sheetName val="_Recovered_SheetName_1860_"/>
      <sheetName val="_Recovered_SheetName_1861_"/>
      <sheetName val="_Recovered_SheetName_1862_"/>
      <sheetName val="_Recovered_SheetName_1863_"/>
      <sheetName val="_Recovered_SheetName_1864_"/>
      <sheetName val="_Recovered_SheetName_1865_"/>
      <sheetName val="_Recovered_SheetName_1866_"/>
      <sheetName val="_Recovered_SheetName_1867_"/>
      <sheetName val="_Recovered_SheetName_1868_"/>
      <sheetName val="_Recovered_SheetName_1869_"/>
      <sheetName val="_Recovered_SheetName_1870_"/>
      <sheetName val="_Recovered_SheetName_1871_"/>
      <sheetName val="_Recovered_SheetName_1872_"/>
      <sheetName val="_Recovered_SheetName_1873_"/>
      <sheetName val="_Recovered_SheetName_1874_"/>
      <sheetName val="_Recovered_SheetName_1875_"/>
      <sheetName val="_Recovered_SheetName_1876_"/>
      <sheetName val="_Recovered_SheetName_1877_"/>
      <sheetName val="_Recovered_SheetName_1878_"/>
      <sheetName val="_Recovered_SheetName_1879_"/>
      <sheetName val="_Recovered_SheetName_1880_"/>
      <sheetName val="_Recovered_SheetName_1881_"/>
      <sheetName val="_Recovered_SheetName_1882_"/>
      <sheetName val="_Recovered_SheetName_1883_"/>
      <sheetName val="_Recovered_SheetName_1884_"/>
      <sheetName val="_Recovered_SheetName_1885_"/>
      <sheetName val="_Recovered_SheetName_1886_"/>
      <sheetName val="_Recovered_SheetName_1887_"/>
      <sheetName val="_Recovered_SheetName_1888_"/>
      <sheetName val="_Recovered_SheetName_1889_"/>
      <sheetName val="_Recovered_SheetName_1890_"/>
      <sheetName val="_Recovered_SheetName_1891_"/>
      <sheetName val="_Recovered_SheetName_1892_"/>
      <sheetName val="_Recovered_SheetName_1893_"/>
      <sheetName val="_Recovered_SheetName_1894_"/>
      <sheetName val="_Recovered_SheetName_1895_"/>
      <sheetName val="_Recovered_SheetName_1896_"/>
      <sheetName val="_Recovered_SheetName_1897_"/>
      <sheetName val="_Recovered_SheetName_1898_"/>
      <sheetName val="_Recovered_SheetName_1899_"/>
      <sheetName val="_Recovered_SheetName_1900_"/>
      <sheetName val="_Recovered_SheetName_1901_"/>
      <sheetName val="_Recovered_SheetName_1902_"/>
      <sheetName val="_Recovered_SheetName_1903_"/>
      <sheetName val="_Recovered_SheetName_1904_"/>
      <sheetName val="_Recovered_SheetName_1905_"/>
      <sheetName val="_Recovered_SheetName_1906_"/>
      <sheetName val="_Recovered_SheetName_1907_"/>
      <sheetName val="_Recovered_SheetName_1908_"/>
      <sheetName val="_Recovered_SheetName_1909_"/>
      <sheetName val="_Recovered_SheetName_1910_"/>
      <sheetName val="_Recovered_SheetName_1911_"/>
      <sheetName val="_Recovered_SheetName_1912_"/>
      <sheetName val="_Recovered_SheetName_1913_"/>
      <sheetName val="_Recovered_SheetName_1914_"/>
      <sheetName val="_Recovered_SheetName_1915_"/>
      <sheetName val="_Recovered_SheetName_1916_"/>
      <sheetName val="_Recovered_SheetName_1917_"/>
      <sheetName val="_Recovered_SheetName_1918_"/>
      <sheetName val="_Recovered_SheetName_1919_"/>
      <sheetName val="_Recovered_SheetName_1920_"/>
      <sheetName val="_Recovered_SheetName_1921_"/>
      <sheetName val="_Recovered_SheetName_1922_"/>
      <sheetName val="_Recovered_SheetName_1923_"/>
      <sheetName val="_Recovered_SheetName_1924_"/>
      <sheetName val="_Recovered_SheetName_1925_"/>
      <sheetName val="_Recovered_SheetName_1926_"/>
      <sheetName val="_Recovered_SheetName_1927_"/>
      <sheetName val="_Recovered_SheetName_1928_"/>
      <sheetName val="_Recovered_SheetName_1929_"/>
      <sheetName val="_Recovered_SheetName_1930_"/>
      <sheetName val="_Recovered_SheetName_1931_"/>
      <sheetName val="_Recovered_SheetName_1932_"/>
      <sheetName val="_Recovered_SheetName_1933_"/>
      <sheetName val="_Recovered_SheetName_1934_"/>
      <sheetName val="_Recovered_SheetName_1935_"/>
      <sheetName val="_Recovered_SheetName_1936_"/>
      <sheetName val="_Recovered_SheetName_1937_"/>
      <sheetName val="_Recovered_SheetName_1938_"/>
      <sheetName val="_Recovered_SheetName_1939_"/>
      <sheetName val="_Recovered_SheetName_1940_"/>
      <sheetName val="_Recovered_SheetName_1941_"/>
      <sheetName val="_Recovered_SheetName_1942_"/>
      <sheetName val="_Recovered_SheetName_1943_"/>
      <sheetName val="_Recovered_SheetName_1944_"/>
      <sheetName val="_Recovered_SheetName_1945_"/>
      <sheetName val="_Recovered_SheetName_1946_"/>
      <sheetName val="_Recovered_SheetName_1947_"/>
      <sheetName val="_Recovered_SheetName_1948_"/>
      <sheetName val="_Recovered_SheetName_1949_"/>
      <sheetName val="_Recovered_SheetName_1950_"/>
      <sheetName val="_Recovered_SheetName_1951_"/>
      <sheetName val="_Recovered_SheetName_1952_"/>
      <sheetName val="_Recovered_SheetName_1953_"/>
      <sheetName val="_Recovered_SheetName_1954_"/>
      <sheetName val="_Recovered_SheetName_1955_"/>
      <sheetName val="_Recovered_SheetName_1956_"/>
      <sheetName val="_Recovered_SheetName_1957_"/>
      <sheetName val="_Recovered_SheetName_1958_"/>
      <sheetName val="_Recovered_SheetName_1959_"/>
      <sheetName val="_Recovered_SheetName_1960_"/>
      <sheetName val="_Recovered_SheetName_1961_"/>
      <sheetName val="_Recovered_SheetName_1962_"/>
      <sheetName val="_Recovered_SheetName_1963_"/>
      <sheetName val="_Recovered_SheetName_1964_"/>
      <sheetName val="_Recovered_SheetName_1965_"/>
      <sheetName val="_Recovered_SheetName_1966_"/>
      <sheetName val="_Recovered_SheetName_1967_"/>
      <sheetName val="_Recovered_SheetName_1968_"/>
      <sheetName val="_Recovered_SheetName_1969_"/>
      <sheetName val="_Recovered_SheetName_1970_"/>
      <sheetName val="_Recovered_SheetName_1971_"/>
      <sheetName val="_Recovered_SheetName_1972_"/>
      <sheetName val="_Recovered_SheetName_1973_"/>
      <sheetName val="_Recovered_SheetName_1974_"/>
      <sheetName val="_Recovered_SheetName_1975_"/>
      <sheetName val="_Recovered_SheetName_1976_"/>
      <sheetName val="_Recovered_SheetName_1977_"/>
      <sheetName val="_Recovered_SheetName_1978_"/>
      <sheetName val="_Recovered_SheetName_1979_"/>
      <sheetName val="_Recovered_SheetName_1980_"/>
      <sheetName val="_Recovered_SheetName_1981_"/>
      <sheetName val="_Recovered_SheetName_1982_"/>
      <sheetName val="_Recovered_SheetName_1983_"/>
      <sheetName val="_Recovered_SheetName_1984_"/>
      <sheetName val="_Recovered_SheetName_1985_"/>
      <sheetName val="_Recovered_SheetName_1986_"/>
      <sheetName val="_Recovered_SheetName_1987_"/>
      <sheetName val="_Recovered_SheetName_1988_"/>
      <sheetName val="_Recovered_SheetName_1989_"/>
      <sheetName val="_Recovered_SheetName_1990_"/>
      <sheetName val="_Recovered_SheetName_1991_"/>
      <sheetName val="_Recovered_SheetName_1992_"/>
      <sheetName val="_Recovered_SheetName_1993_"/>
      <sheetName val="_Recovered_SheetName_1994_"/>
      <sheetName val="_Recovered_SheetName_1995_"/>
      <sheetName val="_Recovered_SheetName_1996_"/>
      <sheetName val="_Recovered_SheetName_1997_"/>
      <sheetName val="_Recovered_SheetName_1998_"/>
      <sheetName val="_Recovered_SheetName_1999_"/>
      <sheetName val="_Recovered_SheetName_2000_"/>
      <sheetName val="_Recovered_SheetName_2001_"/>
      <sheetName val="_Recovered_SheetName_2002_"/>
      <sheetName val="_Recovered_SheetName_2003_"/>
      <sheetName val="_Recovered_SheetName_2004_"/>
      <sheetName val="_Recovered_SheetName_2005_"/>
      <sheetName val="_Recovered_SheetName_2006_"/>
      <sheetName val="_Recovered_SheetName_2007_"/>
      <sheetName val="_Recovered_SheetName_2008_"/>
      <sheetName val="_Recovered_SheetName_2009_"/>
      <sheetName val="_Recovered_SheetName_2010_"/>
      <sheetName val="_Recovered_SheetName_2011_"/>
      <sheetName val="_Recovered_SheetName_2012_"/>
      <sheetName val="_Recovered_SheetName_2013_"/>
      <sheetName val="_Recovered_SheetName_2014_"/>
      <sheetName val="_Recovered_SheetName_2015_"/>
      <sheetName val="_Recovered_SheetName_2016_"/>
      <sheetName val="_Recovered_SheetName_2017_"/>
      <sheetName val="_Recovered_SheetName_2018_"/>
      <sheetName val="_Recovered_SheetName_2019_"/>
      <sheetName val="_Recovered_SheetName_2020_"/>
      <sheetName val="_Recovered_SheetName_2021_"/>
      <sheetName val="_Recovered_SheetName_2022_"/>
      <sheetName val="_Recovered_SheetName_2023_"/>
      <sheetName val="_Recovered_SheetName_2024_"/>
      <sheetName val="_Recovered_SheetName_2025_"/>
      <sheetName val="_Recovered_SheetName_2026_"/>
      <sheetName val="_Recovered_SheetName_2027_"/>
      <sheetName val="_Recovered_SheetName_2028_"/>
      <sheetName val="_Recovered_SheetName_2029_"/>
      <sheetName val="_Recovered_SheetName_2030_"/>
      <sheetName val="_Recovered_SheetName_2031_"/>
      <sheetName val="_Recovered_SheetName_2032_"/>
      <sheetName val="_Recovered_SheetName_2033_"/>
      <sheetName val="_Recovered_SheetName_2034_"/>
      <sheetName val="_Recovered_SheetName_2035_"/>
      <sheetName val="_Recovered_SheetName_2036_"/>
      <sheetName val="_Recovered_SheetName_2037_"/>
      <sheetName val="_Recovered_SheetName_2038_"/>
      <sheetName val="_Recovered_SheetName_2039_"/>
      <sheetName val="_Recovered_SheetName_2040_"/>
      <sheetName val="_Recovered_SheetName_2041_"/>
      <sheetName val="_Recovered_SheetName_2042_"/>
      <sheetName val="_Recovered_SheetName_2043_"/>
      <sheetName val="_Recovered_SheetName_2044_"/>
      <sheetName val="_Recovered_SheetName_2045_"/>
      <sheetName val="_Recovered_SheetName_2046_"/>
      <sheetName val="_Recovered_SheetName_2047_"/>
      <sheetName val="_Recovered_SheetName_2048_"/>
      <sheetName val="_Recovered_SheetName_2049_"/>
      <sheetName val="_Recovered_SheetName_2050_"/>
      <sheetName val="_Recovered_SheetName_2051_"/>
      <sheetName val="_Recovered_SheetName_2052_"/>
      <sheetName val="_Recovered_SheetName_2053_"/>
      <sheetName val="_Recovered_SheetName_2054_"/>
      <sheetName val="_Recovered_SheetName_2055_"/>
      <sheetName val="_Recovered_SheetName_2056_"/>
      <sheetName val="_Recovered_SheetName_2057_"/>
      <sheetName val="_Recovered_SheetName_2058_"/>
      <sheetName val="_Recovered_SheetName_2059_"/>
      <sheetName val="_Recovered_SheetName_2060_"/>
      <sheetName val="_Recovered_SheetName_2061_"/>
      <sheetName val="_Recovered_SheetName_2062_"/>
      <sheetName val="_Recovered_SheetName_2063_"/>
      <sheetName val="_Recovered_SheetName_2064_"/>
      <sheetName val="_Recovered_SheetName_2065_"/>
      <sheetName val="_Recovered_SheetName_2066_"/>
      <sheetName val="_Recovered_SheetName_2067_"/>
      <sheetName val="_Recovered_SheetName_2068_"/>
      <sheetName val="_Recovered_SheetName_2069_"/>
      <sheetName val="_Recovered_SheetName_2070_"/>
      <sheetName val="_Recovered_SheetName_2071_"/>
      <sheetName val="_Recovered_SheetName_2072_"/>
      <sheetName val="_Recovered_SheetName_2073_"/>
      <sheetName val="_Recovered_SheetName_2074_"/>
      <sheetName val="_Recovered_SheetName_2075_"/>
      <sheetName val="_Recovered_SheetName_2076_"/>
      <sheetName val="_Recovered_SheetName_2077_"/>
      <sheetName val="_Recovered_SheetName_2078_"/>
      <sheetName val="_Recovered_SheetName_2079_"/>
      <sheetName val="_Recovered_SheetName_2080_"/>
      <sheetName val="_Recovered_SheetName_2081_"/>
      <sheetName val="_Recovered_SheetName_2082_"/>
      <sheetName val="_Recovered_SheetName_2083_"/>
      <sheetName val="_Recovered_SheetName_2084_"/>
      <sheetName val="_Recovered_SheetName_2085_"/>
      <sheetName val="_Recovered_SheetName_2086_"/>
      <sheetName val="_Recovered_SheetName_2087_"/>
      <sheetName val="_Recovered_SheetName_2088_"/>
      <sheetName val="_Recovered_SheetName_2089_"/>
      <sheetName val="_Recovered_SheetName_2090_"/>
      <sheetName val="_Recovered_SheetName_2091_"/>
      <sheetName val="_Recovered_SheetName_2092_"/>
      <sheetName val="_Recovered_SheetName_2093_"/>
      <sheetName val="_Recovered_SheetName_2094_"/>
      <sheetName val="_Recovered_SheetName_2095_"/>
      <sheetName val="_Recovered_SheetName_2096_"/>
      <sheetName val="_Recovered_SheetName_2097_"/>
      <sheetName val="_Recovered_SheetName_2098_"/>
      <sheetName val="_Recovered_SheetName_2099_"/>
      <sheetName val="_Recovered_SheetName_2100_"/>
      <sheetName val="_Recovered_SheetName_2101_"/>
      <sheetName val="_Recovered_SheetName_2102_"/>
      <sheetName val="_Recovered_SheetName_2103_"/>
      <sheetName val="_Recovered_SheetName_2104_"/>
      <sheetName val="_Recovered_SheetName_2105_"/>
      <sheetName val="_Recovered_SheetName_2106_"/>
      <sheetName val="_Recovered_SheetName_2107_"/>
      <sheetName val="_Recovered_SheetName_2108_"/>
      <sheetName val="_Recovered_SheetName_2109_"/>
      <sheetName val="_Recovered_SheetName_2110_"/>
      <sheetName val="_Recovered_SheetName_2111_"/>
      <sheetName val="_Recovered_SheetName_2112_"/>
      <sheetName val="_Recovered_SheetName_2113_"/>
      <sheetName val="_Recovered_SheetName_2114_"/>
      <sheetName val="_Recovered_SheetName_2115_"/>
      <sheetName val="_Recovered_SheetName_2116_"/>
      <sheetName val="_Recovered_SheetName_2117_"/>
      <sheetName val="_Recovered_SheetName_2118_"/>
      <sheetName val="_Recovered_SheetName_2119_"/>
      <sheetName val="_Recovered_SheetName_2120_"/>
      <sheetName val="_Recovered_SheetName_2121_"/>
      <sheetName val="_Recovered_SheetName_2122_"/>
      <sheetName val="_Recovered_SheetName_2123_"/>
      <sheetName val="_Recovered_SheetName_2124_"/>
      <sheetName val="_Recovered_SheetName_2125_"/>
      <sheetName val="_Recovered_SheetName_2126_"/>
      <sheetName val="_Recovered_SheetName_2127_"/>
      <sheetName val="_Recovered_SheetName_2128_"/>
      <sheetName val="_Recovered_SheetName_2129_"/>
      <sheetName val="_Recovered_SheetName_2130_"/>
      <sheetName val="_Recovered_SheetName_2131_"/>
      <sheetName val="_Recovered_SheetName_2132_"/>
      <sheetName val="_Recovered_SheetName_2133_"/>
      <sheetName val="_Recovered_SheetName_2134_"/>
      <sheetName val="_Recovered_SheetName_2135_"/>
      <sheetName val="_Recovered_SheetName_2136_"/>
      <sheetName val="_Recovered_SheetName_2137_"/>
      <sheetName val="_Recovered_SheetName_2138_"/>
      <sheetName val="_Recovered_SheetName_2139_"/>
      <sheetName val="_Recovered_SheetName_2140_"/>
      <sheetName val="_Recovered_SheetName_2141_"/>
      <sheetName val="_Recovered_SheetName_2142_"/>
      <sheetName val="_Recovered_SheetName_2143_"/>
      <sheetName val="_Recovered_SheetName_2144_"/>
      <sheetName val="_Recovered_SheetName_2145_"/>
      <sheetName val="_Recovered_SheetName_2146_"/>
      <sheetName val="_Recovered_SheetName_2147_"/>
      <sheetName val="_Recovered_SheetName_2148_"/>
      <sheetName val="_Recovered_SheetName_2149_"/>
      <sheetName val="_Recovered_SheetName_2150_"/>
      <sheetName val="_Recovered_SheetName_2151_"/>
      <sheetName val="_Recovered_SheetName_2152_"/>
      <sheetName val="_Recovered_SheetName_2153_"/>
      <sheetName val="_Recovered_SheetName_2154_"/>
      <sheetName val="_Recovered_SheetName_2155_"/>
      <sheetName val="_Recovered_SheetName_2156_"/>
      <sheetName val="_Recovered_SheetName_2157_"/>
      <sheetName val="_Recovered_SheetName_2158_"/>
      <sheetName val="_Recovered_SheetName_2159_"/>
      <sheetName val="_Recovered_SheetName_2160_"/>
      <sheetName val="_Recovered_SheetName_2161_"/>
      <sheetName val="_Recovered_SheetName_2162_"/>
      <sheetName val="_Recovered_SheetName_2163_"/>
      <sheetName val="_Recovered_SheetName_2164_"/>
      <sheetName val="_Recovered_SheetName_2165_"/>
      <sheetName val="_Recovered_SheetName_2166_"/>
      <sheetName val="_Recovered_SheetName_2167_"/>
      <sheetName val="_Recovered_SheetName_2168_"/>
      <sheetName val="_Recovered_SheetName_2169_"/>
      <sheetName val="_Recovered_SheetName_2170_"/>
      <sheetName val="_Recovered_SheetName_2171_"/>
      <sheetName val="_Recovered_SheetName_2172_"/>
      <sheetName val="_Recovered_SheetName_2173_"/>
      <sheetName val="_Recovered_SheetName_2174_"/>
      <sheetName val="_Recovered_SheetName_2175_"/>
      <sheetName val="_Recovered_SheetName_2176_"/>
      <sheetName val="_Recovered_SheetName_2177_"/>
      <sheetName val="_Recovered_SheetName_2178_"/>
      <sheetName val="_Recovered_SheetName_2179_"/>
      <sheetName val="_Recovered_SheetName_2180_"/>
      <sheetName val="_Recovered_SheetName_2181_"/>
      <sheetName val="_Recovered_SheetName_2182_"/>
      <sheetName val="_Recovered_SheetName_2183_"/>
      <sheetName val="_Recovered_SheetName_2184_"/>
      <sheetName val="_Recovered_SheetName_2185_"/>
      <sheetName val="_Recovered_SheetName_2186_"/>
      <sheetName val="_Recovered_SheetName_2187_"/>
      <sheetName val="_Recovered_SheetName_2188_"/>
      <sheetName val="_Recovered_SheetName_2189_"/>
      <sheetName val="_Recovered_SheetName_2190_"/>
      <sheetName val="_Recovered_SheetName_2191_"/>
      <sheetName val="_Recovered_SheetName_2192_"/>
      <sheetName val="_Recovered_SheetName_2193_"/>
      <sheetName val="_Recovered_SheetName_2194_"/>
      <sheetName val="_Recovered_SheetName_2195_"/>
      <sheetName val="_Recovered_SheetName_2196_"/>
      <sheetName val="_Recovered_SheetName_2197_"/>
      <sheetName val="_Recovered_SheetName_2198_"/>
      <sheetName val="_Recovered_SheetName_2199_"/>
      <sheetName val="_Recovered_SheetName_2200_"/>
      <sheetName val="_Recovered_SheetName_2201_"/>
      <sheetName val="_Recovered_SheetName_2202_"/>
      <sheetName val="_Recovered_SheetName_2203_"/>
      <sheetName val="_Recovered_SheetName_2204_"/>
      <sheetName val="_Recovered_SheetName_2205_"/>
      <sheetName val="_Recovered_SheetName_2206_"/>
      <sheetName val="_Recovered_SheetName_2207_"/>
      <sheetName val="_Recovered_SheetName_2208_"/>
      <sheetName val="_Recovered_SheetName_2209_"/>
      <sheetName val="_Recovered_SheetName_2210_"/>
      <sheetName val="_Recovered_SheetName_2211_"/>
      <sheetName val="_Recovered_SheetName_2212_"/>
      <sheetName val="_Recovered_SheetName_2213_"/>
      <sheetName val="_Recovered_SheetName_2214_"/>
      <sheetName val="_Recovered_SheetName_2215_"/>
      <sheetName val="_Recovered_SheetName_2216_"/>
      <sheetName val="_Recovered_SheetName_2217_"/>
      <sheetName val="_Recovered_SheetName_2218_"/>
      <sheetName val="_Recovered_SheetName_2219_"/>
      <sheetName val="_Recovered_SheetName_2220_"/>
      <sheetName val="_Recovered_SheetName_2221_"/>
      <sheetName val="_Recovered_SheetName_2222_"/>
      <sheetName val="_Recovered_SheetName_2223_"/>
      <sheetName val="_Recovered_SheetName_2224_"/>
      <sheetName val="_Recovered_SheetName_2225_"/>
      <sheetName val="_Recovered_SheetName_2226_"/>
      <sheetName val="_Recovered_SheetName_2227_"/>
      <sheetName val="_Recovered_SheetName_2228_"/>
      <sheetName val="_Recovered_SheetName_2229_"/>
      <sheetName val="_Recovered_SheetName_2230_"/>
      <sheetName val="_Recovered_SheetName_2231_"/>
      <sheetName val="_Recovered_SheetName_2232_"/>
      <sheetName val="_Recovered_SheetName_2233_"/>
      <sheetName val="_Recovered_SheetName_2234_"/>
      <sheetName val="_Recovered_SheetName_2235_"/>
      <sheetName val="_Recovered_SheetName_2236_"/>
      <sheetName val="_Recovered_SheetName_2237_"/>
      <sheetName val="_Recovered_SheetName_2238_"/>
      <sheetName val="_Recovered_SheetName_2239_"/>
      <sheetName val="_Recovered_SheetName_2240_"/>
      <sheetName val="_Recovered_SheetName_2241_"/>
      <sheetName val="_Recovered_SheetName_2242_"/>
      <sheetName val="_Recovered_SheetName_2243_"/>
      <sheetName val="_Recovered_SheetName_2244_"/>
      <sheetName val="_Recovered_SheetName_2245_"/>
      <sheetName val="_Recovered_SheetName_2246_"/>
      <sheetName val="_Recovered_SheetName_2247_"/>
      <sheetName val="_Recovered_SheetName_2248_"/>
      <sheetName val="_Recovered_SheetName_2249_"/>
      <sheetName val="_Recovered_SheetName_2250_"/>
      <sheetName val="_Recovered_SheetName_2251_"/>
      <sheetName val="_Recovered_SheetName_2252_"/>
      <sheetName val="_Recovered_SheetName_2253_"/>
      <sheetName val="_Recovered_SheetName_2254_"/>
      <sheetName val="_Recovered_SheetName_2255_"/>
      <sheetName val="_Recovered_SheetName_2256_"/>
      <sheetName val="_Recovered_SheetName_2257_"/>
      <sheetName val="_Recovered_SheetName_2258_"/>
      <sheetName val="_Recovered_SheetName_2259_"/>
      <sheetName val="_Recovered_SheetName_2260_"/>
      <sheetName val="_Recovered_SheetName_2261_"/>
      <sheetName val="_Recovered_SheetName_2262_"/>
      <sheetName val="_Recovered_SheetName_2263_"/>
      <sheetName val="_Recovered_SheetName_2264_"/>
      <sheetName val="_Recovered_SheetName_2265_"/>
      <sheetName val="_Recovered_SheetName_2266_"/>
      <sheetName val="_Recovered_SheetName_2267_"/>
      <sheetName val="_Recovered_SheetName_2268_"/>
      <sheetName val="_Recovered_SheetName_2269_"/>
      <sheetName val="_Recovered_SheetName_2270_"/>
      <sheetName val="_Recovered_SheetName_2271_"/>
      <sheetName val="_Recovered_SheetName_2272_"/>
      <sheetName val="_Recovered_SheetName_2273_"/>
      <sheetName val="_Recovered_SheetName_2274_"/>
      <sheetName val="_Recovered_SheetName_2275_"/>
      <sheetName val="_Recovered_SheetName_2276_"/>
      <sheetName val="_Recovered_SheetName_2277_"/>
      <sheetName val="_Recovered_SheetName_2278_"/>
      <sheetName val="_Recovered_SheetName_2279_"/>
      <sheetName val="_Recovered_SheetName_2280_"/>
      <sheetName val="_Recovered_SheetName_2281_"/>
      <sheetName val="_Recovered_SheetName_2282_"/>
      <sheetName val="_Recovered_SheetName_2283_"/>
      <sheetName val="_Recovered_SheetName_2284_"/>
      <sheetName val="_Recovered_SheetName_2285_"/>
      <sheetName val="_Recovered_SheetName_2286_"/>
      <sheetName val="_Recovered_SheetName_2287_"/>
      <sheetName val="_Recovered_SheetName_2288_"/>
      <sheetName val="_Recovered_SheetName_2289_"/>
      <sheetName val="_Recovered_SheetName_2290_"/>
      <sheetName val="_Recovered_SheetName_2291_"/>
      <sheetName val="_Recovered_SheetName_2292_"/>
      <sheetName val="_Recovered_SheetName_2293_"/>
      <sheetName val="_Recovered_SheetName_2294_"/>
      <sheetName val="_Recovered_SheetName_2295_"/>
      <sheetName val="_Recovered_SheetName_2296_"/>
      <sheetName val="_Recovered_SheetName_2297_"/>
      <sheetName val="_Recovered_SheetName_2298_"/>
      <sheetName val="_Recovered_SheetName_2299_"/>
      <sheetName val="_Recovered_SheetName_2300_"/>
      <sheetName val="_Recovered_SheetName_2301_"/>
      <sheetName val="_Recovered_SheetName_2302_"/>
      <sheetName val="_Recovered_SheetName_2303_"/>
      <sheetName val="_Recovered_SheetName_2304_"/>
      <sheetName val="_Recovered_SheetName_2305_"/>
      <sheetName val="_Recovered_SheetName_2306_"/>
      <sheetName val="_Recovered_SheetName_2307_"/>
      <sheetName val="_Recovered_SheetName_2308_"/>
      <sheetName val="_Recovered_SheetName_2309_"/>
      <sheetName val="_Recovered_SheetName_2310_"/>
      <sheetName val="_Recovered_SheetName_2311_"/>
      <sheetName val="_Recovered_SheetName_2312_"/>
      <sheetName val="_Recovered_SheetName_2313_"/>
      <sheetName val="_Recovered_SheetName_2314_"/>
      <sheetName val="_Recovered_SheetName_2315_"/>
      <sheetName val="_Recovered_SheetName_2316_"/>
      <sheetName val="_Recovered_SheetName_2317_"/>
      <sheetName val="_Recovered_SheetName_2318_"/>
      <sheetName val="_Recovered_SheetName_2319_"/>
      <sheetName val="_Recovered_SheetName_2320_"/>
      <sheetName val="_Recovered_SheetName_2321_"/>
      <sheetName val="_Recovered_SheetName_2322_"/>
      <sheetName val="_Recovered_SheetName_2323_"/>
      <sheetName val="_Recovered_SheetName_2324_"/>
      <sheetName val="_Recovered_SheetName_2325_"/>
      <sheetName val="_Recovered_SheetName_2326_"/>
      <sheetName val="_Recovered_SheetName_2327_"/>
      <sheetName val="_Recovered_SheetName_2328_"/>
      <sheetName val="_Recovered_SheetName_2329_"/>
      <sheetName val="_Recovered_SheetName_2330_"/>
      <sheetName val="_Recovered_SheetName_2331_"/>
      <sheetName val="_Recovered_SheetName_2332_"/>
      <sheetName val="_Recovered_SheetName_2333_"/>
      <sheetName val="_Recovered_SheetName_2334_"/>
      <sheetName val="_Recovered_SheetName_2335_"/>
      <sheetName val="_Recovered_SheetName_2336_"/>
      <sheetName val="_Recovered_SheetName_2337_"/>
      <sheetName val="_Recovered_SheetName_2338_"/>
      <sheetName val="_Recovered_SheetName_2339_"/>
      <sheetName val="_Recovered_SheetName_2340_"/>
      <sheetName val="_Recovered_SheetName_2341_"/>
      <sheetName val="_Recovered_SheetName_2342_"/>
      <sheetName val="_Recovered_SheetName_2343_"/>
      <sheetName val="_Recovered_SheetName_2344_"/>
      <sheetName val="_Recovered_SheetName_2345_"/>
      <sheetName val="_Recovered_SheetName_2346_"/>
      <sheetName val="_Recovered_SheetName_2347_"/>
      <sheetName val="_Recovered_SheetName_2348_"/>
      <sheetName val="_Recovered_SheetName_2349_"/>
      <sheetName val="_Recovered_SheetName_2350_"/>
      <sheetName val="_Recovered_SheetName_2351_"/>
      <sheetName val="_Recovered_SheetName_2352_"/>
      <sheetName val="_Recovered_SheetName_2353_"/>
      <sheetName val="_Recovered_SheetName_2354_"/>
      <sheetName val="_Recovered_SheetName_2355_"/>
      <sheetName val="_Recovered_SheetName_2356_"/>
      <sheetName val="_Recovered_SheetName_2357_"/>
      <sheetName val="_Recovered_SheetName_2358_"/>
      <sheetName val="_Recovered_SheetName_2359_"/>
      <sheetName val="_Recovered_SheetName_2360_"/>
      <sheetName val="_Recovered_SheetName_2361_"/>
      <sheetName val="_Recovered_SheetName_2362_"/>
      <sheetName val="_Recovered_SheetName_2363_"/>
      <sheetName val="_Recovered_SheetName_2364_"/>
      <sheetName val="_Recovered_SheetName_2365_"/>
      <sheetName val="_Recovered_SheetName_2366_"/>
      <sheetName val="_Recovered_SheetName_2367_"/>
      <sheetName val="_Recovered_SheetName_2368_"/>
      <sheetName val="_Recovered_SheetName_2369_"/>
      <sheetName val="_Recovered_SheetName_2370_"/>
      <sheetName val="_Recovered_SheetName_2371_"/>
      <sheetName val="_Recovered_SheetName_2372_"/>
      <sheetName val="_Recovered_SheetName_2373_"/>
      <sheetName val="_Recovered_SheetName_2374_"/>
      <sheetName val="_Recovered_SheetName_2375_"/>
      <sheetName val="_Recovered_SheetName_2376_"/>
      <sheetName val="_Recovered_SheetName_2377_"/>
      <sheetName val="_Recovered_SheetName_2378_"/>
      <sheetName val="_Recovered_SheetName_2379_"/>
      <sheetName val="_Recovered_SheetName_2380_"/>
      <sheetName val="_Recovered_SheetName_2381_"/>
      <sheetName val="_Recovered_SheetName_2382_"/>
      <sheetName val="_Recovered_SheetName_2383_"/>
      <sheetName val="_Recovered_SheetName_2384_"/>
      <sheetName val="_Recovered_SheetName_2385_"/>
      <sheetName val="_Recovered_SheetName_2386_"/>
      <sheetName val="_Recovered_SheetName_2387_"/>
      <sheetName val="_Recovered_SheetName_2388_"/>
      <sheetName val="_Recovered_SheetName_2389_"/>
      <sheetName val="_Recovered_SheetName_2390_"/>
      <sheetName val="_Recovered_SheetName_2391_"/>
      <sheetName val="_Recovered_SheetName_2392_"/>
      <sheetName val="_Recovered_SheetName_2393_"/>
      <sheetName val="_Recovered_SheetName_2394_"/>
      <sheetName val="_Recovered_SheetName_2395_"/>
      <sheetName val="_Recovered_SheetName_2396_"/>
      <sheetName val="_Recovered_SheetName_2397_"/>
      <sheetName val="_Recovered_SheetName_2398_"/>
      <sheetName val="_Recovered_SheetName_2399_"/>
      <sheetName val="_Recovered_SheetName_2400_"/>
      <sheetName val="_Recovered_SheetName_2401_"/>
      <sheetName val="_Recovered_SheetName_2402_"/>
      <sheetName val="_Recovered_SheetName_2403_"/>
      <sheetName val="_Recovered_SheetName_2404_"/>
      <sheetName val="_Recovered_SheetName_2405_"/>
      <sheetName val="_Recovered_SheetName_2406_"/>
      <sheetName val="_Recovered_SheetName_2407_"/>
      <sheetName val="_Recovered_SheetName_2408_"/>
      <sheetName val="_Recovered_SheetName_2409_"/>
      <sheetName val="_Recovered_SheetName_2410_"/>
      <sheetName val="_Recovered_SheetName_2411_"/>
      <sheetName val="_Recovered_SheetName_2412_"/>
      <sheetName val="_Recovered_SheetName_2413_"/>
      <sheetName val="_Recovered_SheetName_2414_"/>
      <sheetName val="_Recovered_SheetName_2415_"/>
      <sheetName val="_Recovered_SheetName_2416_"/>
      <sheetName val="_Recovered_SheetName_2417_"/>
      <sheetName val="_Recovered_SheetName_2418_"/>
      <sheetName val="_Recovered_SheetName_2419_"/>
      <sheetName val="_Recovered_SheetName_2420_"/>
      <sheetName val="_Recovered_SheetName_2421_"/>
      <sheetName val="_Recovered_SheetName_2422_"/>
      <sheetName val="_Recovered_SheetName_2423_"/>
      <sheetName val="_Recovered_SheetName_2424_"/>
      <sheetName val="_Recovered_SheetName_2425_"/>
      <sheetName val="_Recovered_SheetName_2426_"/>
      <sheetName val="_Recovered_SheetName_2427_"/>
      <sheetName val="_Recovered_SheetName_2428_"/>
      <sheetName val="_Recovered_SheetName_2429_"/>
      <sheetName val="_Recovered_SheetName_2430_"/>
      <sheetName val="_Recovered_SheetName_2431_"/>
      <sheetName val="_Recovered_SheetName_2432_"/>
      <sheetName val="_Recovered_SheetName_2433_"/>
      <sheetName val="_Recovered_SheetName_2434_"/>
      <sheetName val="_Recovered_SheetName_2435_"/>
      <sheetName val="_Recovered_SheetName_2436_"/>
      <sheetName val="_Recovered_SheetName_2437_"/>
      <sheetName val="_Recovered_SheetName_2438_"/>
      <sheetName val="_Recovered_SheetName_2439_"/>
      <sheetName val="_Recovered_SheetName_2440_"/>
      <sheetName val="_Recovered_SheetName_2441_"/>
      <sheetName val="_Recovered_SheetName_2442_"/>
      <sheetName val="_Recovered_SheetName_2443_"/>
      <sheetName val="_Recovered_SheetName_2444_"/>
      <sheetName val="_Recovered_SheetName_2445_"/>
      <sheetName val="_Recovered_SheetName_2446_"/>
      <sheetName val="_Recovered_SheetName_2447_"/>
      <sheetName val="_Recovered_SheetName_2448_"/>
      <sheetName val="_Recovered_SheetName_2449_"/>
      <sheetName val="_Recovered_SheetName_2450_"/>
      <sheetName val="_Recovered_SheetName_2451_"/>
      <sheetName val="_Recovered_SheetName_2452_"/>
      <sheetName val="_Recovered_SheetName_2453_"/>
      <sheetName val="_Recovered_SheetName_2454_"/>
      <sheetName val="_Recovered_SheetName_2455_"/>
      <sheetName val="_Recovered_SheetName_2456_"/>
      <sheetName val="_Recovered_SheetName_2457_"/>
      <sheetName val="_Recovered_SheetName_2458_"/>
      <sheetName val="_Recovered_SheetName_2459_"/>
      <sheetName val="_Recovered_SheetName_2460_"/>
      <sheetName val="_Recovered_SheetName_2461_"/>
      <sheetName val="_Recovered_SheetName_2462_"/>
      <sheetName val="_Recovered_SheetName_2463_"/>
      <sheetName val="_Recovered_SheetName_2464_"/>
      <sheetName val="_Recovered_SheetName_2465_"/>
      <sheetName val="_Recovered_SheetName_2466_"/>
      <sheetName val="_Recovered_SheetName_2467_"/>
      <sheetName val="_Recovered_SheetName_2468_"/>
      <sheetName val="_Recovered_SheetName_2469_"/>
      <sheetName val="_Recovered_SheetName_2470_"/>
      <sheetName val="_Recovered_SheetName_2471_"/>
      <sheetName val="_Recovered_SheetName_2472_"/>
      <sheetName val="_Recovered_SheetName_2473_"/>
      <sheetName val="_Recovered_SheetName_2474_"/>
      <sheetName val="_Recovered_SheetName_2475_"/>
      <sheetName val="_Recovered_SheetName_2476_"/>
      <sheetName val="_Recovered_SheetName_2477_"/>
      <sheetName val="_Recovered_SheetName_2478_"/>
      <sheetName val="_Recovered_SheetName_2479_"/>
      <sheetName val="_Recovered_SheetName_2480_"/>
      <sheetName val="_Recovered_SheetName_2481_"/>
      <sheetName val="_Recovered_SheetName_2482_"/>
      <sheetName val="_Recovered_SheetName_2483_"/>
      <sheetName val="_Recovered_SheetName_2484_"/>
      <sheetName val="_Recovered_SheetName_2485_"/>
      <sheetName val="_Recovered_SheetName_2486_"/>
      <sheetName val="_Recovered_SheetName_2487_"/>
      <sheetName val="_Recovered_SheetName_2488_"/>
      <sheetName val="_Recovered_SheetName_2489_"/>
      <sheetName val="_Recovered_SheetName_2490_"/>
      <sheetName val="_Recovered_SheetName_2491_"/>
      <sheetName val="_Recovered_SheetName_2492_"/>
      <sheetName val="_Recovered_SheetName_2493_"/>
      <sheetName val="_Recovered_SheetName_2494_"/>
      <sheetName val="_Recovered_SheetName_2495_"/>
      <sheetName val="_Recovered_SheetName_2496_"/>
      <sheetName val="_Recovered_SheetName_2497_"/>
      <sheetName val="_Recovered_SheetName_2498_"/>
      <sheetName val="_Recovered_SheetName_2499_"/>
      <sheetName val="_Recovered_SheetName_2500_"/>
      <sheetName val="_Recovered_SheetName_2501_"/>
      <sheetName val="_Recovered_SheetName_2502_"/>
      <sheetName val="_Recovered_SheetName_2503_"/>
      <sheetName val="_Recovered_SheetName_2504_"/>
      <sheetName val="_Recovered_SheetName_2505_"/>
      <sheetName val="_Recovered_SheetName_2506_"/>
      <sheetName val="_Recovered_SheetName_2507_"/>
      <sheetName val="_Recovered_SheetName_2508_"/>
      <sheetName val="_Recovered_SheetName_2509_"/>
      <sheetName val="_Recovered_SheetName_2510_"/>
      <sheetName val="_Recovered_SheetName_2511_"/>
      <sheetName val="_Recovered_SheetName_2512_"/>
      <sheetName val="_Recovered_SheetName_2513_"/>
      <sheetName val="_Recovered_SheetName_2514_"/>
      <sheetName val="_Recovered_SheetName_2515_"/>
      <sheetName val="_Recovered_SheetName_2516_"/>
      <sheetName val="_Recovered_SheetName_2517_"/>
      <sheetName val="_Recovered_SheetName_2518_"/>
      <sheetName val="_Recovered_SheetName_2519_"/>
      <sheetName val="_Recovered_SheetName_2520_"/>
      <sheetName val="_Recovered_SheetName_2521_"/>
      <sheetName val="_Recovered_SheetName_2522_"/>
      <sheetName val="_Recovered_SheetName_2523_"/>
      <sheetName val="_Recovered_SheetName_2524_"/>
      <sheetName val="_Recovered_SheetName_2525_"/>
      <sheetName val="_Recovered_SheetName_2526_"/>
      <sheetName val="_Recovered_SheetName_2527_"/>
      <sheetName val="_Recovered_SheetName_2528_"/>
      <sheetName val="_Recovered_SheetName_2529_"/>
      <sheetName val="_Recovered_SheetName_2530_"/>
      <sheetName val="_Recovered_SheetName_2531_"/>
      <sheetName val="_Recovered_SheetName_2532_"/>
      <sheetName val="_Recovered_SheetName_2533_"/>
      <sheetName val="_Recovered_SheetName_2534_"/>
      <sheetName val="_Recovered_SheetName_2535_"/>
      <sheetName val="_Recovered_SheetName_2536_"/>
      <sheetName val="_Recovered_SheetName_2537_"/>
      <sheetName val="_Recovered_SheetName_2538_"/>
      <sheetName val="_Recovered_SheetName_2539_"/>
      <sheetName val="_Recovered_SheetName_2540_"/>
      <sheetName val="_Recovered_SheetName_2541_"/>
      <sheetName val="_Recovered_SheetName_2542_"/>
      <sheetName val="_Recovered_SheetName_2543_"/>
      <sheetName val="_Recovered_SheetName_2544_"/>
      <sheetName val="_Recovered_SheetName_2545_"/>
      <sheetName val="_Recovered_SheetName_2546_"/>
      <sheetName val="_Recovered_SheetName_2547_"/>
      <sheetName val="_Recovered_SheetName_2548_"/>
      <sheetName val="_Recovered_SheetName_2549_"/>
      <sheetName val="_Recovered_SheetName_2550_"/>
      <sheetName val="_Recovered_SheetName_2551_"/>
      <sheetName val="_Recovered_SheetName_2552_"/>
      <sheetName val="_Recovered_SheetName_2553_"/>
      <sheetName val="_Recovered_SheetName_2554_"/>
      <sheetName val="_Recovered_SheetName_2555_"/>
      <sheetName val="_Recovered_SheetName_2556_"/>
      <sheetName val="_Recovered_SheetName_2557_"/>
      <sheetName val="_Recovered_SheetName_2558_"/>
      <sheetName val="_Recovered_SheetName_2559_"/>
      <sheetName val="_Recovered_SheetName_2560_"/>
      <sheetName val="_Recovered_SheetName_2561_"/>
      <sheetName val="_Recovered_SheetName_2562_"/>
      <sheetName val="_Recovered_SheetName_2563_"/>
      <sheetName val="_Recovered_SheetName_2564_"/>
      <sheetName val="_Recovered_SheetName_2565_"/>
      <sheetName val="_Recovered_SheetName_2566_"/>
      <sheetName val="_Recovered_SheetName_2567_"/>
      <sheetName val="_Recovered_SheetName_2568_"/>
      <sheetName val="_Recovered_SheetName_2569_"/>
      <sheetName val="_Recovered_SheetName_2570_"/>
      <sheetName val="_Recovered_SheetName_2571_"/>
      <sheetName val="_Recovered_SheetName_2572_"/>
      <sheetName val="_Recovered_SheetName_2573_"/>
      <sheetName val="_Recovered_SheetName_2574_"/>
      <sheetName val="_Recovered_SheetName_2575_"/>
      <sheetName val="_Recovered_SheetName_2576_"/>
      <sheetName val="_Recovered_SheetName_2577_"/>
      <sheetName val="_Recovered_SheetName_2578_"/>
      <sheetName val="_Recovered_SheetName_2579_"/>
      <sheetName val="_Recovered_SheetName_2580_"/>
      <sheetName val="_Recovered_SheetName_2581_"/>
      <sheetName val="_Recovered_SheetName_2582_"/>
      <sheetName val="_Recovered_SheetName_2583_"/>
      <sheetName val="_Recovered_SheetName_2584_"/>
      <sheetName val="_Recovered_SheetName_2585_"/>
      <sheetName val="_Recovered_SheetName_2586_"/>
      <sheetName val="_Recovered_SheetName_2587_"/>
      <sheetName val="_Recovered_SheetName_2588_"/>
      <sheetName val="_Recovered_SheetName_2589_"/>
      <sheetName val="_Recovered_SheetName_2590_"/>
      <sheetName val="_Recovered_SheetName_2591_"/>
      <sheetName val="_Recovered_SheetName_2592_"/>
      <sheetName val="_Recovered_SheetName_2593_"/>
      <sheetName val="_Recovered_SheetName_2594_"/>
      <sheetName val="_Recovered_SheetName_2595_"/>
      <sheetName val="_Recovered_SheetName_2596_"/>
      <sheetName val="_Recovered_SheetName_2597_"/>
      <sheetName val="_Recovered_SheetName_2598_"/>
      <sheetName val="_Recovered_SheetName_2599_"/>
      <sheetName val="_Recovered_SheetName_2600_"/>
      <sheetName val="_Recovered_SheetName_2601_"/>
      <sheetName val="_Recovered_SheetName_2602_"/>
      <sheetName val="_Recovered_SheetName_2603_"/>
      <sheetName val="_Recovered_SheetName_2604_"/>
      <sheetName val="_Recovered_SheetName_2605_"/>
      <sheetName val="_Recovered_SheetName_2606_"/>
      <sheetName val="_Recovered_SheetName_2607_"/>
      <sheetName val="_Recovered_SheetName_2608_"/>
      <sheetName val="_Recovered_SheetName_2609_"/>
      <sheetName val="_Recovered_SheetName_2610_"/>
      <sheetName val="_Recovered_SheetName_2611_"/>
      <sheetName val="_Recovered_SheetName_2612_"/>
      <sheetName val="_Recovered_SheetName_2613_"/>
      <sheetName val="_Recovered_SheetName_2614_"/>
      <sheetName val="_Recovered_SheetName_2615_"/>
      <sheetName val="_Recovered_SheetName_2616_"/>
      <sheetName val="_Recovered_SheetName_2617_"/>
      <sheetName val="_Recovered_SheetName_2618_"/>
      <sheetName val="_Recovered_SheetName_2619_"/>
      <sheetName val="_Recovered_SheetName_2620_"/>
      <sheetName val="_Recovered_SheetName_2621_"/>
      <sheetName val="_Recovered_SheetName_2622_"/>
      <sheetName val="_Recovered_SheetName_2623_"/>
      <sheetName val="_Recovered_SheetName_2624_"/>
      <sheetName val="_Recovered_SheetName_2625_"/>
      <sheetName val="_Recovered_SheetName_2626_"/>
      <sheetName val="_Recovered_SheetName_2627_"/>
      <sheetName val="_Recovered_SheetName_2628_"/>
      <sheetName val="_Recovered_SheetName_2629_"/>
      <sheetName val="_Recovered_SheetName_2630_"/>
      <sheetName val="_Recovered_SheetName_2631_"/>
      <sheetName val="_Recovered_SheetName_2632_"/>
      <sheetName val="_Recovered_SheetName_2633_"/>
      <sheetName val="_Recovered_SheetName_2634_"/>
      <sheetName val="_Recovered_SheetName_2635_"/>
      <sheetName val="_Recovered_SheetName_2636_"/>
      <sheetName val="_Recovered_SheetName_2637_"/>
      <sheetName val="_Recovered_SheetName_2638_"/>
      <sheetName val="_Recovered_SheetName_2639_"/>
      <sheetName val="_Recovered_SheetName_2640_"/>
      <sheetName val="_Recovered_SheetName_2641_"/>
      <sheetName val="_Recovered_SheetName_2642_"/>
      <sheetName val="_Recovered_SheetName_2643_"/>
      <sheetName val="_Recovered_SheetName_2644_"/>
      <sheetName val="_Recovered_SheetName_2645_"/>
      <sheetName val="_Recovered_SheetName_2646_"/>
      <sheetName val="_Recovered_SheetName_2647_"/>
      <sheetName val="_Recovered_SheetName_2648_"/>
      <sheetName val="_Recovered_SheetName_2649_"/>
      <sheetName val="_Recovered_SheetName_2650_"/>
      <sheetName val="_Recovered_SheetName_2651_"/>
      <sheetName val="_Recovered_SheetName_2652_"/>
      <sheetName val="_Recovered_SheetName_2653_"/>
      <sheetName val="_Recovered_SheetName_2654_"/>
      <sheetName val="_Recovered_SheetName_2655_"/>
      <sheetName val="_Recovered_SheetName_2656_"/>
      <sheetName val="_Recovered_SheetName_2657_"/>
      <sheetName val="_Recovered_SheetName_2658_"/>
      <sheetName val="_Recovered_SheetName_2659_"/>
      <sheetName val="_Recovered_SheetName_2660_"/>
      <sheetName val="_Recovered_SheetName_2661_"/>
      <sheetName val="_Recovered_SheetName_2662_"/>
      <sheetName val="_Recovered_SheetName_2663_"/>
      <sheetName val="_Recovered_SheetName_2664_"/>
      <sheetName val="_Recovered_SheetName_2665_"/>
      <sheetName val="_Recovered_SheetName_2666_"/>
      <sheetName val="_Recovered_SheetName_2667_"/>
      <sheetName val="_Recovered_SheetName_2668_"/>
      <sheetName val="_Recovered_SheetName_2669_"/>
      <sheetName val="_Recovered_SheetName_2670_"/>
      <sheetName val="_Recovered_SheetName_2671_"/>
      <sheetName val="_Recovered_SheetName_2672_"/>
      <sheetName val="_Recovered_SheetName_2673_"/>
      <sheetName val="_Recovered_SheetName_2674_"/>
      <sheetName val="_Recovered_SheetName_2675_"/>
      <sheetName val="_Recovered_SheetName_2676_"/>
      <sheetName val="_Recovered_SheetName_2677_"/>
      <sheetName val="_Recovered_SheetName_2678_"/>
      <sheetName val="_Recovered_SheetName_2679_"/>
      <sheetName val="_Recovered_SheetName_2680_"/>
      <sheetName val="_Recovered_SheetName_2681_"/>
      <sheetName val="_Recovered_SheetName_2682_"/>
      <sheetName val="_Recovered_SheetName_2683_"/>
      <sheetName val="_Recovered_SheetName_2684_"/>
      <sheetName val="_Recovered_SheetName_2685_"/>
      <sheetName val="_Recovered_SheetName_2686_"/>
      <sheetName val="_Recovered_SheetName_2687_"/>
      <sheetName val="_Recovered_SheetName_2688_"/>
      <sheetName val="_Recovered_SheetName_2689_"/>
      <sheetName val="_Recovered_SheetName_2690_"/>
      <sheetName val="_Recovered_SheetName_2691_"/>
      <sheetName val="_Recovered_SheetName_2692_"/>
      <sheetName val="_Recovered_SheetName_2693_"/>
      <sheetName val="_Recovered_SheetName_2694_"/>
      <sheetName val="_Recovered_SheetName_2695_"/>
      <sheetName val="_Recovered_SheetName_2696_"/>
      <sheetName val="_Recovered_SheetName_2697_"/>
      <sheetName val="_Recovered_SheetName_2698_"/>
      <sheetName val="_Recovered_SheetName_2699_"/>
      <sheetName val="_Recovered_SheetName_2700_"/>
      <sheetName val="_Recovered_SheetName_2701_"/>
      <sheetName val="_Recovered_SheetName_2702_"/>
      <sheetName val="_Recovered_SheetName_2703_"/>
      <sheetName val="_Recovered_SheetName_2704_"/>
      <sheetName val="_Recovered_SheetName_2705_"/>
      <sheetName val="_Recovered_SheetName_2706_"/>
      <sheetName val="_Recovered_SheetName_2707_"/>
      <sheetName val="_Recovered_SheetName_2708_"/>
      <sheetName val="_Recovered_SheetName_2709_"/>
      <sheetName val="_Recovered_SheetName_2710_"/>
      <sheetName val="_Recovered_SheetName_2711_"/>
      <sheetName val="_Recovered_SheetName_2712_"/>
      <sheetName val="_Recovered_SheetName_2713_"/>
      <sheetName val="_Recovered_SheetName_2714_"/>
      <sheetName val="_Recovered_SheetName_2715_"/>
      <sheetName val="_Recovered_SheetName_2716_"/>
      <sheetName val="_Recovered_SheetName_2717_"/>
      <sheetName val="_Recovered_SheetName_2718_"/>
      <sheetName val="_Recovered_SheetName_2719_"/>
      <sheetName val="_Recovered_SheetName_2720_"/>
      <sheetName val="_Recovered_SheetName_2721_"/>
      <sheetName val="_Recovered_SheetName_2722_"/>
      <sheetName val="_Recovered_SheetName_2723_"/>
      <sheetName val="_Recovered_SheetName_2724_"/>
      <sheetName val="_Recovered_SheetName_2725_"/>
      <sheetName val="_Recovered_SheetName_2726_"/>
      <sheetName val="_Recovered_SheetName_2727_"/>
      <sheetName val="_Recovered_SheetName_2728_"/>
      <sheetName val="_Recovered_SheetName_2729_"/>
      <sheetName val="_Recovered_SheetName_2730_"/>
      <sheetName val="_Recovered_SheetName_2731_"/>
      <sheetName val="_Recovered_SheetName_2732_"/>
      <sheetName val="_Recovered_SheetName_2733_"/>
      <sheetName val="_Recovered_SheetName_2734_"/>
      <sheetName val="_Recovered_SheetName_2735_"/>
      <sheetName val="_Recovered_SheetName_2736_"/>
      <sheetName val="_Recovered_SheetName_2737_"/>
      <sheetName val="_Recovered_SheetName_2738_"/>
      <sheetName val="_Recovered_SheetName_2739_"/>
      <sheetName val="_Recovered_SheetName_2740_"/>
      <sheetName val="_Recovered_SheetName_2741_"/>
      <sheetName val="_Recovered_SheetName_2742_"/>
      <sheetName val="_Recovered_SheetName_2743_"/>
      <sheetName val="_Recovered_SheetName_2744_"/>
      <sheetName val="_Recovered_SheetName_2745_"/>
      <sheetName val="_Recovered_SheetName_2746_"/>
      <sheetName val="_Recovered_SheetName_2747_"/>
      <sheetName val="_Recovered_SheetName_2748_"/>
      <sheetName val="_Recovered_SheetName_2749_"/>
      <sheetName val="_Recovered_SheetName_2750_"/>
      <sheetName val="_Recovered_SheetName_2751_"/>
      <sheetName val="_Recovered_SheetName_2752_"/>
      <sheetName val="_Recovered_SheetName_2753_"/>
      <sheetName val="_Recovered_SheetName_2754_"/>
      <sheetName val="_Recovered_SheetName_2755_"/>
      <sheetName val="_Recovered_SheetName_2756_"/>
      <sheetName val="_Recovered_SheetName_2757_"/>
      <sheetName val="_Recovered_SheetName_2758_"/>
      <sheetName val="_Recovered_SheetName_2759_"/>
      <sheetName val="_Recovered_SheetName_2760_"/>
      <sheetName val="_Recovered_SheetName_2761_"/>
      <sheetName val="_Recovered_SheetName_2762_"/>
      <sheetName val="_Recovered_SheetName_2763_"/>
      <sheetName val="_Recovered_SheetName_2764_"/>
      <sheetName val="_Recovered_SheetName_2765_"/>
      <sheetName val="_Recovered_SheetName_2766_"/>
      <sheetName val="_Recovered_SheetName_2767_"/>
      <sheetName val="_Recovered_SheetName_2768_"/>
      <sheetName val="_Recovered_SheetName_2769_"/>
      <sheetName val="_Recovered_SheetName_2770_"/>
      <sheetName val="_Recovered_SheetName_2771_"/>
      <sheetName val="_Recovered_SheetName_2772_"/>
      <sheetName val="_Recovered_SheetName_2773_"/>
      <sheetName val="_Recovered_SheetName_2774_"/>
      <sheetName val="_Recovered_SheetName_2775_"/>
      <sheetName val="_Recovered_SheetName_2776_"/>
      <sheetName val="_Recovered_SheetName_2777_"/>
      <sheetName val="_Recovered_SheetName_2778_"/>
      <sheetName val="_Recovered_SheetName_2779_"/>
      <sheetName val="_Recovered_SheetName_2780_"/>
      <sheetName val="_Recovered_SheetName_2781_"/>
      <sheetName val="_Recovered_SheetName_2782_"/>
      <sheetName val="_Recovered_SheetName_2783_"/>
      <sheetName val="_Recovered_SheetName_2784_"/>
      <sheetName val="_Recovered_SheetName_2785_"/>
      <sheetName val="_Recovered_SheetName_2786_"/>
      <sheetName val="_Recovered_SheetName_2787_"/>
      <sheetName val="_Recovered_SheetName_2788_"/>
      <sheetName val="_Recovered_SheetName_2789_"/>
      <sheetName val="_Recovered_SheetName_2790_"/>
      <sheetName val="_Recovered_SheetName_2791_"/>
      <sheetName val="_Recovered_SheetName_2792_"/>
      <sheetName val="_Recovered_SheetName_2793_"/>
      <sheetName val="_Recovered_SheetName_2794_"/>
      <sheetName val="_Recovered_SheetName_2795_"/>
      <sheetName val="_Recovered_SheetName_2796_"/>
      <sheetName val="_Recovered_SheetName_2797_"/>
      <sheetName val="_Recovered_SheetName_2798_"/>
      <sheetName val="_Recovered_SheetName_2799_"/>
      <sheetName val="_Recovered_SheetName_2800_"/>
      <sheetName val="_Recovered_SheetName_2801_"/>
      <sheetName val="_Recovered_SheetName_2802_"/>
      <sheetName val="_Recovered_SheetName_2803_"/>
      <sheetName val="_Recovered_SheetName_2804_"/>
      <sheetName val="_Recovered_SheetName_2805_"/>
      <sheetName val="_Recovered_SheetName_2806_"/>
      <sheetName val="_Recovered_SheetName_2807_"/>
      <sheetName val="_Recovered_SheetName_2808_"/>
      <sheetName val="_Recovered_SheetName_2809_"/>
      <sheetName val="_Recovered_SheetName_2810_"/>
      <sheetName val="_Recovered_SheetName_2811_"/>
      <sheetName val="_Recovered_SheetName_2812_"/>
      <sheetName val="_Recovered_SheetName_2813_"/>
      <sheetName val="_Recovered_SheetName_2814_"/>
      <sheetName val="_Recovered_SheetName_2815_"/>
      <sheetName val="_Recovered_SheetName_2816_"/>
      <sheetName val="_Recovered_SheetName_2817_"/>
      <sheetName val="_Recovered_SheetName_2818_"/>
      <sheetName val="_Recovered_SheetName_2819_"/>
      <sheetName val="_Recovered_SheetName_2820_"/>
      <sheetName val="_Recovered_SheetName_2821_"/>
      <sheetName val="_Recovered_SheetName_2822_"/>
      <sheetName val="_Recovered_SheetName_2823_"/>
      <sheetName val="_Recovered_SheetName_2824_"/>
      <sheetName val="_Recovered_SheetName_2825_"/>
      <sheetName val="_Recovered_SheetName_2826_"/>
      <sheetName val="_Recovered_SheetName_2827_"/>
      <sheetName val="_Recovered_SheetName_2828_"/>
      <sheetName val="_Recovered_SheetName_2829_"/>
      <sheetName val="_Recovered_SheetName_2830_"/>
      <sheetName val="_Recovered_SheetName_2831_"/>
      <sheetName val="_Recovered_SheetName_2832_"/>
      <sheetName val="_Recovered_SheetName_2833_"/>
      <sheetName val="_Recovered_SheetName_2834_"/>
      <sheetName val="_Recovered_SheetName_2835_"/>
      <sheetName val="_Recovered_SheetName_2836_"/>
      <sheetName val="_Recovered_SheetName_2837_"/>
      <sheetName val="_Recovered_SheetName_2838_"/>
      <sheetName val="_Recovered_SheetName_2839_"/>
      <sheetName val="_Recovered_SheetName_2840_"/>
      <sheetName val="_Recovered_SheetName_2841_"/>
      <sheetName val="_Recovered_SheetName_2842_"/>
      <sheetName val="_Recovered_SheetName_2843_"/>
      <sheetName val="_Recovered_SheetName_2844_"/>
      <sheetName val="_Recovered_SheetName_2845_"/>
      <sheetName val="_Recovered_SheetName_2846_"/>
      <sheetName val="_Recovered_SheetName_2847_"/>
      <sheetName val="_Recovered_SheetName_2848_"/>
      <sheetName val="_Recovered_SheetName_2849_"/>
      <sheetName val="_Recovered_SheetName_2850_"/>
      <sheetName val="_Recovered_SheetName_2851_"/>
      <sheetName val="_Recovered_SheetName_2852_"/>
      <sheetName val="_Recovered_SheetName_2853_"/>
      <sheetName val="_Recovered_SheetName_2854_"/>
      <sheetName val="_Recovered_SheetName_2855_"/>
      <sheetName val="_Recovered_SheetName_2856_"/>
      <sheetName val="_Recovered_SheetName_2857_"/>
      <sheetName val="_Recovered_SheetName_2858_"/>
      <sheetName val="_Recovered_SheetName_2859_"/>
      <sheetName val="_Recovered_SheetName_2860_"/>
      <sheetName val="_Recovered_SheetName_2861_"/>
      <sheetName val="_Recovered_SheetName_2862_"/>
      <sheetName val="_Recovered_SheetName_2863_"/>
      <sheetName val="_Recovered_SheetName_2864_"/>
      <sheetName val="_Recovered_SheetName_2865_"/>
      <sheetName val="_Recovered_SheetName_2866_"/>
      <sheetName val="_Recovered_SheetName_2867_"/>
      <sheetName val="_Recovered_SheetName_2868_"/>
      <sheetName val="_Recovered_SheetName_2869_"/>
      <sheetName val="_Recovered_SheetName_2870_"/>
      <sheetName val="_Recovered_SheetName_2871_"/>
      <sheetName val="_Recovered_SheetName_2872_"/>
      <sheetName val="_Recovered_SheetName_2873_"/>
      <sheetName val="_Recovered_SheetName_2874_"/>
      <sheetName val="_Recovered_SheetName_2875_"/>
      <sheetName val="_Recovered_SheetName_2876_"/>
      <sheetName val="_Recovered_SheetName_2877_"/>
      <sheetName val="_Recovered_SheetName_2878_"/>
      <sheetName val="_Recovered_SheetName_2879_"/>
      <sheetName val="_Recovered_SheetName_2880_"/>
      <sheetName val="_Recovered_SheetName_2881_"/>
      <sheetName val="_Recovered_SheetName_2882_"/>
      <sheetName val="_Recovered_SheetName_2883_"/>
      <sheetName val="_Recovered_SheetName_2884_"/>
      <sheetName val="_Recovered_SheetName_2885_"/>
      <sheetName val="_Recovered_SheetName_2886_"/>
      <sheetName val="_Recovered_SheetName_2887_"/>
      <sheetName val="_Recovered_SheetName_2888_"/>
      <sheetName val="_Recovered_SheetName_2889_"/>
      <sheetName val="_Recovered_SheetName_2890_"/>
      <sheetName val="_Recovered_SheetName_2891_"/>
      <sheetName val="_Recovered_SheetName_2892_"/>
      <sheetName val="_Recovered_SheetName_2893_"/>
      <sheetName val="_Recovered_SheetName_2894_"/>
      <sheetName val="_Recovered_SheetName_2895_"/>
      <sheetName val="_Recovered_SheetName_2896_"/>
      <sheetName val="_Recovered_SheetName_2897_"/>
      <sheetName val="_Recovered_SheetName_2898_"/>
      <sheetName val="_Recovered_SheetName_2899_"/>
      <sheetName val="_Recovered_SheetName_2900_"/>
      <sheetName val="_Recovered_SheetName_2901_"/>
      <sheetName val="_Recovered_SheetName_2902_"/>
      <sheetName val="_Recovered_SheetName_2903_"/>
      <sheetName val="_Recovered_SheetName_2904_"/>
      <sheetName val="_Recovered_SheetName_2905_"/>
      <sheetName val="_Recovered_SheetName_2906_"/>
      <sheetName val="_Recovered_SheetName_2907_"/>
      <sheetName val="_Recovered_SheetName_2908_"/>
      <sheetName val="_Recovered_SheetName_2909_"/>
      <sheetName val="_Recovered_SheetName_2910_"/>
      <sheetName val="_Recovered_SheetName_2911_"/>
      <sheetName val="_Recovered_SheetName_2912_"/>
      <sheetName val="_Recovered_SheetName_2913_"/>
      <sheetName val="_Recovered_SheetName_2914_"/>
      <sheetName val="_Recovered_SheetName_2915_"/>
      <sheetName val="_Recovered_SheetName_2916_"/>
      <sheetName val="_Recovered_SheetName_2917_"/>
      <sheetName val="_Recovered_SheetName_2918_"/>
      <sheetName val="_Recovered_SheetName_2919_"/>
      <sheetName val="_Recovered_SheetName_2920_"/>
      <sheetName val="_Recovered_SheetName_2921_"/>
      <sheetName val="_Recovered_SheetName_2922_"/>
      <sheetName val="_Recovered_SheetName_2923_"/>
      <sheetName val="_Recovered_SheetName_2924_"/>
      <sheetName val="_Recovered_SheetName_2925_"/>
      <sheetName val="_Recovered_SheetName_2926_"/>
      <sheetName val="_Recovered_SheetName_2927_"/>
      <sheetName val="_Recovered_SheetName_2928_"/>
      <sheetName val="_Recovered_SheetName_2929_"/>
      <sheetName val="_Recovered_SheetName_2930_"/>
      <sheetName val="_Recovered_SheetName_2931_"/>
      <sheetName val="_Recovered_SheetName_2932_"/>
      <sheetName val="_Recovered_SheetName_2933_"/>
      <sheetName val="_Recovered_SheetName_2934_"/>
      <sheetName val="_Recovered_SheetName_2935_"/>
      <sheetName val="_Recovered_SheetName_2936_"/>
      <sheetName val="_Recovered_SheetName_2937_"/>
      <sheetName val="_Recovered_SheetName_2938_"/>
      <sheetName val="_Recovered_SheetName_2939_"/>
      <sheetName val="_Recovered_SheetName_2940_"/>
      <sheetName val="_Recovered_SheetName_2941_"/>
      <sheetName val="_Recovered_SheetName_2942_"/>
      <sheetName val="_Recovered_SheetName_2943_"/>
      <sheetName val="_Recovered_SheetName_2944_"/>
      <sheetName val="_Recovered_SheetName_2945_"/>
      <sheetName val="_Recovered_SheetName_2946_"/>
      <sheetName val="_Recovered_SheetName_2947_"/>
      <sheetName val="_Recovered_SheetName_2948_"/>
      <sheetName val="_Recovered_SheetName_2949_"/>
      <sheetName val="_Recovered_SheetName_2950_"/>
      <sheetName val="_Recovered_SheetName_2951_"/>
      <sheetName val="_Recovered_SheetName_2952_"/>
      <sheetName val="_Recovered_SheetName_2953_"/>
      <sheetName val="_Recovered_SheetName_2954_"/>
      <sheetName val="_Recovered_SheetName_2955_"/>
      <sheetName val="_Recovered_SheetName_2956_"/>
      <sheetName val="_Recovered_SheetName_2957_"/>
      <sheetName val="_Recovered_SheetName_2958_"/>
      <sheetName val="_Recovered_SheetName_2959_"/>
      <sheetName val="_Recovered_SheetName_2960_"/>
      <sheetName val="_Recovered_SheetName_2961_"/>
      <sheetName val="_Recovered_SheetName_2962_"/>
      <sheetName val="_Recovered_SheetName_2963_"/>
      <sheetName val="_Recovered_SheetName_2964_"/>
      <sheetName val="_Recovered_SheetName_2965_"/>
      <sheetName val="_Recovered_SheetName_2966_"/>
      <sheetName val="_Recovered_SheetName_2967_"/>
      <sheetName val="_Recovered_SheetName_2968_"/>
      <sheetName val="_Recovered_SheetName_2969_"/>
      <sheetName val="_Recovered_SheetName_2970_"/>
      <sheetName val="_Recovered_SheetName_2971_"/>
      <sheetName val="_Recovered_SheetName_2972_"/>
      <sheetName val="_Recovered_SheetName_2973_"/>
      <sheetName val="_Recovered_SheetName_2974_"/>
      <sheetName val="_Recovered_SheetName_2975_"/>
      <sheetName val="_Recovered_SheetName_2976_"/>
      <sheetName val="_Recovered_SheetName_2977_"/>
      <sheetName val="_Recovered_SheetName_2978_"/>
      <sheetName val="_Recovered_SheetName_2979_"/>
      <sheetName val="_Recovered_SheetName_2980_"/>
      <sheetName val="_Recovered_SheetName_2981_"/>
      <sheetName val="_Recovered_SheetName_2982_"/>
      <sheetName val="_Recovered_SheetName_2983_"/>
      <sheetName val="_Recovered_SheetName_2984_"/>
      <sheetName val="_Recovered_SheetName_2985_"/>
      <sheetName val="_Recovered_SheetName_2986_"/>
      <sheetName val="_Recovered_SheetName_2987_"/>
      <sheetName val="_Recovered_SheetName_2988_"/>
      <sheetName val="_Recovered_SheetName_2989_"/>
      <sheetName val="_Recovered_SheetName_2990_"/>
      <sheetName val="_Recovered_SheetName_2991_"/>
      <sheetName val="_Recovered_SheetName_2992_"/>
      <sheetName val="_Recovered_SheetName_2993_"/>
      <sheetName val="_Recovered_SheetName_2994_"/>
      <sheetName val="_Recovered_SheetName_2995_"/>
      <sheetName val="_Recovered_SheetName_2996_"/>
      <sheetName val="_Recovered_SheetName_2997_"/>
      <sheetName val="_Recovered_SheetName_2998_"/>
      <sheetName val="_Recovered_SheetName_2999_"/>
      <sheetName val="_Recovered_SheetName_3000_"/>
      <sheetName val="_Recovered_SheetName_3001_"/>
      <sheetName val="_Recovered_SheetName_3002_"/>
      <sheetName val="_Recovered_SheetName_3003_"/>
      <sheetName val="_Recovered_SheetName_3004_"/>
      <sheetName val="_Recovered_SheetName_3005_"/>
      <sheetName val="_Recovered_SheetName_3006_"/>
      <sheetName val="_Recovered_SheetName_3007_"/>
      <sheetName val="_Recovered_SheetName_3008_"/>
      <sheetName val="_Recovered_SheetName_3009_"/>
      <sheetName val="_Recovered_SheetName_3010_"/>
      <sheetName val="_Recovered_SheetName_3011_"/>
      <sheetName val="_Recovered_SheetName_3012_"/>
      <sheetName val="_Recovered_SheetName_3013_"/>
      <sheetName val="_Recovered_SheetName_3014_"/>
      <sheetName val="_Recovered_SheetName_3015_"/>
      <sheetName val="_Recovered_SheetName_3016_"/>
      <sheetName val="_Recovered_SheetName_3017_"/>
      <sheetName val="_Recovered_SheetName_3018_"/>
      <sheetName val="_Recovered_SheetName_3019_"/>
      <sheetName val="_Recovered_SheetName_3020_"/>
      <sheetName val="_Recovered_SheetName_3021_"/>
      <sheetName val="_Recovered_SheetName_3022_"/>
      <sheetName val="_Recovered_SheetName_3023_"/>
      <sheetName val="_Recovered_SheetName_3024_"/>
      <sheetName val="_Recovered_SheetName_3025_"/>
      <sheetName val="_Recovered_SheetName_3026_"/>
      <sheetName val="_Recovered_SheetName_3027_"/>
      <sheetName val="_Recovered_SheetName_3028_"/>
      <sheetName val="_Recovered_SheetName_3029_"/>
      <sheetName val="_Recovered_SheetName_3030_"/>
      <sheetName val="_Recovered_SheetName_3031_"/>
      <sheetName val="_Recovered_SheetName_3032_"/>
      <sheetName val="_Recovered_SheetName_3033_"/>
      <sheetName val="_Recovered_SheetName_3034_"/>
      <sheetName val="_Recovered_SheetName_3035_"/>
      <sheetName val="_Recovered_SheetName_3036_"/>
      <sheetName val="_Recovered_SheetName_3037_"/>
      <sheetName val="_Recovered_SheetName_3038_"/>
      <sheetName val="_Recovered_SheetName_3039_"/>
      <sheetName val="_Recovered_SheetName_3040_"/>
      <sheetName val="_Recovered_SheetName_3041_"/>
      <sheetName val="_Recovered_SheetName_3042_"/>
      <sheetName val="_Recovered_SheetName_3043_"/>
      <sheetName val="_Recovered_SheetName_3044_"/>
      <sheetName val="_Recovered_SheetName_3045_"/>
      <sheetName val="_Recovered_SheetName_3046_"/>
      <sheetName val="_Recovered_SheetName_3047_"/>
      <sheetName val="_Recovered_SheetName_3048_"/>
      <sheetName val="_Recovered_SheetName_3049_"/>
      <sheetName val="_Recovered_SheetName_3050_"/>
      <sheetName val="_Recovered_SheetName_3051_"/>
      <sheetName val="_Recovered_SheetName_3052_"/>
      <sheetName val="_Recovered_SheetName_3053_"/>
      <sheetName val="_Recovered_SheetName_3054_"/>
      <sheetName val="_Recovered_SheetName_3055_"/>
      <sheetName val="_Recovered_SheetName_3056_"/>
      <sheetName val="_Recovered_SheetName_3057_"/>
      <sheetName val="_Recovered_SheetName_3058_"/>
      <sheetName val="_Recovered_SheetName_3059_"/>
      <sheetName val="_Recovered_SheetName_3060_"/>
      <sheetName val="_Recovered_SheetName_3061_"/>
      <sheetName val="_Recovered_SheetName_3062_"/>
      <sheetName val="_Recovered_SheetName_3063_"/>
      <sheetName val="_Recovered_SheetName_3064_"/>
      <sheetName val="_Recovered_SheetName_3065_"/>
      <sheetName val="_Recovered_SheetName_3066_"/>
      <sheetName val="_Recovered_SheetName_3067_"/>
      <sheetName val="_Recovered_SheetName_3068_"/>
      <sheetName val="_Recovered_SheetName_3069_"/>
      <sheetName val="_Recovered_SheetName_3070_"/>
      <sheetName val="_Recovered_SheetName_3071_"/>
      <sheetName val="_Recovered_SheetName_3072_"/>
      <sheetName val="_Recovered_SheetName_3073_"/>
      <sheetName val="_Recovered_SheetName_3074_"/>
      <sheetName val="_Recovered_SheetName_3075_"/>
      <sheetName val="_Recovered_SheetName_3076_"/>
      <sheetName val="_Recovered_SheetName_3077_"/>
      <sheetName val="_Recovered_SheetName_3078_"/>
      <sheetName val="_Recovered_SheetName_3079_"/>
      <sheetName val="_Recovered_SheetName_3080_"/>
      <sheetName val="_Recovered_SheetName_3081_"/>
      <sheetName val="_Recovered_SheetName_3082_"/>
      <sheetName val="_Recovered_SheetName_3083_"/>
      <sheetName val="_Recovered_SheetName_3084_"/>
      <sheetName val="_Recovered_SheetName_3085_"/>
      <sheetName val="_Recovered_SheetName_3086_"/>
      <sheetName val="_Recovered_SheetName_3087_"/>
      <sheetName val="_Recovered_SheetName_3088_"/>
      <sheetName val="_Recovered_SheetName_3089_"/>
      <sheetName val="_Recovered_SheetName_3090_"/>
      <sheetName val="_Recovered_SheetName_3091_"/>
      <sheetName val="_Recovered_SheetName_3092_"/>
      <sheetName val="_Recovered_SheetName_3093_"/>
      <sheetName val="_Recovered_SheetName_3094_"/>
      <sheetName val="_Recovered_SheetName_3095_"/>
      <sheetName val="_Recovered_SheetName_3096_"/>
      <sheetName val="_Recovered_SheetName_3097_"/>
      <sheetName val="_Recovered_SheetName_3098_"/>
      <sheetName val="_Recovered_SheetName_3099_"/>
      <sheetName val="_Recovered_SheetName_3100_"/>
      <sheetName val="_Recovered_SheetName_3101_"/>
      <sheetName val="_Recovered_SheetName_3102_"/>
      <sheetName val="_Recovered_SheetName_3103_"/>
      <sheetName val="_Recovered_SheetName_3104_"/>
      <sheetName val="_Recovered_SheetName_3105_"/>
      <sheetName val="_Recovered_SheetName_3106_"/>
      <sheetName val="_Recovered_SheetName_3107_"/>
      <sheetName val="_Recovered_SheetName_3108_"/>
      <sheetName val="_Recovered_SheetName_3109_"/>
      <sheetName val="_Recovered_SheetName_3110_"/>
      <sheetName val="_Recovered_SheetName_3111_"/>
      <sheetName val="_Recovered_SheetName_3112_"/>
      <sheetName val="_Recovered_SheetName_3113_"/>
      <sheetName val="_Recovered_SheetName_3114_"/>
      <sheetName val="_Recovered_SheetName_3115_"/>
      <sheetName val="_Recovered_SheetName_3116_"/>
      <sheetName val="_Recovered_SheetName_3117_"/>
      <sheetName val="_Recovered_SheetName_3118_"/>
      <sheetName val="_Recovered_SheetName_3119_"/>
      <sheetName val="_Recovered_SheetName_3120_"/>
      <sheetName val="_Recovered_SheetName_3121_"/>
      <sheetName val="_Recovered_SheetName_3122_"/>
      <sheetName val="_Recovered_SheetName_3123_"/>
      <sheetName val="_Recovered_SheetName_3124_"/>
      <sheetName val="_Recovered_SheetName_3125_"/>
      <sheetName val="_Recovered_SheetName_3126_"/>
      <sheetName val="_Recovered_SheetName_3127_"/>
      <sheetName val="_Recovered_SheetName_3128_"/>
      <sheetName val="_Recovered_SheetName_3129_"/>
      <sheetName val="_Recovered_SheetName_3130_"/>
      <sheetName val="_Recovered_SheetName_3131_"/>
      <sheetName val="_Recovered_SheetName_3132_"/>
      <sheetName val="_Recovered_SheetName_3133_"/>
      <sheetName val="_Recovered_SheetName_3134_"/>
      <sheetName val="_Recovered_SheetName_3135_"/>
      <sheetName val="_Recovered_SheetName_3136_"/>
      <sheetName val="_Recovered_SheetName_3137_"/>
      <sheetName val="_Recovered_SheetName_3138_"/>
      <sheetName val="_Recovered_SheetName_3139_"/>
      <sheetName val="_Recovered_SheetName_3140_"/>
      <sheetName val="_Recovered_SheetName_3141_"/>
      <sheetName val="_Recovered_SheetName_3142_"/>
      <sheetName val="_Recovered_SheetName_3143_"/>
      <sheetName val="_Recovered_SheetName_3144_"/>
      <sheetName val="_Recovered_SheetName_3145_"/>
      <sheetName val="_Recovered_SheetName_3146_"/>
      <sheetName val="_Recovered_SheetName_3147_"/>
      <sheetName val="_Recovered_SheetName_3148_"/>
      <sheetName val="_Recovered_SheetName_3149_"/>
      <sheetName val="_Recovered_SheetName_3150_"/>
      <sheetName val="_Recovered_SheetName_3151_"/>
      <sheetName val="_Recovered_SheetName_3152_"/>
      <sheetName val="_Recovered_SheetName_3153_"/>
      <sheetName val="_Recovered_SheetName_3154_"/>
      <sheetName val="_Recovered_SheetName_3155_"/>
      <sheetName val="_Recovered_SheetName_3156_"/>
      <sheetName val="_Recovered_SheetName_3157_"/>
      <sheetName val="_Recovered_SheetName_3158_"/>
      <sheetName val="_Recovered_SheetName_3159_"/>
      <sheetName val="_Recovered_SheetName_3160_"/>
      <sheetName val="_Recovered_SheetName_3161_"/>
      <sheetName val="_Recovered_SheetName_3162_"/>
      <sheetName val="_Recovered_SheetName_3163_"/>
      <sheetName val="_Recovered_SheetName_3164_"/>
      <sheetName val="_Recovered_SheetName_3165_"/>
      <sheetName val="_Recovered_SheetName_3166_"/>
      <sheetName val="_Recovered_SheetName_3167_"/>
      <sheetName val="_Recovered_SheetName_3168_"/>
      <sheetName val="_Recovered_SheetName_3169_"/>
      <sheetName val="_Recovered_SheetName_3170_"/>
      <sheetName val="_Recovered_SheetName_3171_"/>
      <sheetName val="_Recovered_SheetName_3172_"/>
      <sheetName val="_Recovered_SheetName_3173_"/>
      <sheetName val="_Recovered_SheetName_3174_"/>
      <sheetName val="_Recovered_SheetName_3175_"/>
      <sheetName val="_Recovered_SheetName_3176_"/>
      <sheetName val="_Recovered_SheetName_3177_"/>
      <sheetName val="_Recovered_SheetName_3178_"/>
      <sheetName val="_Recovered_SheetName_3179_"/>
      <sheetName val="_Recovered_SheetName_3180_"/>
      <sheetName val="_Recovered_SheetName_3181_"/>
      <sheetName val="_Recovered_SheetName_3182_"/>
      <sheetName val="_Recovered_SheetName_3183_"/>
      <sheetName val="_Recovered_SheetName_3184_"/>
      <sheetName val="_Recovered_SheetName_3185_"/>
      <sheetName val="_Recovered_SheetName_3186_"/>
      <sheetName val="_Recovered_SheetName_3187_"/>
      <sheetName val="_Recovered_SheetName_3188_"/>
      <sheetName val="_Recovered_SheetName_3189_"/>
      <sheetName val="_Recovered_SheetName_3190_"/>
      <sheetName val="_Recovered_SheetName_3191_"/>
      <sheetName val="_Recovered_SheetName_3192_"/>
      <sheetName val="_Recovered_SheetName_3193_"/>
      <sheetName val="_Recovered_SheetName_3194_"/>
      <sheetName val="_Recovered_SheetName_3195_"/>
      <sheetName val="_Recovered_SheetName_3196_"/>
      <sheetName val="_Recovered_SheetName_3197_"/>
      <sheetName val="_Recovered_SheetName_3198_"/>
      <sheetName val="_Recovered_SheetName_3199_"/>
      <sheetName val="_Recovered_SheetName_3200_"/>
      <sheetName val="_Recovered_SheetName_3201_"/>
      <sheetName val="_Recovered_SheetName_3202_"/>
      <sheetName val="_Recovered_SheetName_3203_"/>
      <sheetName val="_Recovered_SheetName_3204_"/>
      <sheetName val="_Recovered_SheetName_3205_"/>
      <sheetName val="_Recovered_SheetName_3206_"/>
      <sheetName val="_Recovered_SheetName_3207_"/>
      <sheetName val="_Recovered_SheetName_3208_"/>
      <sheetName val="_Recovered_SheetName_3209_"/>
      <sheetName val="_Recovered_SheetName_3210_"/>
      <sheetName val="_Recovered_SheetName_3211_"/>
      <sheetName val="_Recovered_SheetName_3212_"/>
      <sheetName val="_Recovered_SheetName_3213_"/>
      <sheetName val="_Recovered_SheetName_3214_"/>
      <sheetName val="_Recovered_SheetName_3215_"/>
      <sheetName val="_Recovered_SheetName_3216_"/>
      <sheetName val="_Recovered_SheetName_3217_"/>
      <sheetName val="_Recovered_SheetName_3218_"/>
      <sheetName val="_Recovered_SheetName_3219_"/>
      <sheetName val="_Recovered_SheetName_3220_"/>
      <sheetName val="_Recovered_SheetName_3221_"/>
      <sheetName val="_Recovered_SheetName_3222_"/>
      <sheetName val="_Recovered_SheetName_3223_"/>
      <sheetName val="_Recovered_SheetName_3224_"/>
      <sheetName val="_Recovered_SheetName_3225_"/>
      <sheetName val="_Recovered_SheetName_3226_"/>
      <sheetName val="_Recovered_SheetName_3227_"/>
      <sheetName val="_Recovered_SheetName_3228_"/>
      <sheetName val="_Recovered_SheetName_3229_"/>
      <sheetName val="_Recovered_SheetName_3230_"/>
      <sheetName val="_Recovered_SheetName_3231_"/>
      <sheetName val="_Recovered_SheetName_3232_"/>
      <sheetName val="_Recovered_SheetName_3233_"/>
      <sheetName val="_Recovered_SheetName_3234_"/>
      <sheetName val="_Recovered_SheetName_3235_"/>
      <sheetName val="_Recovered_SheetName_3236_"/>
      <sheetName val="_Recovered_SheetName_3237_"/>
      <sheetName val="_Recovered_SheetName_3238_"/>
      <sheetName val="_Recovered_SheetName_3239_"/>
      <sheetName val="_Recovered_SheetName_3240_"/>
      <sheetName val="_Recovered_SheetName_3241_"/>
      <sheetName val="_Recovered_SheetName_3242_"/>
      <sheetName val="_Recovered_SheetName_3243_"/>
      <sheetName val="_Recovered_SheetName_3244_"/>
      <sheetName val="_Recovered_SheetName_3245_"/>
      <sheetName val="_Recovered_SheetName_3246_"/>
      <sheetName val="_Recovered_SheetName_3247_"/>
      <sheetName val="_Recovered_SheetName_3248_"/>
      <sheetName val="_Recovered_SheetName_3249_"/>
      <sheetName val="_Recovered_SheetName_3250_"/>
      <sheetName val="_Recovered_SheetName_3251_"/>
      <sheetName val="_Recovered_SheetName_3252_"/>
      <sheetName val="_Recovered_SheetName_3253_"/>
      <sheetName val="_Recovered_SheetName_3254_"/>
      <sheetName val="_Recovered_SheetName_3255_"/>
      <sheetName val="_Recovered_SheetName_3256_"/>
      <sheetName val="_Recovered_SheetName_3257_"/>
      <sheetName val="_Recovered_SheetName_3258_"/>
      <sheetName val="_Recovered_SheetName_3259_"/>
      <sheetName val="_Recovered_SheetName_3260_"/>
      <sheetName val="_Recovered_SheetName_3261_"/>
      <sheetName val="_Recovered_SheetName_3262_"/>
      <sheetName val="_Recovered_SheetName_3263_"/>
      <sheetName val="_Recovered_SheetName_3264_"/>
      <sheetName val="_Recovered_SheetName_3265_"/>
      <sheetName val="_Recovered_SheetName_3266_"/>
      <sheetName val="_Recovered_SheetName_3267_"/>
      <sheetName val="_Recovered_SheetName_3268_"/>
      <sheetName val="_Recovered_SheetName_3269_"/>
      <sheetName val="_Recovered_SheetName_3270_"/>
      <sheetName val="_Recovered_SheetName_3271_"/>
      <sheetName val="_Recovered_SheetName_3272_"/>
      <sheetName val="_Recovered_SheetName_3273_"/>
      <sheetName val="_Recovered_SheetName_3274_"/>
      <sheetName val="_Recovered_SheetName_3275_"/>
      <sheetName val="_Recovered_SheetName_3276_"/>
      <sheetName val="_Recovered_SheetName_3277_"/>
      <sheetName val="_Recovered_SheetName_3278_"/>
      <sheetName val="_Recovered_SheetName_3279_"/>
      <sheetName val="_Recovered_SheetName_3280_"/>
      <sheetName val="_Recovered_SheetName_3281_"/>
      <sheetName val="_Recovered_SheetName_3282_"/>
      <sheetName val="_Recovered_SheetName_3283_"/>
      <sheetName val="_Recovered_SheetName_3284_"/>
      <sheetName val="_Recovered_SheetName_3285_"/>
      <sheetName val="_Recovered_SheetName_3286_"/>
      <sheetName val="_Recovered_SheetName_3287_"/>
      <sheetName val="_Recovered_SheetName_3288_"/>
      <sheetName val="_Recovered_SheetName_3289_"/>
      <sheetName val="_Recovered_SheetName_3290_"/>
      <sheetName val="_Recovered_SheetName_3291_"/>
      <sheetName val="_Recovered_SheetName_3292_"/>
      <sheetName val="_Recovered_SheetName_3293_"/>
      <sheetName val="_Recovered_SheetName_3294_"/>
      <sheetName val="_Recovered_SheetName_3295_"/>
      <sheetName val="_Recovered_SheetName_3296_"/>
      <sheetName val="_Recovered_SheetName_3297_"/>
      <sheetName val="_Recovered_SheetName_3298_"/>
      <sheetName val="_Recovered_SheetName_3299_"/>
      <sheetName val="_Recovered_SheetName_3300_"/>
      <sheetName val="_Recovered_SheetName_3301_"/>
      <sheetName val="_Recovered_SheetName_3302_"/>
      <sheetName val="_Recovered_SheetName_3303_"/>
      <sheetName val="_Recovered_SheetName_3304_"/>
      <sheetName val="_Recovered_SheetName_3305_"/>
      <sheetName val="_Recovered_SheetName_3306_"/>
      <sheetName val="_Recovered_SheetName_3307_"/>
      <sheetName val="_Recovered_SheetName_3308_"/>
      <sheetName val="_Recovered_SheetName_3309_"/>
      <sheetName val="_Recovered_SheetName_3310_"/>
      <sheetName val="_Recovered_SheetName_3311_"/>
      <sheetName val="_Recovered_SheetName_3312_"/>
      <sheetName val="_Recovered_SheetName_3313_"/>
      <sheetName val="_Recovered_SheetName_3314_"/>
      <sheetName val="_Recovered_SheetName_3315_"/>
      <sheetName val="_Recovered_SheetName_3316_"/>
      <sheetName val="_Recovered_SheetName_3317_"/>
      <sheetName val="_Recovered_SheetName_3318_"/>
      <sheetName val="_Recovered_SheetName_3319_"/>
      <sheetName val="_Recovered_SheetName_3320_"/>
      <sheetName val="_Recovered_SheetName_3321_"/>
      <sheetName val="_Recovered_SheetName_3322_"/>
      <sheetName val="_Recovered_SheetName_3323_"/>
      <sheetName val="_Recovered_SheetName_3324_"/>
      <sheetName val="_Recovered_SheetName_3325_"/>
      <sheetName val="_Recovered_SheetName_3326_"/>
      <sheetName val="_Recovered_SheetName_3327_"/>
      <sheetName val="_Recovered_SheetName_3328_"/>
      <sheetName val="_Recovered_SheetName_3329_"/>
      <sheetName val="_Recovered_SheetName_3330_"/>
      <sheetName val="_Recovered_SheetName_3331_"/>
      <sheetName val="_Recovered_SheetName_3332_"/>
      <sheetName val="_Recovered_SheetName_3333_"/>
      <sheetName val="_Recovered_SheetName_3334_"/>
      <sheetName val="_Recovered_SheetName_3335_"/>
      <sheetName val="_Recovered_SheetName_3336_"/>
      <sheetName val="_Recovered_SheetName_3337_"/>
      <sheetName val="_Recovered_SheetName_3338_"/>
      <sheetName val="_Recovered_SheetName_3339_"/>
      <sheetName val="_Recovered_SheetName_3340_"/>
      <sheetName val="_Recovered_SheetName_3341_"/>
      <sheetName val="_Recovered_SheetName_3342_"/>
      <sheetName val="_Recovered_SheetName_3343_"/>
      <sheetName val="_Recovered_SheetName_3344_"/>
      <sheetName val="_Recovered_SheetName_3345_"/>
      <sheetName val="_Recovered_SheetName_3346_"/>
      <sheetName val="_Recovered_SheetName_3347_"/>
      <sheetName val="_Recovered_SheetName_3348_"/>
      <sheetName val="_Recovered_SheetName_3349_"/>
      <sheetName val="_Recovered_SheetName_3350_"/>
      <sheetName val="_Recovered_SheetName_3351_"/>
      <sheetName val="_Recovered_SheetName_3352_"/>
      <sheetName val="_Recovered_SheetName_3353_"/>
      <sheetName val="_Recovered_SheetName_3354_"/>
      <sheetName val="_Recovered_SheetName_3355_"/>
      <sheetName val="_Recovered_SheetName_3356_"/>
      <sheetName val="_Recovered_SheetName_3357_"/>
      <sheetName val="_Recovered_SheetName_3358_"/>
      <sheetName val="_Recovered_SheetName_3359_"/>
      <sheetName val="_Recovered_SheetName_3360_"/>
      <sheetName val="_Recovered_SheetName_3361_"/>
      <sheetName val="_Recovered_SheetName_3362_"/>
      <sheetName val="_Recovered_SheetName_3363_"/>
      <sheetName val="_Recovered_SheetName_3364_"/>
      <sheetName val="_Recovered_SheetName_3365_"/>
      <sheetName val="_Recovered_SheetName_3366_"/>
      <sheetName val="_Recovered_SheetName_3367_"/>
      <sheetName val="_Recovered_SheetName_3368_"/>
      <sheetName val="_Recovered_SheetName_3369_"/>
      <sheetName val="_Recovered_SheetName_3370_"/>
      <sheetName val="_Recovered_SheetName_3371_"/>
      <sheetName val="_Recovered_SheetName_3372_"/>
      <sheetName val="_Recovered_SheetName_3373_"/>
      <sheetName val="_Recovered_SheetName_3374_"/>
      <sheetName val="_Recovered_SheetName_3375_"/>
      <sheetName val="_Recovered_SheetName_3376_"/>
      <sheetName val="_Recovered_SheetName_3377_"/>
      <sheetName val="_Recovered_SheetName_3378_"/>
      <sheetName val="_Recovered_SheetName_3379_"/>
      <sheetName val="_Recovered_SheetName_3380_"/>
      <sheetName val="_Recovered_SheetName_3381_"/>
      <sheetName val="_Recovered_SheetName_3382_"/>
      <sheetName val="_Recovered_SheetName_3383_"/>
      <sheetName val="_Recovered_SheetName_3384_"/>
      <sheetName val="_Recovered_SheetName_3385_"/>
      <sheetName val="_Recovered_SheetName_3386_"/>
      <sheetName val="_Recovered_SheetName_3387_"/>
      <sheetName val="_Recovered_SheetName_3388_"/>
      <sheetName val="_Recovered_SheetName_3389_"/>
      <sheetName val="_Recovered_SheetName_3390_"/>
      <sheetName val="_Recovered_SheetName_3391_"/>
      <sheetName val="_Recovered_SheetName_3392_"/>
      <sheetName val="_Recovered_SheetName_3393_"/>
      <sheetName val="_Recovered_SheetName_3394_"/>
      <sheetName val="_Recovered_SheetName_3395_"/>
      <sheetName val="_Recovered_SheetName_3396_"/>
      <sheetName val="_Recovered_SheetName_3397_"/>
      <sheetName val="_Recovered_SheetName_3398_"/>
      <sheetName val="_Recovered_SheetName_3399_"/>
      <sheetName val="_Recovered_SheetName_3400_"/>
      <sheetName val="_Recovered_SheetName_3401_"/>
      <sheetName val="_Recovered_SheetName_3402_"/>
      <sheetName val="_Recovered_SheetName_3403_"/>
      <sheetName val="_Recovered_SheetName_3404_"/>
      <sheetName val="_Recovered_SheetName_3405_"/>
      <sheetName val="_Recovered_SheetName_3406_"/>
      <sheetName val="_Recovered_SheetName_3407_"/>
      <sheetName val="_Recovered_SheetName_3408_"/>
      <sheetName val="_Recovered_SheetName_3409_"/>
      <sheetName val="_Recovered_SheetName_3410_"/>
      <sheetName val="_Recovered_SheetName_3411_"/>
      <sheetName val="_Recovered_SheetName_3412_"/>
      <sheetName val="_Recovered_SheetName_3413_"/>
      <sheetName val="_Recovered_SheetName_3414_"/>
      <sheetName val="_Recovered_SheetName_3415_"/>
      <sheetName val="_Recovered_SheetName_3416_"/>
      <sheetName val="_Recovered_SheetName_3417_"/>
      <sheetName val="_Recovered_SheetName_3418_"/>
      <sheetName val="_Recovered_SheetName_3419_"/>
      <sheetName val="_Recovered_SheetName_3420_"/>
      <sheetName val="_Recovered_SheetName_3421_"/>
      <sheetName val="_Recovered_SheetName_3422_"/>
      <sheetName val="_Recovered_SheetName_3423_"/>
      <sheetName val="_Recovered_SheetName_3424_"/>
      <sheetName val="_Recovered_SheetName_3425_"/>
      <sheetName val="_Recovered_SheetName_3426_"/>
      <sheetName val="_Recovered_SheetName_3427_"/>
      <sheetName val="_Recovered_SheetName_3428_"/>
      <sheetName val="_Recovered_SheetName_3429_"/>
      <sheetName val="_Recovered_SheetName_3430_"/>
      <sheetName val="_Recovered_SheetName_3431_"/>
      <sheetName val="_Recovered_SheetName_3432_"/>
      <sheetName val="_Recovered_SheetName_3433_"/>
      <sheetName val="_Recovered_SheetName_3434_"/>
      <sheetName val="_Recovered_SheetName_3435_"/>
      <sheetName val="_Recovered_SheetName_3436_"/>
      <sheetName val="_Recovered_SheetName_3437_"/>
      <sheetName val="_Recovered_SheetName_3438_"/>
      <sheetName val="_Recovered_SheetName_3439_"/>
      <sheetName val="_Recovered_SheetName_3440_"/>
      <sheetName val="_Recovered_SheetName_3441_"/>
      <sheetName val="_Recovered_SheetName_3442_"/>
      <sheetName val="_Recovered_SheetName_3443_"/>
      <sheetName val="_Recovered_SheetName_3444_"/>
      <sheetName val="_Recovered_SheetName_3445_"/>
      <sheetName val="_Recovered_SheetName_3446_"/>
      <sheetName val="_Recovered_SheetName_3447_"/>
      <sheetName val="_Recovered_SheetName_3448_"/>
      <sheetName val="_Recovered_SheetName_3449_"/>
      <sheetName val="_Recovered_SheetName_3450_"/>
      <sheetName val="_Recovered_SheetName_3451_"/>
      <sheetName val="_Recovered_SheetName_3452_"/>
      <sheetName val="_Recovered_SheetName_3453_"/>
      <sheetName val="_Recovered_SheetName_3454_"/>
      <sheetName val="_Recovered_SheetName_3455_"/>
      <sheetName val="_Recovered_SheetName_3456_"/>
      <sheetName val="_Recovered_SheetName_3457_"/>
      <sheetName val="_Recovered_SheetName_3458_"/>
      <sheetName val="_Recovered_SheetName_3459_"/>
      <sheetName val="_Recovered_SheetName_3460_"/>
      <sheetName val="_Recovered_SheetName_3461_"/>
      <sheetName val="_Recovered_SheetName_3462_"/>
      <sheetName val="_Recovered_SheetName_3463_"/>
      <sheetName val="_Recovered_SheetName_3464_"/>
      <sheetName val="_Recovered_SheetName_3465_"/>
      <sheetName val="_Recovered_SheetName_3466_"/>
      <sheetName val="_Recovered_SheetName_3467_"/>
      <sheetName val="_Recovered_SheetName_3468_"/>
      <sheetName val="_Recovered_SheetName_3469_"/>
      <sheetName val="_Recovered_SheetName_3470_"/>
      <sheetName val="_Recovered_SheetName_3471_"/>
      <sheetName val="_Recovered_SheetName_3472_"/>
      <sheetName val="_Recovered_SheetName_3473_"/>
      <sheetName val="_Recovered_SheetName_3474_"/>
      <sheetName val="_Recovered_SheetName_3475_"/>
      <sheetName val="_Recovered_SheetName_3476_"/>
      <sheetName val="_Recovered_SheetName_3477_"/>
      <sheetName val="_Recovered_SheetName_3478_"/>
      <sheetName val="_Recovered_SheetName_3479_"/>
      <sheetName val="_Recovered_SheetName_3480_"/>
      <sheetName val="_Recovered_SheetName_3481_"/>
      <sheetName val="_Recovered_SheetName_3482_"/>
      <sheetName val="_Recovered_SheetName_3483_"/>
      <sheetName val="_Recovered_SheetName_3484_"/>
      <sheetName val="_Recovered_SheetName_3485_"/>
      <sheetName val="_Recovered_SheetName_3486_"/>
      <sheetName val="_Recovered_SheetName_3487_"/>
      <sheetName val="_Recovered_SheetName_3488_"/>
      <sheetName val="_Recovered_SheetName_3489_"/>
      <sheetName val="_Recovered_SheetName_3490_"/>
      <sheetName val="_Recovered_SheetName_3491_"/>
      <sheetName val="_Recovered_SheetName_3492_"/>
      <sheetName val="_Recovered_SheetName_3493_"/>
      <sheetName val="_Recovered_SheetName_3494_"/>
      <sheetName val="_Recovered_SheetName_3495_"/>
      <sheetName val="_Recovered_SheetName_3496_"/>
      <sheetName val="_Recovered_SheetName_3497_"/>
      <sheetName val="_Recovered_SheetName_3498_"/>
      <sheetName val="_Recovered_SheetName_3499_"/>
      <sheetName val="_Recovered_SheetName_3500_"/>
      <sheetName val="_Recovered_SheetName_3501_"/>
      <sheetName val="_Recovered_SheetName_3502_"/>
      <sheetName val="_Recovered_SheetName_3503_"/>
      <sheetName val="_Recovered_SheetName_3504_"/>
      <sheetName val="_Recovered_SheetName_3505_"/>
      <sheetName val="_Recovered_SheetName_3506_"/>
      <sheetName val="_Recovered_SheetName_3507_"/>
      <sheetName val="_Recovered_SheetName_3508_"/>
      <sheetName val="_Recovered_SheetName_3509_"/>
      <sheetName val="_Recovered_SheetName_3510_"/>
      <sheetName val="_Recovered_SheetName_3511_"/>
      <sheetName val="_Recovered_SheetName_3512_"/>
      <sheetName val="_Recovered_SheetName_3513_"/>
      <sheetName val="_Recovered_SheetName_3514_"/>
      <sheetName val="_Recovered_SheetName_3515_"/>
      <sheetName val="_Recovered_SheetName_3516_"/>
      <sheetName val="_Recovered_SheetName_3517_"/>
      <sheetName val="_Recovered_SheetName_3518_"/>
      <sheetName val="_Recovered_SheetName_3519_"/>
      <sheetName val="_Recovered_SheetName_3520_"/>
      <sheetName val="_Recovered_SheetName_3521_"/>
      <sheetName val="_Recovered_SheetName_3522_"/>
      <sheetName val="_Recovered_SheetName_3523_"/>
      <sheetName val="_Recovered_SheetName_3524_"/>
      <sheetName val="_Recovered_SheetName_3525_"/>
      <sheetName val="_Recovered_SheetName_3526_"/>
      <sheetName val="_Recovered_SheetName_3527_"/>
      <sheetName val="_Recovered_SheetName_3528_"/>
      <sheetName val="_Recovered_SheetName_3529_"/>
      <sheetName val="_Recovered_SheetName_3530_"/>
      <sheetName val="_Recovered_SheetName_3531_"/>
      <sheetName val="_Recovered_SheetName_3532_"/>
      <sheetName val="_Recovered_SheetName_3533_"/>
      <sheetName val="_Recovered_SheetName_3534_"/>
      <sheetName val="_Recovered_SheetName_3535_"/>
      <sheetName val="_Recovered_SheetName_3536_"/>
      <sheetName val="_Recovered_SheetName_3537_"/>
      <sheetName val="_Recovered_SheetName_3538_"/>
      <sheetName val="_Recovered_SheetName_3539_"/>
      <sheetName val="_Recovered_SheetName_3540_"/>
      <sheetName val="_Recovered_SheetName_3541_"/>
      <sheetName val="_Recovered_SheetName_3542_"/>
      <sheetName val="_Recovered_SheetName_3543_"/>
      <sheetName val="_Recovered_SheetName_3544_"/>
      <sheetName val="_Recovered_SheetName_3545_"/>
      <sheetName val="_Recovered_SheetName_3546_"/>
      <sheetName val="_Recovered_SheetName_3547_"/>
      <sheetName val="_Recovered_SheetName_3548_"/>
      <sheetName val="_Recovered_SheetName_3549_"/>
      <sheetName val="_Recovered_SheetName_3550_"/>
      <sheetName val="_Recovered_SheetName_3551_"/>
      <sheetName val="_Recovered_SheetName_3552_"/>
      <sheetName val="_Recovered_SheetName_3553_"/>
      <sheetName val="_Recovered_SheetName_3554_"/>
      <sheetName val="_Recovered_SheetName_3555_"/>
      <sheetName val="_Recovered_SheetName_3556_"/>
      <sheetName val="_Recovered_SheetName_3557_"/>
      <sheetName val="_Recovered_SheetName_3558_"/>
      <sheetName val="_Recovered_SheetName_3559_"/>
      <sheetName val="_Recovered_SheetName_3560_"/>
      <sheetName val="_Recovered_SheetName_3561_"/>
      <sheetName val="_Recovered_SheetName_3562_"/>
      <sheetName val="_Recovered_SheetName_3563_"/>
      <sheetName val="_Recovered_SheetName_3564_"/>
      <sheetName val="_Recovered_SheetName_3565_"/>
      <sheetName val="_Recovered_SheetName_3566_"/>
      <sheetName val="_Recovered_SheetName_3567_"/>
      <sheetName val="_Recovered_SheetName_3568_"/>
      <sheetName val="_Recovered_SheetName_3569_"/>
      <sheetName val="_Recovered_SheetName_3570_"/>
      <sheetName val="_Recovered_SheetName_3571_"/>
      <sheetName val="_Recovered_SheetName_3572_"/>
      <sheetName val="_Recovered_SheetName_3573_"/>
      <sheetName val="_Recovered_SheetName_3574_"/>
      <sheetName val="_Recovered_SheetName_3575_"/>
      <sheetName val="_Recovered_SheetName_3576_"/>
      <sheetName val="_Recovered_SheetName_3577_"/>
      <sheetName val="_Recovered_SheetName_3578_"/>
      <sheetName val="_Recovered_SheetName_3579_"/>
      <sheetName val="_Recovered_SheetName_3580_"/>
      <sheetName val="_Recovered_SheetName_3581_"/>
      <sheetName val="_Recovered_SheetName_3582_"/>
      <sheetName val="_Recovered_SheetName_3583_"/>
      <sheetName val="_Recovered_SheetName_3584_"/>
      <sheetName val="_Recovered_SheetName_3585_"/>
      <sheetName val="_Recovered_SheetName_3586_"/>
      <sheetName val="_Recovered_SheetName_3587_"/>
      <sheetName val="_Recovered_SheetName_3588_"/>
      <sheetName val="_Recovered_SheetName_3589_"/>
      <sheetName val="_Recovered_SheetName_3590_"/>
      <sheetName val="_Recovered_SheetName_3591_"/>
      <sheetName val="_Recovered_SheetName_3592_"/>
      <sheetName val="_Recovered_SheetName_3593_"/>
      <sheetName val="_Recovered_SheetName_3594_"/>
      <sheetName val="_Recovered_SheetName_3595_"/>
      <sheetName val="_Recovered_SheetName_3596_"/>
      <sheetName val="_Recovered_SheetName_3597_"/>
      <sheetName val="_Recovered_SheetName_3598_"/>
      <sheetName val="_Recovered_SheetName_3599_"/>
      <sheetName val="_Recovered_SheetName_3600_"/>
      <sheetName val="_Recovered_SheetName_3601_"/>
      <sheetName val="_Recovered_SheetName_3602_"/>
      <sheetName val="_Recovered_SheetName_3603_"/>
      <sheetName val="_Recovered_SheetName_3604_"/>
      <sheetName val="_Recovered_SheetName_3605_"/>
      <sheetName val="_Recovered_SheetName_3606_"/>
      <sheetName val="_Recovered_SheetName_3607_"/>
      <sheetName val="_Recovered_SheetName_3608_"/>
      <sheetName val="_Recovered_SheetName_3609_"/>
      <sheetName val="_Recovered_SheetName_3610_"/>
      <sheetName val="_Recovered_SheetName_3611_"/>
      <sheetName val="_Recovered_SheetName_3612_"/>
      <sheetName val="_Recovered_SheetName_3613_"/>
      <sheetName val="_Recovered_SheetName_3614_"/>
      <sheetName val="_Recovered_SheetName_3615_"/>
      <sheetName val="_Recovered_SheetName_3616_"/>
      <sheetName val="_Recovered_SheetName_3617_"/>
      <sheetName val="_Recovered_SheetName_3618_"/>
      <sheetName val="_Recovered_SheetName_3619_"/>
      <sheetName val="_Recovered_SheetName_3620_"/>
      <sheetName val="_Recovered_SheetName_3621_"/>
      <sheetName val="_Recovered_SheetName_3622_"/>
      <sheetName val="_Recovered_SheetName_3623_"/>
      <sheetName val="_Recovered_SheetName_3624_"/>
      <sheetName val="_Recovered_SheetName_3625_"/>
      <sheetName val="_Recovered_SheetName_3626_"/>
      <sheetName val="_Recovered_SheetName_3627_"/>
      <sheetName val="_Recovered_SheetName_3628_"/>
      <sheetName val="_Recovered_SheetName_3629_"/>
      <sheetName val="_Recovered_SheetName_3630_"/>
      <sheetName val="_Recovered_SheetName_3631_"/>
      <sheetName val="_Recovered_SheetName_3632_"/>
      <sheetName val="_Recovered_SheetName_3633_"/>
      <sheetName val="_Recovered_SheetName_3634_"/>
      <sheetName val="_Recovered_SheetName_3635_"/>
      <sheetName val="_Recovered_SheetName_3636_"/>
      <sheetName val="_Recovered_SheetName_3637_"/>
      <sheetName val="_Recovered_SheetName_3638_"/>
      <sheetName val="_Recovered_SheetName_3639_"/>
      <sheetName val="_Recovered_SheetName_3640_"/>
      <sheetName val="_Recovered_SheetName_3641_"/>
      <sheetName val="_Recovered_SheetName_3642_"/>
      <sheetName val="_Recovered_SheetName_3643_"/>
      <sheetName val="_Recovered_SheetName_3644_"/>
      <sheetName val="_Recovered_SheetName_3645_"/>
      <sheetName val="_Recovered_SheetName_3646_"/>
      <sheetName val="_Recovered_SheetName_3647_"/>
      <sheetName val="_Recovered_SheetName_3648_"/>
      <sheetName val="_Recovered_SheetName_3649_"/>
      <sheetName val="_Recovered_SheetName_3650_"/>
      <sheetName val="_Recovered_SheetName_3651_"/>
      <sheetName val="_Recovered_SheetName_3652_"/>
      <sheetName val="_Recovered_SheetName_3653_"/>
      <sheetName val="_Recovered_SheetName_3654_"/>
      <sheetName val="_Recovered_SheetName_3655_"/>
      <sheetName val="_Recovered_SheetName_3656_"/>
      <sheetName val="_Recovered_SheetName_3657_"/>
      <sheetName val="_Recovered_SheetName_3658_"/>
      <sheetName val="_Recovered_SheetName_3659_"/>
      <sheetName val="_Recovered_SheetName_3660_"/>
      <sheetName val="_Recovered_SheetName_3661_"/>
      <sheetName val="_Recovered_SheetName_3662_"/>
      <sheetName val="_Recovered_SheetName_3663_"/>
      <sheetName val="_Recovered_SheetName_3664_"/>
      <sheetName val="_Recovered_SheetName_3665_"/>
      <sheetName val="_Recovered_SheetName_3666_"/>
      <sheetName val="_Recovered_SheetName_3667_"/>
      <sheetName val="_Recovered_SheetName_3668_"/>
      <sheetName val="_Recovered_SheetName_3669_"/>
      <sheetName val="_Recovered_SheetName_3670_"/>
      <sheetName val="_Recovered_SheetName_3671_"/>
      <sheetName val="_Recovered_SheetName_3672_"/>
      <sheetName val="_Recovered_SheetName_3673_"/>
      <sheetName val="_Recovered_SheetName_3674_"/>
      <sheetName val="_Recovered_SheetName_3675_"/>
      <sheetName val="_Recovered_SheetName_3676_"/>
      <sheetName val="_Recovered_SheetName_3677_"/>
      <sheetName val="_Recovered_SheetName_3678_"/>
      <sheetName val="_Recovered_SheetName_3679_"/>
      <sheetName val="_Recovered_SheetName_3680_"/>
      <sheetName val="_Recovered_SheetName_3681_"/>
      <sheetName val="_Recovered_SheetName_3682_"/>
      <sheetName val="_Recovered_SheetName_3683_"/>
      <sheetName val="_Recovered_SheetName_3684_"/>
      <sheetName val="_Recovered_SheetName_3685_"/>
      <sheetName val="_Recovered_SheetName_3686_"/>
      <sheetName val="_Recovered_SheetName_3687_"/>
      <sheetName val="_Recovered_SheetName_3688_"/>
      <sheetName val="_Recovered_SheetName_3689_"/>
      <sheetName val="_Recovered_SheetName_3690_"/>
      <sheetName val="_Recovered_SheetName_3691_"/>
      <sheetName val="_Recovered_SheetName_3692_"/>
      <sheetName val="_Recovered_SheetName_3693_"/>
      <sheetName val="_Recovered_SheetName_3694_"/>
      <sheetName val="_Recovered_SheetName_3695_"/>
      <sheetName val="_Recovered_SheetName_3696_"/>
      <sheetName val="_Recovered_SheetName_3697_"/>
      <sheetName val="_Recovered_SheetName_3698_"/>
      <sheetName val="_Recovered_SheetName_3699_"/>
      <sheetName val="_Recovered_SheetName_3700_"/>
      <sheetName val="_Recovered_SheetName_3701_"/>
      <sheetName val="_Recovered_SheetName_3702_"/>
      <sheetName val="_Recovered_SheetName_3703_"/>
      <sheetName val="_Recovered_SheetName_3704_"/>
      <sheetName val="_Recovered_SheetName_3705_"/>
      <sheetName val="_Recovered_SheetName_3706_"/>
      <sheetName val="_Recovered_SheetName_3707_"/>
      <sheetName val="_Recovered_SheetName_3708_"/>
      <sheetName val="_Recovered_SheetName_3709_"/>
      <sheetName val="_Recovered_SheetName_3710_"/>
      <sheetName val="_Recovered_SheetName_3711_"/>
      <sheetName val="_Recovered_SheetName_3712_"/>
      <sheetName val="_Recovered_SheetName_3713_"/>
      <sheetName val="_Recovered_SheetName_3714_"/>
      <sheetName val="_Recovered_SheetName_3715_"/>
      <sheetName val="_Recovered_SheetName_3716_"/>
      <sheetName val="_Recovered_SheetName_3717_"/>
      <sheetName val="_Recovered_SheetName_3718_"/>
      <sheetName val="_Recovered_SheetName_3719_"/>
      <sheetName val="_Recovered_SheetName_3720_"/>
      <sheetName val="_Recovered_SheetName_3721_"/>
      <sheetName val="_Recovered_SheetName_3722_"/>
      <sheetName val="_Recovered_SheetName_3723_"/>
      <sheetName val="_Recovered_SheetName_3724_"/>
      <sheetName val="_Recovered_SheetName_3725_"/>
      <sheetName val="_Recovered_SheetName_3726_"/>
      <sheetName val="_Recovered_SheetName_3727_"/>
      <sheetName val="_Recovered_SheetName_3728_"/>
      <sheetName val="_Recovered_SheetName_3729_"/>
      <sheetName val="_Recovered_SheetName_3730_"/>
      <sheetName val="_Recovered_SheetName_3731_"/>
      <sheetName val="_Recovered_SheetName_3732_"/>
      <sheetName val="_Recovered_SheetName_3733_"/>
      <sheetName val="_Recovered_SheetName_3734_"/>
      <sheetName val="_Recovered_SheetName_3735_"/>
      <sheetName val="_Recovered_SheetName_3736_"/>
      <sheetName val="_Recovered_SheetName_3737_"/>
      <sheetName val="_Recovered_SheetName_3738_"/>
      <sheetName val="_Recovered_SheetName_3739_"/>
      <sheetName val="_Recovered_SheetName_3740_"/>
      <sheetName val="_Recovered_SheetName_3741_"/>
      <sheetName val="_Recovered_SheetName_3742_"/>
      <sheetName val="_Recovered_SheetName_3743_"/>
      <sheetName val="_Recovered_SheetName_3744_"/>
      <sheetName val="_Recovered_SheetName_3745_"/>
      <sheetName val="_Recovered_SheetName_3746_"/>
      <sheetName val="_Recovered_SheetName_3747_"/>
      <sheetName val="_Recovered_SheetName_3748_"/>
      <sheetName val="_Recovered_SheetName_3749_"/>
      <sheetName val="_Recovered_SheetName_3750_"/>
      <sheetName val="_Recovered_SheetName_3751_"/>
      <sheetName val="_Recovered_SheetName_3752_"/>
      <sheetName val="_Recovered_SheetName_3753_"/>
      <sheetName val="_Recovered_SheetName_3754_"/>
      <sheetName val="_Recovered_SheetName_3755_"/>
      <sheetName val="_Recovered_SheetName_3756_"/>
      <sheetName val="_Recovered_SheetName_3757_"/>
      <sheetName val="_Recovered_SheetName_3758_"/>
      <sheetName val="_Recovered_SheetName_3759_"/>
      <sheetName val="_Recovered_SheetName_3760_"/>
      <sheetName val="_Recovered_SheetName_3761_"/>
      <sheetName val="_Recovered_SheetName_3762_"/>
      <sheetName val="_Recovered_SheetName_3763_"/>
      <sheetName val="_Recovered_SheetName_3764_"/>
      <sheetName val="_Recovered_SheetName_3765_"/>
      <sheetName val="_Recovered_SheetName_3766_"/>
      <sheetName val="_Recovered_SheetName_3767_"/>
      <sheetName val="_Recovered_SheetName_3768_"/>
      <sheetName val="_Recovered_SheetName_3769_"/>
      <sheetName val="_Recovered_SheetName_3770_"/>
      <sheetName val="_Recovered_SheetName_3771_"/>
      <sheetName val="_Recovered_SheetName_3772_"/>
      <sheetName val="_Recovered_SheetName_3773_"/>
      <sheetName val="_Recovered_SheetName_3774_"/>
      <sheetName val="_Recovered_SheetName_3775_"/>
      <sheetName val="_Recovered_SheetName_3776_"/>
      <sheetName val="_Recovered_SheetName_3777_"/>
      <sheetName val="_Recovered_SheetName_3778_"/>
      <sheetName val="_Recovered_SheetName_3779_"/>
      <sheetName val="_Recovered_SheetName_3780_"/>
      <sheetName val="_Recovered_SheetName_3781_"/>
      <sheetName val="_Recovered_SheetName_3782_"/>
      <sheetName val="_Recovered_SheetName_3783_"/>
      <sheetName val="_Recovered_SheetName_3784_"/>
      <sheetName val="_Recovered_SheetName_3785_"/>
      <sheetName val="_Recovered_SheetName_3786_"/>
      <sheetName val="_Recovered_SheetName_3787_"/>
      <sheetName val="_Recovered_SheetName_3788_"/>
      <sheetName val="_Recovered_SheetName_3789_"/>
      <sheetName val="_Recovered_SheetName_3790_"/>
      <sheetName val="_Recovered_SheetName_3791_"/>
      <sheetName val="_Recovered_SheetName_3792_"/>
      <sheetName val="_Recovered_SheetName_3793_"/>
      <sheetName val="_Recovered_SheetName_3794_"/>
      <sheetName val="_Recovered_SheetName_3795_"/>
      <sheetName val="_Recovered_SheetName_3796_"/>
      <sheetName val="_Recovered_SheetName_3797_"/>
      <sheetName val="_Recovered_SheetName_3798_"/>
      <sheetName val="_Recovered_SheetName_3799_"/>
      <sheetName val="_Recovered_SheetName_3800_"/>
      <sheetName val="_Recovered_SheetName_3801_"/>
      <sheetName val="_Recovered_SheetName_3802_"/>
      <sheetName val="_Recovered_SheetName_3803_"/>
      <sheetName val="_Recovered_SheetName_3804_"/>
      <sheetName val="_Recovered_SheetName_3805_"/>
      <sheetName val="_Recovered_SheetName_3806_"/>
      <sheetName val="_Recovered_SheetName_3807_"/>
      <sheetName val="_Recovered_SheetName_3808_"/>
      <sheetName val="_Recovered_SheetName_3809_"/>
      <sheetName val="_Recovered_SheetName_3810_"/>
      <sheetName val="_Recovered_SheetName_3811_"/>
      <sheetName val="_Recovered_SheetName_3812_"/>
      <sheetName val="_Recovered_SheetName_3813_"/>
      <sheetName val="_Recovered_SheetName_3814_"/>
      <sheetName val="_Recovered_SheetName_3815_"/>
      <sheetName val="_Recovered_SheetName_3816_"/>
      <sheetName val="_Recovered_SheetName_3817_"/>
      <sheetName val="_Recovered_SheetName_3818_"/>
      <sheetName val="_Recovered_SheetName_3819_"/>
      <sheetName val="_Recovered_SheetName_3820_"/>
      <sheetName val="_Recovered_SheetName_3821_"/>
      <sheetName val="_Recovered_SheetName_3822_"/>
      <sheetName val="_Recovered_SheetName_3823_"/>
      <sheetName val="_Recovered_SheetName_3824_"/>
      <sheetName val="_Recovered_SheetName_3825_"/>
      <sheetName val="_Recovered_SheetName_3826_"/>
      <sheetName val="_Recovered_SheetName_3827_"/>
      <sheetName val="_Recovered_SheetName_3828_"/>
      <sheetName val="_Recovered_SheetName_3829_"/>
      <sheetName val="_Recovered_SheetName_3830_"/>
      <sheetName val="_Recovered_SheetName_3831_"/>
      <sheetName val="_Recovered_SheetName_3832_"/>
      <sheetName val="_Recovered_SheetName_3833_"/>
      <sheetName val="_Recovered_SheetName_3834_"/>
      <sheetName val="_Recovered_SheetName_3835_"/>
      <sheetName val="_Recovered_SheetName_3836_"/>
      <sheetName val="_Recovered_SheetName_3837_"/>
      <sheetName val="_Recovered_SheetName_3838_"/>
      <sheetName val="_Recovered_SheetName_3839_"/>
      <sheetName val="_Recovered_SheetName_3840_"/>
      <sheetName val="_Recovered_SheetName_3841_"/>
      <sheetName val="_Recovered_SheetName_3842_"/>
      <sheetName val="_Recovered_SheetName_3843_"/>
      <sheetName val="_Recovered_SheetName_3844_"/>
      <sheetName val="_Recovered_SheetName_3845_"/>
      <sheetName val="_Recovered_SheetName_3846_"/>
      <sheetName val="_Recovered_SheetName_3847_"/>
      <sheetName val="_Recovered_SheetName_3848_"/>
      <sheetName val="_Recovered_SheetName_3849_"/>
      <sheetName val="_Recovered_SheetName_3850_"/>
      <sheetName val="_Recovered_SheetName_3851_"/>
      <sheetName val="_Recovered_SheetName_3852_"/>
      <sheetName val="_Recovered_SheetName_3853_"/>
      <sheetName val="_Recovered_SheetName_3854_"/>
      <sheetName val="_Recovered_SheetName_3855_"/>
      <sheetName val="_Recovered_SheetName_3856_"/>
      <sheetName val="_Recovered_SheetName_3857_"/>
      <sheetName val="_Recovered_SheetName_3858_"/>
      <sheetName val="_Recovered_SheetName_3859_"/>
      <sheetName val="_Recovered_SheetName_3860_"/>
      <sheetName val="_Recovered_SheetName_3861_"/>
      <sheetName val="_Recovered_SheetName_3862_"/>
      <sheetName val="_Recovered_SheetName_3863_"/>
      <sheetName val="_Recovered_SheetName_3864_"/>
      <sheetName val="_Recovered_SheetName_3865_"/>
      <sheetName val="_Recovered_SheetName_3866_"/>
      <sheetName val="_Recovered_SheetName_3867_"/>
      <sheetName val="_Recovered_SheetName_3868_"/>
      <sheetName val="_Recovered_SheetName_3869_"/>
      <sheetName val="_Recovered_SheetName_3870_"/>
      <sheetName val="_Recovered_SheetName_3871_"/>
      <sheetName val="_Recovered_SheetName_3872_"/>
      <sheetName val="_Recovered_SheetName_3873_"/>
      <sheetName val="_Recovered_SheetName_3874_"/>
      <sheetName val="_Recovered_SheetName_3875_"/>
      <sheetName val="_Recovered_SheetName_3876_"/>
      <sheetName val="_Recovered_SheetName_3877_"/>
      <sheetName val="_Recovered_SheetName_3878_"/>
      <sheetName val="_Recovered_SheetName_3879_"/>
      <sheetName val="_Recovered_SheetName_3880_"/>
      <sheetName val="_Recovered_SheetName_3881_"/>
      <sheetName val="_Recovered_SheetName_3882_"/>
      <sheetName val="_Recovered_SheetName_3883_"/>
      <sheetName val="_Recovered_SheetName_3884_"/>
      <sheetName val="_Recovered_SheetName_3885_"/>
      <sheetName val="_Recovered_SheetName_3886_"/>
      <sheetName val="_Recovered_SheetName_3887_"/>
      <sheetName val="_Recovered_SheetName_3888_"/>
      <sheetName val="_Recovered_SheetName_3889_"/>
      <sheetName val="_Recovered_SheetName_3890_"/>
      <sheetName val="_Recovered_SheetName_3891_"/>
      <sheetName val="_Recovered_SheetName_3892_"/>
      <sheetName val="_Recovered_SheetName_3893_"/>
      <sheetName val="_Recovered_SheetName_3894_"/>
      <sheetName val="_Recovered_SheetName_3895_"/>
      <sheetName val="_Recovered_SheetName_3896_"/>
      <sheetName val="_Recovered_SheetName_3897_"/>
      <sheetName val="_Recovered_SheetName_3898_"/>
      <sheetName val="_Recovered_SheetName_3899_"/>
      <sheetName val="_Recovered_SheetName_3900_"/>
      <sheetName val="_Recovered_SheetName_3901_"/>
      <sheetName val="_Recovered_SheetName_3902_"/>
      <sheetName val="_Recovered_SheetName_3903_"/>
      <sheetName val="_Recovered_SheetName_3904_"/>
      <sheetName val="_Recovered_SheetName_3905_"/>
      <sheetName val="_Recovered_SheetName_3906_"/>
      <sheetName val="_Recovered_SheetName_3907_"/>
      <sheetName val="_Recovered_SheetName_3908_"/>
      <sheetName val="_Recovered_SheetName_3909_"/>
      <sheetName val="_Recovered_SheetName_3910_"/>
      <sheetName val="_Recovered_SheetName_3911_"/>
      <sheetName val="_Recovered_SheetName_3912_"/>
      <sheetName val="_Recovered_SheetName_3913_"/>
      <sheetName val="_Recovered_SheetName_3914_"/>
      <sheetName val="_Recovered_SheetName_3915_"/>
      <sheetName val="_Recovered_SheetName_3916_"/>
      <sheetName val="_Recovered_SheetName_3917_"/>
      <sheetName val="_Recovered_SheetName_3918_"/>
      <sheetName val="_Recovered_SheetName_3919_"/>
      <sheetName val="_Recovered_SheetName_3920_"/>
      <sheetName val="_Recovered_SheetName_3921_"/>
      <sheetName val="_Recovered_SheetName_3922_"/>
      <sheetName val="_Recovered_SheetName_3923_"/>
      <sheetName val="_Recovered_SheetName_3924_"/>
      <sheetName val="_Recovered_SheetName_3925_"/>
      <sheetName val="_Recovered_SheetName_3926_"/>
      <sheetName val="_Recovered_SheetName_3927_"/>
      <sheetName val="_Recovered_SheetName_3928_"/>
      <sheetName val="_Recovered_SheetName_3929_"/>
      <sheetName val="_Recovered_SheetName_3930_"/>
      <sheetName val="_Recovered_SheetName_3931_"/>
      <sheetName val="_Recovered_SheetName_3932_"/>
      <sheetName val="_Recovered_SheetName_3933_"/>
      <sheetName val="_Recovered_SheetName_3934_"/>
      <sheetName val="_Recovered_SheetName_3935_"/>
      <sheetName val="_Recovered_SheetName_3936_"/>
      <sheetName val="_Recovered_SheetName_3937_"/>
      <sheetName val="_Recovered_SheetName_3938_"/>
      <sheetName val="_Recovered_SheetName_3939_"/>
      <sheetName val="_Recovered_SheetName_3940_"/>
      <sheetName val="_Recovered_SheetName_3941_"/>
      <sheetName val="_Recovered_SheetName_3942_"/>
      <sheetName val="_Recovered_SheetName_3943_"/>
      <sheetName val="_Recovered_SheetName_3944_"/>
      <sheetName val="_Recovered_SheetName_3945_"/>
      <sheetName val="_Recovered_SheetName_3946_"/>
      <sheetName val="_Recovered_SheetName_3947_"/>
      <sheetName val="_Recovered_SheetName_3948_"/>
      <sheetName val="_Recovered_SheetName_3949_"/>
      <sheetName val="_Recovered_SheetName_3950_"/>
      <sheetName val="_Recovered_SheetName_3951_"/>
      <sheetName val="_Recovered_SheetName_3952_"/>
      <sheetName val="_Recovered_SheetName_3953_"/>
      <sheetName val="_Recovered_SheetName_3954_"/>
      <sheetName val="_Recovered_SheetName_3955_"/>
      <sheetName val="_Recovered_SheetName_3956_"/>
      <sheetName val="_Recovered_SheetName_3957_"/>
      <sheetName val="_Recovered_SheetName_3958_"/>
      <sheetName val="_Recovered_SheetName_3959_"/>
      <sheetName val="_Recovered_SheetName_3960_"/>
      <sheetName val="_Recovered_SheetName_3961_"/>
      <sheetName val="_Recovered_SheetName_3962_"/>
      <sheetName val="_Recovered_SheetName_3963_"/>
      <sheetName val="_Recovered_SheetName_3964_"/>
      <sheetName val="_Recovered_SheetName_3965_"/>
      <sheetName val="_Recovered_SheetName_3966_"/>
      <sheetName val="_Recovered_SheetName_3967_"/>
      <sheetName val="_Recovered_SheetName_3968_"/>
      <sheetName val="_Recovered_SheetName_3969_"/>
      <sheetName val="_Recovered_SheetName_3970_"/>
      <sheetName val="_Recovered_SheetName_3971_"/>
      <sheetName val="_Recovered_SheetName_3972_"/>
      <sheetName val="_Recovered_SheetName_3973_"/>
      <sheetName val="_Recovered_SheetName_3974_"/>
      <sheetName val="_Recovered_SheetName_3975_"/>
      <sheetName val="_Recovered_SheetName_3976_"/>
      <sheetName val="_Recovered_SheetName_3977_"/>
      <sheetName val="_Recovered_SheetName_3978_"/>
      <sheetName val="_Recovered_SheetName_3979_"/>
      <sheetName val="_Recovered_SheetName_3980_"/>
      <sheetName val="_Recovered_SheetName_3981_"/>
      <sheetName val="_Recovered_SheetName_3982_"/>
      <sheetName val="_Recovered_SheetName_3983_"/>
      <sheetName val="_Recovered_SheetName_3984_"/>
      <sheetName val="_Recovered_SheetName_3985_"/>
      <sheetName val="_Recovered_SheetName_3986_"/>
      <sheetName val="_Recovered_SheetName_3987_"/>
      <sheetName val="_Recovered_SheetName_3988_"/>
      <sheetName val="_Recovered_SheetName_3989_"/>
      <sheetName val="_Recovered_SheetName_3990_"/>
      <sheetName val="_Recovered_SheetName_3991_"/>
      <sheetName val="_Recovered_SheetName_3992_"/>
      <sheetName val="_Recovered_SheetName_3993_"/>
      <sheetName val="_Recovered_SheetName_3994_"/>
      <sheetName val="_Recovered_SheetName_3995_"/>
      <sheetName val="_Recovered_SheetName_3996_"/>
      <sheetName val="_Recovered_SheetName_3997_"/>
      <sheetName val="_Recovered_SheetName_3998_"/>
      <sheetName val="_Recovered_SheetName_3999_"/>
      <sheetName val="_Recovered_SheetName_4000_"/>
      <sheetName val="_Recovered_SheetName_4001_"/>
      <sheetName val="_Recovered_SheetName_4002_"/>
      <sheetName val="_Recovered_SheetName_4003_"/>
      <sheetName val="_Recovered_SheetName_4004_"/>
      <sheetName val="_Recovered_SheetName_4005_"/>
      <sheetName val="_Recovered_SheetName_4006_"/>
      <sheetName val="_Recovered_SheetName_4007_"/>
      <sheetName val="_Recovered_SheetName_4008_"/>
      <sheetName val="_Recovered_SheetName_4009_"/>
      <sheetName val="_Recovered_SheetName_4010_"/>
      <sheetName val="_Recovered_SheetName_4011_"/>
      <sheetName val="_Recovered_SheetName_4012_"/>
      <sheetName val="_Recovered_SheetName_4013_"/>
      <sheetName val="_Recovered_SheetName_4014_"/>
      <sheetName val="_Recovered_SheetName_4015_"/>
      <sheetName val="_Recovered_SheetName_4016_"/>
      <sheetName val="_Recovered_SheetName_4017_"/>
      <sheetName val="_Recovered_SheetName_4018_"/>
      <sheetName val="_Recovered_SheetName_4019_"/>
      <sheetName val="_Recovered_SheetName_4020_"/>
      <sheetName val="_Recovered_SheetName_4021_"/>
      <sheetName val="_Recovered_SheetName_4022_"/>
      <sheetName val="_Recovered_SheetName_4023_"/>
      <sheetName val="_Recovered_SheetName_4024_"/>
      <sheetName val="_Recovered_SheetName_4025_"/>
      <sheetName val="_Recovered_SheetName_4026_"/>
      <sheetName val="_Recovered_SheetName_4027_"/>
      <sheetName val="_Recovered_SheetName_4028_"/>
      <sheetName val="_Recovered_SheetName_4029_"/>
      <sheetName val="_Recovered_SheetName_4030_"/>
      <sheetName val="_Recovered_SheetName_4031_"/>
      <sheetName val="_Recovered_SheetName_4032_"/>
      <sheetName val="_Recovered_SheetName_4033_"/>
      <sheetName val="_Recovered_SheetName_4034_"/>
      <sheetName val="_Recovered_SheetName_4035_"/>
      <sheetName val="_Recovered_SheetName_4036_"/>
      <sheetName val="_Recovered_SheetName_4037_"/>
      <sheetName val="_Recovered_SheetName_4038_"/>
      <sheetName val="_Recovered_SheetName_4039_"/>
      <sheetName val="_Recovered_SheetName_4040_"/>
      <sheetName val="_Recovered_SheetName_4041_"/>
      <sheetName val="_Recovered_SheetName_4042_"/>
      <sheetName val="_Recovered_SheetName_4043_"/>
      <sheetName val="_Recovered_SheetName_4044_"/>
      <sheetName val="_Recovered_SheetName_4045_"/>
      <sheetName val="_Recovered_SheetName_4046_"/>
      <sheetName val="_Recovered_SheetName_4047_"/>
      <sheetName val="_Recovered_SheetName_4048_"/>
      <sheetName val="_Recovered_SheetName_4049_"/>
      <sheetName val="_Recovered_SheetName_4050_"/>
      <sheetName val="_Recovered_SheetName_4051_"/>
      <sheetName val="_Recovered_SheetName_4052_"/>
      <sheetName val="_Recovered_SheetName_4053_"/>
      <sheetName val="_Recovered_SheetName_4054_"/>
      <sheetName val="_Recovered_SheetName_4055_"/>
      <sheetName val="_Recovered_SheetName_4056_"/>
      <sheetName val="_Recovered_SheetName_4057_"/>
      <sheetName val="_Recovered_SheetName_4058_"/>
      <sheetName val="_Recovered_SheetName_4059_"/>
      <sheetName val="_Recovered_SheetName_4060_"/>
      <sheetName val="_Recovered_SheetName_4061_"/>
      <sheetName val="_Recovered_SheetName_4062_"/>
      <sheetName val="_Recovered_SheetName_4063_"/>
      <sheetName val="_Recovered_SheetName_4064_"/>
      <sheetName val="_Recovered_SheetName_4065_"/>
      <sheetName val="_Recovered_SheetName_4066_"/>
      <sheetName val="_Recovered_SheetName_4067_"/>
      <sheetName val="_Recovered_SheetName_4068_"/>
      <sheetName val="_Recovered_SheetName_4069_"/>
      <sheetName val="_Recovered_SheetName_4070_"/>
      <sheetName val="_Recovered_SheetName_4071_"/>
      <sheetName val="_Recovered_SheetName_4072_"/>
      <sheetName val="_Recovered_SheetName_4073_"/>
      <sheetName val="_Recovered_SheetName_4074_"/>
      <sheetName val="_Recovered_SheetName_4075_"/>
      <sheetName val="_Recovered_SheetName_4076_"/>
      <sheetName val="_Recovered_SheetName_4077_"/>
      <sheetName val="_Recovered_SheetName_4078_"/>
      <sheetName val="_Recovered_SheetName_4079_"/>
      <sheetName val="_Recovered_SheetName_4080_"/>
      <sheetName val="_Recovered_SheetName_4081_"/>
      <sheetName val="_Recovered_SheetName_4082_"/>
      <sheetName val="_Recovered_SheetName_4083_"/>
      <sheetName val="_Recovered_SheetName_4084_"/>
      <sheetName val="_Recovered_SheetName_4085_"/>
      <sheetName val="_Recovered_SheetName_4086_"/>
      <sheetName val="_Recovered_SheetName_4087_"/>
      <sheetName val="_Recovered_SheetName_4088_"/>
      <sheetName val="_Recovered_SheetName_4089_"/>
      <sheetName val="_Recovered_SheetName_4090_"/>
      <sheetName val="_Recovered_SheetName_4091_"/>
      <sheetName val="_Recovered_SheetName_4092_"/>
      <sheetName val="_Recovered_SheetName_4093_"/>
      <sheetName val="_Recovered_SheetName_4094_"/>
      <sheetName val="_Recovered_SheetName_4095_"/>
      <sheetName val="_Recovered_SheetName_4096_"/>
      <sheetName val="_Recovered_SheetName_4097_"/>
      <sheetName val="_Recovered_SheetName_4098_"/>
      <sheetName val="_Recovered_SheetName_4099_"/>
      <sheetName val="_Recovered_SheetName_4100_"/>
      <sheetName val="_Recovered_SheetName_4101_"/>
      <sheetName val="_Recovered_SheetName_4102_"/>
      <sheetName val="_Recovered_SheetName_4103_"/>
      <sheetName val="_Recovered_SheetName_4104_"/>
      <sheetName val="_Recovered_SheetName_4105_"/>
      <sheetName val="_Recovered_SheetName_4106_"/>
      <sheetName val="_Recovered_SheetName_4107_"/>
      <sheetName val="_Recovered_SheetName_4108_"/>
      <sheetName val="_Recovered_SheetName_4109_"/>
      <sheetName val="_Recovered_SheetName_4110_"/>
      <sheetName val="_Recovered_SheetName_4111_"/>
      <sheetName val="_Recovered_SheetName_4112_"/>
      <sheetName val="_Recovered_SheetName_4113_"/>
      <sheetName val="_Recovered_SheetName_4114_"/>
      <sheetName val="_Recovered_SheetName_4115_"/>
      <sheetName val="_Recovered_SheetName_4116_"/>
      <sheetName val="_Recovered_SheetName_4117_"/>
      <sheetName val="_Recovered_SheetName_4118_"/>
      <sheetName val="_Recovered_SheetName_4119_"/>
      <sheetName val="_Recovered_SheetName_4120_"/>
      <sheetName val="_Recovered_SheetName_4121_"/>
      <sheetName val="_Recovered_SheetName_4122_"/>
      <sheetName val="_Recovered_SheetName_4123_"/>
      <sheetName val="_Recovered_SheetName_4124_"/>
      <sheetName val="_Recovered_SheetName_4125_"/>
      <sheetName val="_Recovered_SheetName_4126_"/>
      <sheetName val="_Recovered_SheetName_4127_"/>
      <sheetName val="_Recovered_SheetName_4128_"/>
      <sheetName val="_Recovered_SheetName_4129_"/>
      <sheetName val="_Recovered_SheetName_4130_"/>
      <sheetName val="_Recovered_SheetName_4131_"/>
      <sheetName val="_Recovered_SheetName_4132_"/>
      <sheetName val="_Recovered_SheetName_4133_"/>
      <sheetName val="_Recovered_SheetName_4134_"/>
      <sheetName val="_Recovered_SheetName_4135_"/>
      <sheetName val="_Recovered_SheetName_4136_"/>
      <sheetName val="_Recovered_SheetName_4137_"/>
      <sheetName val="_Recovered_SheetName_4138_"/>
      <sheetName val="_Recovered_SheetName_4139_"/>
      <sheetName val="_Recovered_SheetName_4140_"/>
      <sheetName val="_Recovered_SheetName_4141_"/>
      <sheetName val="_Recovered_SheetName_4142_"/>
      <sheetName val="_Recovered_SheetName_4143_"/>
      <sheetName val="_Recovered_SheetName_4144_"/>
      <sheetName val="_Recovered_SheetName_4145_"/>
      <sheetName val="_Recovered_SheetName_4146_"/>
      <sheetName val="_Recovered_SheetName_4147_"/>
      <sheetName val="_Recovered_SheetName_4148_"/>
      <sheetName val="_Recovered_SheetName_4149_"/>
      <sheetName val="_Recovered_SheetName_4150_"/>
      <sheetName val="_Recovered_SheetName_4151_"/>
      <sheetName val="_Recovered_SheetName_4152_"/>
      <sheetName val="_Recovered_SheetName_4153_"/>
      <sheetName val="_Recovered_SheetName_4154_"/>
      <sheetName val="_Recovered_SheetName_4155_"/>
      <sheetName val="_Recovered_SheetName_4156_"/>
      <sheetName val="_Recovered_SheetName_4157_"/>
      <sheetName val="_Recovered_SheetName_4158_"/>
      <sheetName val="_Recovered_SheetName_4159_"/>
      <sheetName val="_Recovered_SheetName_4160_"/>
      <sheetName val="_Recovered_SheetName_4161_"/>
      <sheetName val="_Recovered_SheetName_4162_"/>
      <sheetName val="_Recovered_SheetName_4163_"/>
      <sheetName val="_Recovered_SheetName_4164_"/>
      <sheetName val="_Recovered_SheetName_4165_"/>
      <sheetName val="_Recovered_SheetName_4166_"/>
      <sheetName val="_Recovered_SheetName_4167_"/>
      <sheetName val="_Recovered_SheetName_4168_"/>
      <sheetName val="_Recovered_SheetName_4169_"/>
      <sheetName val="_Recovered_SheetName_4170_"/>
      <sheetName val="_Recovered_SheetName_4171_"/>
      <sheetName val="_Recovered_SheetName_4172_"/>
      <sheetName val="_Recovered_SheetName_4173_"/>
      <sheetName val="_Recovered_SheetName_4174_"/>
      <sheetName val="_Recovered_SheetName_4175_"/>
      <sheetName val="_Recovered_SheetName_4176_"/>
      <sheetName val="_Recovered_SheetName_4177_"/>
      <sheetName val="_Recovered_SheetName_4178_"/>
      <sheetName val="_Recovered_SheetName_4179_"/>
      <sheetName val="_Recovered_SheetName_4180_"/>
      <sheetName val="_Recovered_SheetName_4181_"/>
      <sheetName val="_Recovered_SheetName_4182_"/>
      <sheetName val="_Recovered_SheetName_4183_"/>
      <sheetName val="_Recovered_SheetName_4184_"/>
      <sheetName val="_Recovered_SheetName_4185_"/>
      <sheetName val="_Recovered_SheetName_4186_"/>
      <sheetName val="_Recovered_SheetName_4187_"/>
      <sheetName val="_Recovered_SheetName_4188_"/>
      <sheetName val="_Recovered_SheetName_4189_"/>
      <sheetName val="_Recovered_SheetName_4190_"/>
      <sheetName val="_Recovered_SheetName_4191_"/>
      <sheetName val="_Recovered_SheetName_4192_"/>
      <sheetName val="_Recovered_SheetName_4193_"/>
      <sheetName val="_Recovered_SheetName_4194_"/>
      <sheetName val="_Recovered_SheetName_4195_"/>
      <sheetName val="_Recovered_SheetName_4196_"/>
      <sheetName val="_Recovered_SheetName_4197_"/>
      <sheetName val="_Recovered_SheetName_4198_"/>
      <sheetName val="_Recovered_SheetName_4199_"/>
      <sheetName val="_Recovered_SheetName_4200_"/>
      <sheetName val="_Recovered_SheetName_4201_"/>
      <sheetName val="_Recovered_SheetName_4202_"/>
      <sheetName val="_Recovered_SheetName_4203_"/>
      <sheetName val="_Recovered_SheetName_4204_"/>
      <sheetName val="_Recovered_SheetName_4205_"/>
      <sheetName val="_Recovered_SheetName_4206_"/>
      <sheetName val="_Recovered_SheetName_4207_"/>
      <sheetName val="_Recovered_SheetName_4208_"/>
      <sheetName val="_Recovered_SheetName_4209_"/>
      <sheetName val="_Recovered_SheetName_4210_"/>
      <sheetName val="_Recovered_SheetName_4211_"/>
      <sheetName val="_Recovered_SheetName_4212_"/>
      <sheetName val="_Recovered_SheetName_4213_"/>
      <sheetName val="_Recovered_SheetName_4214_"/>
      <sheetName val="_Recovered_SheetName_4215_"/>
      <sheetName val="_Recovered_SheetName_4216_"/>
      <sheetName val="_Recovered_SheetName_4217_"/>
      <sheetName val="_Recovered_SheetName_4218_"/>
      <sheetName val="_Recovered_SheetName_4219_"/>
      <sheetName val="_Recovered_SheetName_4220_"/>
      <sheetName val="_Recovered_SheetName_4221_"/>
      <sheetName val="_Recovered_SheetName_4222_"/>
      <sheetName val="_Recovered_SheetName_4223_"/>
      <sheetName val="_Recovered_SheetName_4224_"/>
      <sheetName val="_Recovered_SheetName_4225_"/>
      <sheetName val="_Recovered_SheetName_4226_"/>
      <sheetName val="_Recovered_SheetName_4227_"/>
      <sheetName val="_Recovered_SheetName_4228_"/>
      <sheetName val="_Recovered_SheetName_4229_"/>
      <sheetName val="_Recovered_SheetName_4230_"/>
      <sheetName val="_Recovered_SheetName_4231_"/>
      <sheetName val="_Recovered_SheetName_4232_"/>
      <sheetName val="_Recovered_SheetName_4233_"/>
      <sheetName val="_Recovered_SheetName_4234_"/>
      <sheetName val="_Recovered_SheetName_4235_"/>
      <sheetName val="_Recovered_SheetName_4236_"/>
      <sheetName val="_Recovered_SheetName_4237_"/>
      <sheetName val="_Recovered_SheetName_4238_"/>
      <sheetName val="_Recovered_SheetName_4239_"/>
      <sheetName val="_Recovered_SheetName_4240_"/>
      <sheetName val="_Recovered_SheetName_4241_"/>
      <sheetName val="_Recovered_SheetName_4242_"/>
      <sheetName val="_Recovered_SheetName_4243_"/>
      <sheetName val="_Recovered_SheetName_4244_"/>
      <sheetName val="_Recovered_SheetName_4245_"/>
      <sheetName val="_Recovered_SheetName_4246_"/>
      <sheetName val="_Recovered_SheetName_4247_"/>
      <sheetName val="_Recovered_SheetName_4248_"/>
      <sheetName val="_Recovered_SheetName_4249_"/>
      <sheetName val="_Recovered_SheetName_4250_"/>
      <sheetName val="_Recovered_SheetName_4251_"/>
      <sheetName val="_Recovered_SheetName_4252_"/>
      <sheetName val="_Recovered_SheetName_4253_"/>
      <sheetName val="_Recovered_SheetName_4254_"/>
      <sheetName val="_Recovered_SheetName_4255_"/>
      <sheetName val="_Recovered_SheetName_4256_"/>
      <sheetName val="_Recovered_SheetName_4257_"/>
      <sheetName val="_Recovered_SheetName_4258_"/>
      <sheetName val="_Recovered_SheetName_4259_"/>
      <sheetName val="_Recovered_SheetName_4260_"/>
      <sheetName val="_Recovered_SheetName_4261_"/>
      <sheetName val="_Recovered_SheetName_4262_"/>
      <sheetName val="_Recovered_SheetName_4263_"/>
      <sheetName val="_Recovered_SheetName_4264_"/>
      <sheetName val="_Recovered_SheetName_4265_"/>
      <sheetName val="_Recovered_SheetName_4266_"/>
      <sheetName val="_Recovered_SheetName_4267_"/>
      <sheetName val="_Recovered_SheetName_4268_"/>
      <sheetName val="_Recovered_SheetName_4269_"/>
      <sheetName val="_Recovered_SheetName_4270_"/>
      <sheetName val="_Recovered_SheetName_4271_"/>
      <sheetName val="_Recovered_SheetName_4272_"/>
      <sheetName val="_Recovered_SheetName_4273_"/>
      <sheetName val="_Recovered_SheetName_4274_"/>
      <sheetName val="_Recovered_SheetName_4275_"/>
      <sheetName val="_Recovered_SheetName_4276_"/>
      <sheetName val="_Recovered_SheetName_4277_"/>
      <sheetName val="_Recovered_SheetName_4278_"/>
      <sheetName val="_Recovered_SheetName_4279_"/>
      <sheetName val="_Recovered_SheetName_4280_"/>
      <sheetName val="_Recovered_SheetName_4281_"/>
      <sheetName val="_Recovered_SheetName_4282_"/>
      <sheetName val="_Recovered_SheetName_4283_"/>
      <sheetName val="_Recovered_SheetName_4284_"/>
      <sheetName val="_Recovered_SheetName_4285_"/>
      <sheetName val="_Recovered_SheetName_4286_"/>
      <sheetName val="_Recovered_SheetName_4287_"/>
      <sheetName val="_Recovered_SheetName_4288_"/>
      <sheetName val="_Recovered_SheetName_4289_"/>
      <sheetName val="_Recovered_SheetName_4290_"/>
      <sheetName val="_Recovered_SheetName_4291_"/>
      <sheetName val="_Recovered_SheetName_4292_"/>
      <sheetName val="_Recovered_SheetName_4293_"/>
      <sheetName val="_Recovered_SheetName_4294_"/>
      <sheetName val="_Recovered_SheetName_4295_"/>
      <sheetName val="_Recovered_SheetName_4296_"/>
      <sheetName val="_Recovered_SheetName_4297_"/>
      <sheetName val="_Recovered_SheetName_4298_"/>
      <sheetName val="_Recovered_SheetName_4299_"/>
      <sheetName val="_Recovered_SheetName_4300_"/>
      <sheetName val="_Recovered_SheetName_4301_"/>
      <sheetName val="_Recovered_SheetName_4302_"/>
      <sheetName val="_Recovered_SheetName_4303_"/>
      <sheetName val="_Recovered_SheetName_4304_"/>
      <sheetName val="_Recovered_SheetName_4305_"/>
      <sheetName val="_Recovered_SheetName_4306_"/>
      <sheetName val="_Recovered_SheetName_4307_"/>
      <sheetName val="_Recovered_SheetName_4308_"/>
      <sheetName val="_Recovered_SheetName_4309_"/>
      <sheetName val="_Recovered_SheetName_4310_"/>
      <sheetName val="_Recovered_SheetName_4311_"/>
      <sheetName val="_Recovered_SheetName_4312_"/>
      <sheetName val="_Recovered_SheetName_4313_"/>
      <sheetName val="_Recovered_SheetName_4314_"/>
      <sheetName val="_Recovered_SheetName_4315_"/>
      <sheetName val="_Recovered_SheetName_4316_"/>
      <sheetName val="_Recovered_SheetName_4317_"/>
      <sheetName val="_Recovered_SheetName_4318_"/>
      <sheetName val="_Recovered_SheetName_4319_"/>
      <sheetName val="_Recovered_SheetName_4320_"/>
      <sheetName val="_Recovered_SheetName_4321_"/>
      <sheetName val="_Recovered_SheetName_4322_"/>
      <sheetName val="_Recovered_SheetName_4323_"/>
      <sheetName val="_Recovered_SheetName_4324_"/>
      <sheetName val="_Recovered_SheetName_4325_"/>
      <sheetName val="_Recovered_SheetName_4326_"/>
      <sheetName val="_Recovered_SheetName_4327_"/>
      <sheetName val="_Recovered_SheetName_4328_"/>
      <sheetName val="_Recovered_SheetName_4329_"/>
      <sheetName val="_Recovered_SheetName_4330_"/>
      <sheetName val="_Recovered_SheetName_4331_"/>
      <sheetName val="_Recovered_SheetName_4332_"/>
      <sheetName val="_Recovered_SheetName_4333_"/>
      <sheetName val="_Recovered_SheetName_4334_"/>
      <sheetName val="_Recovered_SheetName_4335_"/>
      <sheetName val="_Recovered_SheetName_4336_"/>
      <sheetName val="_Recovered_SheetName_4337_"/>
      <sheetName val="_Recovered_SheetName_4338_"/>
      <sheetName val="_Recovered_SheetName_4339_"/>
      <sheetName val="_Recovered_SheetName_4340_"/>
      <sheetName val="_Recovered_SheetName_4341_"/>
      <sheetName val="_Recovered_SheetName_4342_"/>
      <sheetName val="_Recovered_SheetName_4343_"/>
      <sheetName val="_Recovered_SheetName_4344_"/>
      <sheetName val="_Recovered_SheetName_4345_"/>
      <sheetName val="_Recovered_SheetName_4346_"/>
      <sheetName val="_Recovered_SheetName_4347_"/>
      <sheetName val="_Recovered_SheetName_4348_"/>
      <sheetName val="_Recovered_SheetName_4349_"/>
      <sheetName val="_Recovered_SheetName_4350_"/>
      <sheetName val="_Recovered_SheetName_4351_"/>
      <sheetName val="_Recovered_SheetName_4352_"/>
      <sheetName val="_Recovered_SheetName_4353_"/>
      <sheetName val="_Recovered_SheetName_4354_"/>
      <sheetName val="_Recovered_SheetName_4355_"/>
      <sheetName val="_Recovered_SheetName_4356_"/>
      <sheetName val="_Recovered_SheetName_4357_"/>
      <sheetName val="_Recovered_SheetName_4358_"/>
      <sheetName val="_Recovered_SheetName_4359_"/>
      <sheetName val="_Recovered_SheetName_4360_"/>
      <sheetName val="_Recovered_SheetName_4361_"/>
      <sheetName val="_Recovered_SheetName_4362_"/>
      <sheetName val="_Recovered_SheetName_4363_"/>
      <sheetName val="_Recovered_SheetName_4364_"/>
      <sheetName val="_Recovered_SheetName_4365_"/>
      <sheetName val="_Recovered_SheetName_4366_"/>
      <sheetName val="_Recovered_SheetName_4367_"/>
      <sheetName val="_Recovered_SheetName_4368_"/>
      <sheetName val="_Recovered_SheetName_4369_"/>
      <sheetName val="_Recovered_SheetName_4370_"/>
      <sheetName val="_Recovered_SheetName_4371_"/>
      <sheetName val="_Recovered_SheetName_4372_"/>
      <sheetName val="_Recovered_SheetName_4373_"/>
      <sheetName val="_Recovered_SheetName_4374_"/>
      <sheetName val="_Recovered_SheetName_4375_"/>
      <sheetName val="_Recovered_SheetName_4376_"/>
      <sheetName val="_Recovered_SheetName_4377_"/>
      <sheetName val="_Recovered_SheetName_4378_"/>
      <sheetName val="_Recovered_SheetName_4379_"/>
      <sheetName val="_Recovered_SheetName_4380_"/>
      <sheetName val="_Recovered_SheetName_4381_"/>
      <sheetName val="_Recovered_SheetName_4382_"/>
      <sheetName val="_Recovered_SheetName_4383_"/>
      <sheetName val="_Recovered_SheetName_4384_"/>
      <sheetName val="_Recovered_SheetName_4385_"/>
      <sheetName val="_Recovered_SheetName_4386_"/>
      <sheetName val="_Recovered_SheetName_4387_"/>
      <sheetName val="_Recovered_SheetName_4388_"/>
      <sheetName val="_Recovered_SheetName_4389_"/>
      <sheetName val="_Recovered_SheetName_4390_"/>
      <sheetName val="_Recovered_SheetName_4391_"/>
      <sheetName val="_Recovered_SheetName_4392_"/>
      <sheetName val="_Recovered_SheetName_4393_"/>
      <sheetName val="_Recovered_SheetName_4394_"/>
      <sheetName val="_Recovered_SheetName_4395_"/>
      <sheetName val="_Recovered_SheetName_4396_"/>
      <sheetName val="_Recovered_SheetName_4397_"/>
      <sheetName val="_Recovered_SheetName_4398_"/>
      <sheetName val="_Recovered_SheetName_4399_"/>
      <sheetName val="_Recovered_SheetName_4400_"/>
      <sheetName val="_Recovered_SheetName_4401_"/>
      <sheetName val="_Recovered_SheetName_4402_"/>
      <sheetName val="_Recovered_SheetName_4403_"/>
      <sheetName val="_Recovered_SheetName_4404_"/>
      <sheetName val="_Recovered_SheetName_4405_"/>
      <sheetName val="_Recovered_SheetName_4406_"/>
      <sheetName val="_Recovered_SheetName_4407_"/>
      <sheetName val="_Recovered_SheetName_4408_"/>
      <sheetName val="_Recovered_SheetName_4409_"/>
      <sheetName val="_Recovered_SheetName_4410_"/>
      <sheetName val="_Recovered_SheetName_4411_"/>
      <sheetName val="_Recovered_SheetName_4412_"/>
      <sheetName val="_Recovered_SheetName_4413_"/>
      <sheetName val="_Recovered_SheetName_4414_"/>
      <sheetName val="_Recovered_SheetName_4415_"/>
      <sheetName val="_Recovered_SheetName_4416_"/>
      <sheetName val="_Recovered_SheetName_4417_"/>
      <sheetName val="_Recovered_SheetName_4418_"/>
      <sheetName val="_Recovered_SheetName_4419_"/>
      <sheetName val="_Recovered_SheetName_4420_"/>
      <sheetName val="_Recovered_SheetName_4421_"/>
      <sheetName val="_Recovered_SheetName_4422_"/>
      <sheetName val="_Recovered_SheetName_4423_"/>
      <sheetName val="_Recovered_SheetName_4424_"/>
      <sheetName val="_Recovered_SheetName_4425_"/>
      <sheetName val="_Recovered_SheetName_4426_"/>
      <sheetName val="_Recovered_SheetName_4427_"/>
      <sheetName val="_Recovered_SheetName_4428_"/>
      <sheetName val="_Recovered_SheetName_4429_"/>
      <sheetName val="_Recovered_SheetName_4430_"/>
      <sheetName val="_Recovered_SheetName_4431_"/>
      <sheetName val="_Recovered_SheetName_4432_"/>
      <sheetName val="_Recovered_SheetName_4433_"/>
      <sheetName val="_Recovered_SheetName_4434_"/>
      <sheetName val="_Recovered_SheetName_4435_"/>
      <sheetName val="_Recovered_SheetName_4436_"/>
      <sheetName val="_Recovered_SheetName_4437_"/>
      <sheetName val="_Recovered_SheetName_4438_"/>
      <sheetName val="_Recovered_SheetName_4439_"/>
      <sheetName val="_Recovered_SheetName_4440_"/>
      <sheetName val="_Recovered_SheetName_4441_"/>
      <sheetName val="_Recovered_SheetName_4442_"/>
      <sheetName val="_Recovered_SheetName_4443_"/>
      <sheetName val="_Recovered_SheetName_4444_"/>
      <sheetName val="_Recovered_SheetName_4445_"/>
      <sheetName val="_Recovered_SheetName_4446_"/>
      <sheetName val="_Recovered_SheetName_4447_"/>
      <sheetName val="_Recovered_SheetName_4448_"/>
      <sheetName val="_Recovered_SheetName_4449_"/>
      <sheetName val="_Recovered_SheetName_4450_"/>
      <sheetName val="_Recovered_SheetName_4451_"/>
      <sheetName val="_Recovered_SheetName_4452_"/>
      <sheetName val="_Recovered_SheetName_4453_"/>
      <sheetName val="_Recovered_SheetName_4454_"/>
      <sheetName val="_Recovered_SheetName_4455_"/>
      <sheetName val="_Recovered_SheetName_4456_"/>
      <sheetName val="_Recovered_SheetName_4457_"/>
      <sheetName val="_Recovered_SheetName_4458_"/>
      <sheetName val="_Recovered_SheetName_4459_"/>
      <sheetName val="_Recovered_SheetName_4460_"/>
      <sheetName val="_Recovered_SheetName_4461_"/>
      <sheetName val="_Recovered_SheetName_4462_"/>
      <sheetName val="_Recovered_SheetName_4463_"/>
      <sheetName val="_Recovered_SheetName_4464_"/>
      <sheetName val="_Recovered_SheetName_4465_"/>
      <sheetName val="_Recovered_SheetName_4466_"/>
      <sheetName val="_Recovered_SheetName_4467_"/>
      <sheetName val="_Recovered_SheetName_4468_"/>
      <sheetName val="_Recovered_SheetName_4469_"/>
      <sheetName val="_Recovered_SheetName_4470_"/>
      <sheetName val="_Recovered_SheetName_4471_"/>
      <sheetName val="_Recovered_SheetName_4472_"/>
      <sheetName val="_Recovered_SheetName_4473_"/>
      <sheetName val="_Recovered_SheetName_4474_"/>
      <sheetName val="_Recovered_SheetName_4475_"/>
      <sheetName val="_Recovered_SheetName_4476_"/>
      <sheetName val="_Recovered_SheetName_4477_"/>
      <sheetName val="_Recovered_SheetName_4478_"/>
      <sheetName val="_Recovered_SheetName_4479_"/>
      <sheetName val="_Recovered_SheetName_4480_"/>
      <sheetName val="_Recovered_SheetName_4481_"/>
      <sheetName val="_Recovered_SheetName_4482_"/>
      <sheetName val="_Recovered_SheetName_4483_"/>
      <sheetName val="_Recovered_SheetName_4484_"/>
      <sheetName val="_Recovered_SheetName_4485_"/>
      <sheetName val="_Recovered_SheetName_4486_"/>
      <sheetName val="_Recovered_SheetName_4487_"/>
      <sheetName val="_Recovered_SheetName_4488_"/>
      <sheetName val="_Recovered_SheetName_4489_"/>
      <sheetName val="_Recovered_SheetName_4490_"/>
      <sheetName val="_Recovered_SheetName_4491_"/>
      <sheetName val="_Recovered_SheetName_4492_"/>
      <sheetName val="_Recovered_SheetName_4493_"/>
      <sheetName val="_Recovered_SheetName_4494_"/>
      <sheetName val="_Recovered_SheetName_4495_"/>
      <sheetName val="_Recovered_SheetName_4496_"/>
      <sheetName val="_Recovered_SheetName_4497_"/>
      <sheetName val="_Recovered_SheetName_4498_"/>
      <sheetName val="_Recovered_SheetName_4499_"/>
      <sheetName val="_Recovered_SheetName_4500_"/>
      <sheetName val="_Recovered_SheetName_4501_"/>
      <sheetName val="_Recovered_SheetName_4502_"/>
      <sheetName val="_Recovered_SheetName_4503_"/>
      <sheetName val="_Recovered_SheetName_4504_"/>
      <sheetName val="_Recovered_SheetName_4505_"/>
      <sheetName val="_Recovered_SheetName_4506_"/>
      <sheetName val="_Recovered_SheetName_4507_"/>
      <sheetName val="_Recovered_SheetName_4508_"/>
      <sheetName val="_Recovered_SheetName_4509_"/>
      <sheetName val="_Recovered_SheetName_4510_"/>
      <sheetName val="_Recovered_SheetName_4511_"/>
      <sheetName val="_Recovered_SheetName_4512_"/>
      <sheetName val="_Recovered_SheetName_4513_"/>
      <sheetName val="_Recovered_SheetName_4514_"/>
      <sheetName val="_Recovered_SheetName_4515_"/>
      <sheetName val="_Recovered_SheetName_4516_"/>
      <sheetName val="_Recovered_SheetName_4517_"/>
      <sheetName val="_Recovered_SheetName_4518_"/>
      <sheetName val="_Recovered_SheetName_4519_"/>
      <sheetName val="_Recovered_SheetName_4520_"/>
      <sheetName val="_Recovered_SheetName_4521_"/>
      <sheetName val="_Recovered_SheetName_4522_"/>
      <sheetName val="_Recovered_SheetName_4523_"/>
      <sheetName val="_Recovered_SheetName_4524_"/>
      <sheetName val="_Recovered_SheetName_4525_"/>
      <sheetName val="_Recovered_SheetName_4526_"/>
      <sheetName val="_Recovered_SheetName_4527_"/>
      <sheetName val="_Recovered_SheetName_4528_"/>
      <sheetName val="_Recovered_SheetName_4529_"/>
      <sheetName val="_Recovered_SheetName_4530_"/>
      <sheetName val="_Recovered_SheetName_4531_"/>
      <sheetName val="_Recovered_SheetName_4532_"/>
      <sheetName val="_Recovered_SheetName_4533_"/>
      <sheetName val="_Recovered_SheetName_4534_"/>
      <sheetName val="_Recovered_SheetName_4535_"/>
      <sheetName val="_Recovered_SheetName_4536_"/>
      <sheetName val="_Recovered_SheetName_4537_"/>
      <sheetName val="_Recovered_SheetName_4538_"/>
      <sheetName val="_Recovered_SheetName_4539_"/>
      <sheetName val="_Recovered_SheetName_4540_"/>
      <sheetName val="_Recovered_SheetName_4541_"/>
      <sheetName val="_Recovered_SheetName_4542_"/>
      <sheetName val="_Recovered_SheetName_4543_"/>
      <sheetName val="_Recovered_SheetName_4544_"/>
      <sheetName val="_Recovered_SheetName_4545_"/>
      <sheetName val="_Recovered_SheetName_4546_"/>
      <sheetName val="_Recovered_SheetName_4547_"/>
      <sheetName val="_Recovered_SheetName_4548_"/>
      <sheetName val="_Recovered_SheetName_4549_"/>
      <sheetName val="_Recovered_SheetName_4550_"/>
      <sheetName val="_Recovered_SheetName_4551_"/>
      <sheetName val="_Recovered_SheetName_4552_"/>
      <sheetName val="_Recovered_SheetName_4553_"/>
      <sheetName val="_Recovered_SheetName_4554_"/>
      <sheetName val="_Recovered_SheetName_4555_"/>
      <sheetName val="_Recovered_SheetName_4556_"/>
      <sheetName val="_Recovered_SheetName_4557_"/>
      <sheetName val="_Recovered_SheetName_4558_"/>
      <sheetName val="_Recovered_SheetName_4559_"/>
      <sheetName val="_Recovered_SheetName_4560_"/>
      <sheetName val="_Recovered_SheetName_4561_"/>
      <sheetName val="_Recovered_SheetName_4562_"/>
      <sheetName val="_Recovered_SheetName_4563_"/>
      <sheetName val="_Recovered_SheetName_4564_"/>
      <sheetName val="_Recovered_SheetName_4565_"/>
      <sheetName val="_Recovered_SheetName_4566_"/>
      <sheetName val="_Recovered_SheetName_4567_"/>
      <sheetName val="_Recovered_SheetName_4568_"/>
      <sheetName val="_Recovered_SheetName_4569_"/>
      <sheetName val="_Recovered_SheetName_4570_"/>
      <sheetName val="_Recovered_SheetName_4571_"/>
      <sheetName val="_Recovered_SheetName_4572_"/>
      <sheetName val="_Recovered_SheetName_4573_"/>
      <sheetName val="_Recovered_SheetName_4574_"/>
      <sheetName val="_Recovered_SheetName_4575_"/>
      <sheetName val="_Recovered_SheetName_4576_"/>
      <sheetName val="_Recovered_SheetName_4577_"/>
      <sheetName val="_Recovered_SheetName_4578_"/>
      <sheetName val="_Recovered_SheetName_4579_"/>
      <sheetName val="_Recovered_SheetName_4580_"/>
      <sheetName val="_Recovered_SheetName_4581_"/>
      <sheetName val="_Recovered_SheetName_4582_"/>
      <sheetName val="_Recovered_SheetName_4583_"/>
      <sheetName val="_Recovered_SheetName_4584_"/>
      <sheetName val="_Recovered_SheetName_4585_"/>
      <sheetName val="_Recovered_SheetName_4586_"/>
      <sheetName val="_Recovered_SheetName_4587_"/>
      <sheetName val="_Recovered_SheetName_4588_"/>
      <sheetName val="_Recovered_SheetName_4589_"/>
      <sheetName val="_Recovered_SheetName_4590_"/>
      <sheetName val="_Recovered_SheetName_4591_"/>
      <sheetName val="_Recovered_SheetName_4592_"/>
      <sheetName val="_Recovered_SheetName_4593_"/>
      <sheetName val="_Recovered_SheetName_4594_"/>
      <sheetName val="_Recovered_SheetName_4595_"/>
      <sheetName val="_Recovered_SheetName_4596_"/>
      <sheetName val="_Recovered_SheetName_4597_"/>
      <sheetName val="_Recovered_SheetName_4598_"/>
      <sheetName val="_Recovered_SheetName_4599_"/>
      <sheetName val="_Recovered_SheetName_4600_"/>
      <sheetName val="_Recovered_SheetName_4601_"/>
      <sheetName val="_Recovered_SheetName_4602_"/>
      <sheetName val="_Recovered_SheetName_4603_"/>
      <sheetName val="_Recovered_SheetName_4604_"/>
      <sheetName val="_Recovered_SheetName_4605_"/>
      <sheetName val="_Recovered_SheetName_4606_"/>
      <sheetName val="_Recovered_SheetName_4607_"/>
      <sheetName val="_Recovered_SheetName_4608_"/>
      <sheetName val="_Recovered_SheetName_4609_"/>
      <sheetName val="_Recovered_SheetName_4610_"/>
      <sheetName val="_Recovered_SheetName_4611_"/>
      <sheetName val="_Recovered_SheetName_4612_"/>
      <sheetName val="_Recovered_SheetName_4613_"/>
      <sheetName val="_Recovered_SheetName_4614_"/>
      <sheetName val="_Recovered_SheetName_4615_"/>
      <sheetName val="_Recovered_SheetName_4616_"/>
      <sheetName val="_Recovered_SheetName_4617_"/>
      <sheetName val="_Recovered_SheetName_4618_"/>
      <sheetName val="_Recovered_SheetName_4619_"/>
      <sheetName val="_Recovered_SheetName_4620_"/>
      <sheetName val="_Recovered_SheetName_4621_"/>
      <sheetName val="_Recovered_SheetName_4622_"/>
      <sheetName val="_Recovered_SheetName_4623_"/>
      <sheetName val="_Recovered_SheetName_4624_"/>
      <sheetName val="_Recovered_SheetName_4625_"/>
      <sheetName val="_Recovered_SheetName_4626_"/>
      <sheetName val="_Recovered_SheetName_4627_"/>
      <sheetName val="_Recovered_SheetName_4628_"/>
      <sheetName val="_Recovered_SheetName_4629_"/>
      <sheetName val="_Recovered_SheetName_4630_"/>
      <sheetName val="_Recovered_SheetName_4631_"/>
      <sheetName val="_Recovered_SheetName_4632_"/>
      <sheetName val="_Recovered_SheetName_4633_"/>
      <sheetName val="_Recovered_SheetName_4634_"/>
      <sheetName val="_Recovered_SheetName_4635_"/>
      <sheetName val="_Recovered_SheetName_4636_"/>
      <sheetName val="_Recovered_SheetName_4637_"/>
      <sheetName val="_Recovered_SheetName_4638_"/>
      <sheetName val="_Recovered_SheetName_4639_"/>
      <sheetName val="_Recovered_SheetName_4640_"/>
      <sheetName val="_Recovered_SheetName_4641_"/>
      <sheetName val="_Recovered_SheetName_4642_"/>
      <sheetName val="_Recovered_SheetName_4643_"/>
      <sheetName val="_Recovered_SheetName_4644_"/>
      <sheetName val="_Recovered_SheetName_4645_"/>
      <sheetName val="_Recovered_SheetName_4646_"/>
      <sheetName val="_Recovered_SheetName_4647_"/>
      <sheetName val="_Recovered_SheetName_4648_"/>
      <sheetName val="_Recovered_SheetName_4649_"/>
      <sheetName val="_Recovered_SheetName_4650_"/>
      <sheetName val="_Recovered_SheetName_4651_"/>
      <sheetName val="_Recovered_SheetName_4652_"/>
      <sheetName val="_Recovered_SheetName_4653_"/>
      <sheetName val="_Recovered_SheetName_4654_"/>
      <sheetName val="_Recovered_SheetName_4655_"/>
      <sheetName val="_Recovered_SheetName_4656_"/>
      <sheetName val="_Recovered_SheetName_4657_"/>
      <sheetName val="_Recovered_SheetName_4658_"/>
      <sheetName val="_Recovered_SheetName_4659_"/>
      <sheetName val="_Recovered_SheetName_4660_"/>
      <sheetName val="_Recovered_SheetName_4661_"/>
      <sheetName val="_Recovered_SheetName_4662_"/>
      <sheetName val="_Recovered_SheetName_4663_"/>
      <sheetName val="_Recovered_SheetName_4664_"/>
      <sheetName val="_Recovered_SheetName_4665_"/>
      <sheetName val="_Recovered_SheetName_4666_"/>
      <sheetName val="_Recovered_SheetName_4667_"/>
      <sheetName val="_Recovered_SheetName_4668_"/>
      <sheetName val="_Recovered_SheetName_4669_"/>
      <sheetName val="_Recovered_SheetName_4670_"/>
      <sheetName val="_Recovered_SheetName_4671_"/>
      <sheetName val="_Recovered_SheetName_4672_"/>
      <sheetName val="_Recovered_SheetName_4673_"/>
      <sheetName val="_Recovered_SheetName_4674_"/>
      <sheetName val="_Recovered_SheetName_4675_"/>
      <sheetName val="_Recovered_SheetName_4676_"/>
      <sheetName val="_Recovered_SheetName_4677_"/>
      <sheetName val="_Recovered_SheetName_4678_"/>
      <sheetName val="_Recovered_SheetName_4679_"/>
      <sheetName val="_Recovered_SheetName_4680_"/>
      <sheetName val="_Recovered_SheetName_4681_"/>
      <sheetName val="_Recovered_SheetName_4682_"/>
      <sheetName val="_Recovered_SheetName_4683_"/>
      <sheetName val="_Recovered_SheetName_4684_"/>
      <sheetName val="_Recovered_SheetName_4685_"/>
      <sheetName val="_Recovered_SheetName_4686_"/>
      <sheetName val="_Recovered_SheetName_4687_"/>
      <sheetName val="_Recovered_SheetName_4688_"/>
      <sheetName val="_Recovered_SheetName_4689_"/>
      <sheetName val="_Recovered_SheetName_4690_"/>
      <sheetName val="_Recovered_SheetName_4691_"/>
      <sheetName val="_Recovered_SheetName_4692_"/>
      <sheetName val="_Recovered_SheetName_4693_"/>
      <sheetName val="_Recovered_SheetName_4694_"/>
      <sheetName val="_Recovered_SheetName_4695_"/>
      <sheetName val="_Recovered_SheetName_4696_"/>
      <sheetName val="_Recovered_SheetName_4697_"/>
      <sheetName val="_Recovered_SheetName_4698_"/>
      <sheetName val="_Recovered_SheetName_4699_"/>
      <sheetName val="_Recovered_SheetName_4700_"/>
      <sheetName val="_Recovered_SheetName_4701_"/>
      <sheetName val="_Recovered_SheetName_4702_"/>
      <sheetName val="_Recovered_SheetName_4703_"/>
      <sheetName val="_Recovered_SheetName_4704_"/>
      <sheetName val="_Recovered_SheetName_4705_"/>
      <sheetName val="_Recovered_SheetName_4706_"/>
      <sheetName val="_Recovered_SheetName_4707_"/>
      <sheetName val="_Recovered_SheetName_4708_"/>
      <sheetName val="_Recovered_SheetName_4709_"/>
      <sheetName val="_Recovered_SheetName_4710_"/>
      <sheetName val="_Recovered_SheetName_4711_"/>
      <sheetName val="_Recovered_SheetName_4712_"/>
      <sheetName val="_Recovered_SheetName_4713_"/>
      <sheetName val="_Recovered_SheetName_4714_"/>
      <sheetName val="_Recovered_SheetName_4715_"/>
      <sheetName val="_Recovered_SheetName_4716_"/>
      <sheetName val="_Recovered_SheetName_4717_"/>
      <sheetName val="_Recovered_SheetName_4718_"/>
      <sheetName val="_Recovered_SheetName_4719_"/>
      <sheetName val="_Recovered_SheetName_4720_"/>
      <sheetName val="_Recovered_SheetName_4721_"/>
      <sheetName val="_Recovered_SheetName_4722_"/>
      <sheetName val="_Recovered_SheetName_4723_"/>
      <sheetName val="_Recovered_SheetName_4724_"/>
      <sheetName val="_Recovered_SheetName_4725_"/>
      <sheetName val="_Recovered_SheetName_4726_"/>
      <sheetName val="_Recovered_SheetName_4727_"/>
      <sheetName val="_Recovered_SheetName_4728_"/>
      <sheetName val="_Recovered_SheetName_4729_"/>
      <sheetName val="_Recovered_SheetName_4730_"/>
      <sheetName val="_Recovered_SheetName_4731_"/>
      <sheetName val="_Recovered_SheetName_4732_"/>
      <sheetName val="_Recovered_SheetName_4733_"/>
      <sheetName val="_Recovered_SheetName_4734_"/>
      <sheetName val="_Recovered_SheetName_4735_"/>
      <sheetName val="_Recovered_SheetName_4736_"/>
      <sheetName val="_Recovered_SheetName_4737_"/>
      <sheetName val="_Recovered_SheetName_4738_"/>
      <sheetName val="_Recovered_SheetName_4739_"/>
      <sheetName val="_Recovered_SheetName_4740_"/>
      <sheetName val="_Recovered_SheetName_4741_"/>
      <sheetName val="_Recovered_SheetName_4742_"/>
      <sheetName val="_Recovered_SheetName_4743_"/>
      <sheetName val="_Recovered_SheetName_4744_"/>
      <sheetName val="_Recovered_SheetName_4745_"/>
      <sheetName val="_Recovered_SheetName_4746_"/>
      <sheetName val="_Recovered_SheetName_4747_"/>
      <sheetName val="_Recovered_SheetName_4748_"/>
      <sheetName val="_Recovered_SheetName_4749_"/>
      <sheetName val="_Recovered_SheetName_4750_"/>
      <sheetName val="_Recovered_SheetName_4751_"/>
      <sheetName val="_Recovered_SheetName_4752_"/>
      <sheetName val="_Recovered_SheetName_4753_"/>
      <sheetName val="_Recovered_SheetName_4754_"/>
      <sheetName val="_Recovered_SheetName_4755_"/>
      <sheetName val="_Recovered_SheetName_4756_"/>
      <sheetName val="_Recovered_SheetName_4757_"/>
      <sheetName val="_Recovered_SheetName_4758_"/>
      <sheetName val="_Recovered_SheetName_4759_"/>
      <sheetName val="_Recovered_SheetName_4760_"/>
      <sheetName val="_Recovered_SheetName_4761_"/>
      <sheetName val="_Recovered_SheetName_4762_"/>
      <sheetName val="_Recovered_SheetName_4763_"/>
      <sheetName val="_Recovered_SheetName_4764_"/>
      <sheetName val="_Recovered_SheetName_4765_"/>
      <sheetName val="_Recovered_SheetName_4766_"/>
      <sheetName val="_Recovered_SheetName_4767_"/>
      <sheetName val="_Recovered_SheetName_4768_"/>
      <sheetName val="_Recovered_SheetName_4769_"/>
      <sheetName val="_Recovered_SheetName_4770_"/>
      <sheetName val="_Recovered_SheetName_4771_"/>
      <sheetName val="_Recovered_SheetName_4772_"/>
      <sheetName val="_Recovered_SheetName_4773_"/>
      <sheetName val="_Recovered_SheetName_4774_"/>
      <sheetName val="_Recovered_SheetName_4775_"/>
      <sheetName val="_Recovered_SheetName_4776_"/>
      <sheetName val="_Recovered_SheetName_4777_"/>
      <sheetName val="_Recovered_SheetName_4778_"/>
      <sheetName val="_Recovered_SheetName_4779_"/>
      <sheetName val="_Recovered_SheetName_4780_"/>
      <sheetName val="_Recovered_SheetName_4781_"/>
      <sheetName val="_Recovered_SheetName_4782_"/>
      <sheetName val="_Recovered_SheetName_4783_"/>
      <sheetName val="_Recovered_SheetName_4784_"/>
      <sheetName val="_Recovered_SheetName_4785_"/>
      <sheetName val="_Recovered_SheetName_4786_"/>
      <sheetName val="_Recovered_SheetName_4787_"/>
      <sheetName val="_Recovered_SheetName_4788_"/>
      <sheetName val="_Recovered_SheetName_4789_"/>
      <sheetName val="_Recovered_SheetName_4790_"/>
      <sheetName val="_Recovered_SheetName_4791_"/>
      <sheetName val="_Recovered_SheetName_4792_"/>
      <sheetName val="_Recovered_SheetName_4793_"/>
      <sheetName val="_Recovered_SheetName_4794_"/>
      <sheetName val="_Recovered_SheetName_4795_"/>
      <sheetName val="_Recovered_SheetName_4796_"/>
      <sheetName val="_Recovered_SheetName_4797_"/>
      <sheetName val="_Recovered_SheetName_4798_"/>
      <sheetName val="_Recovered_SheetName_4799_"/>
      <sheetName val="_Recovered_SheetName_4800_"/>
      <sheetName val="_Recovered_SheetName_4801_"/>
      <sheetName val="_Recovered_SheetName_4802_"/>
      <sheetName val="_Recovered_SheetName_4803_"/>
      <sheetName val="_Recovered_SheetName_4804_"/>
      <sheetName val="_Recovered_SheetName_4805_"/>
      <sheetName val="_Recovered_SheetName_4806_"/>
      <sheetName val="_Recovered_SheetName_4807_"/>
      <sheetName val="_Recovered_SheetName_4808_"/>
      <sheetName val="_Recovered_SheetName_4809_"/>
      <sheetName val="_Recovered_SheetName_4810_"/>
      <sheetName val="_Recovered_SheetName_4811_"/>
      <sheetName val="_Recovered_SheetName_4812_"/>
      <sheetName val="_Recovered_SheetName_4813_"/>
      <sheetName val="_Recovered_SheetName_4814_"/>
      <sheetName val="_Recovered_SheetName_4815_"/>
      <sheetName val="_Recovered_SheetName_4816_"/>
      <sheetName val="_Recovered_SheetName_4817_"/>
      <sheetName val="_Recovered_SheetName_4818_"/>
      <sheetName val="_Recovered_SheetName_4819_"/>
      <sheetName val="_Recovered_SheetName_4820_"/>
      <sheetName val="_Recovered_SheetName_4821_"/>
      <sheetName val="_Recovered_SheetName_4822_"/>
      <sheetName val="_Recovered_SheetName_4823_"/>
      <sheetName val="_Recovered_SheetName_4824_"/>
      <sheetName val="_Recovered_SheetName_4825_"/>
      <sheetName val="_Recovered_SheetName_4826_"/>
      <sheetName val="_Recovered_SheetName_4827_"/>
      <sheetName val="_Recovered_SheetName_4828_"/>
      <sheetName val="_Recovered_SheetName_4829_"/>
      <sheetName val="_Recovered_SheetName_4830_"/>
      <sheetName val="_Recovered_SheetName_4831_"/>
      <sheetName val="_Recovered_SheetName_4832_"/>
      <sheetName val="_Recovered_SheetName_4833_"/>
      <sheetName val="_Recovered_SheetName_4834_"/>
      <sheetName val="_Recovered_SheetName_4835_"/>
      <sheetName val="_Recovered_SheetName_4836_"/>
      <sheetName val="_Recovered_SheetName_4837_"/>
      <sheetName val="_Recovered_SheetName_4838_"/>
      <sheetName val="_Recovered_SheetName_4839_"/>
      <sheetName val="_Recovered_SheetName_4840_"/>
      <sheetName val="_Recovered_SheetName_4841_"/>
      <sheetName val="_Recovered_SheetName_4842_"/>
      <sheetName val="_Recovered_SheetName_4843_"/>
      <sheetName val="_Recovered_SheetName_4844_"/>
      <sheetName val="_Recovered_SheetName_4845_"/>
      <sheetName val="_Recovered_SheetName_4846_"/>
      <sheetName val="_Recovered_SheetName_4847_"/>
      <sheetName val="_Recovered_SheetName_4848_"/>
      <sheetName val="_Recovered_SheetName_4849_"/>
      <sheetName val="_Recovered_SheetName_4850_"/>
      <sheetName val="_Recovered_SheetName_4851_"/>
      <sheetName val="_Recovered_SheetName_4852_"/>
      <sheetName val="_Recovered_SheetName_4853_"/>
      <sheetName val="_Recovered_SheetName_4854_"/>
      <sheetName val="_Recovered_SheetName_4855_"/>
      <sheetName val="_Recovered_SheetName_4856_"/>
      <sheetName val="_Recovered_SheetName_4857_"/>
      <sheetName val="_Recovered_SheetName_4858_"/>
      <sheetName val="_Recovered_SheetName_4859_"/>
      <sheetName val="_Recovered_SheetName_4860_"/>
      <sheetName val="_Recovered_SheetName_4861_"/>
      <sheetName val="_Recovered_SheetName_4862_"/>
      <sheetName val="_Recovered_SheetName_4863_"/>
      <sheetName val="_Recovered_SheetName_4864_"/>
      <sheetName val="_Recovered_SheetName_4865_"/>
      <sheetName val="_Recovered_SheetName_4866_"/>
      <sheetName val="_Recovered_SheetName_4867_"/>
      <sheetName val="_Recovered_SheetName_4868_"/>
      <sheetName val="_Recovered_SheetName_4869_"/>
      <sheetName val="_Recovered_SheetName_4870_"/>
      <sheetName val="_Recovered_SheetName_4871_"/>
      <sheetName val="_Recovered_SheetName_4872_"/>
      <sheetName val="_Recovered_SheetName_4873_"/>
      <sheetName val="_Recovered_SheetName_4874_"/>
      <sheetName val="_Recovered_SheetName_4875_"/>
      <sheetName val="_Recovered_SheetName_4876_"/>
      <sheetName val="_Recovered_SheetName_4877_"/>
      <sheetName val="_Recovered_SheetName_4878_"/>
      <sheetName val="_Recovered_SheetName_4879_"/>
      <sheetName val="_Recovered_SheetName_4880_"/>
      <sheetName val="_Recovered_SheetName_4881_"/>
      <sheetName val="_Recovered_SheetName_4882_"/>
      <sheetName val="_Recovered_SheetName_4883_"/>
      <sheetName val="_Recovered_SheetName_4884_"/>
      <sheetName val="_Recovered_SheetName_4885_"/>
      <sheetName val="_Recovered_SheetName_4886_"/>
      <sheetName val="_Recovered_SheetName_4887_"/>
      <sheetName val="_Recovered_SheetName_4888_"/>
      <sheetName val="_Recovered_SheetName_4889_"/>
      <sheetName val="_Recovered_SheetName_4890_"/>
      <sheetName val="_Recovered_SheetName_4891_"/>
      <sheetName val="_Recovered_SheetName_4892_"/>
      <sheetName val="_Recovered_SheetName_4893_"/>
      <sheetName val="_Recovered_SheetName_4894_"/>
      <sheetName val="_Recovered_SheetName_4895_"/>
      <sheetName val="_Recovered_SheetName_4896_"/>
      <sheetName val="_Recovered_SheetName_4897_"/>
      <sheetName val="_Recovered_SheetName_4898_"/>
      <sheetName val="_Recovered_SheetName_4899_"/>
      <sheetName val="_Recovered_SheetName_4900_"/>
      <sheetName val="_Recovered_SheetName_4901_"/>
      <sheetName val="_Recovered_SheetName_4902_"/>
      <sheetName val="_Recovered_SheetName_4903_"/>
      <sheetName val="_Recovered_SheetName_4904_"/>
      <sheetName val="_Recovered_SheetName_4905_"/>
      <sheetName val="_Recovered_SheetName_4906_"/>
      <sheetName val="_Recovered_SheetName_4907_"/>
      <sheetName val="_Recovered_SheetName_4908_"/>
      <sheetName val="_Recovered_SheetName_4909_"/>
      <sheetName val="_Recovered_SheetName_4910_"/>
      <sheetName val="_Recovered_SheetName_4911_"/>
      <sheetName val="_Recovered_SheetName_4912_"/>
      <sheetName val="_Recovered_SheetName_4913_"/>
      <sheetName val="_Recovered_SheetName_4914_"/>
      <sheetName val="_Recovered_SheetName_4915_"/>
      <sheetName val="_Recovered_SheetName_4916_"/>
      <sheetName val="_Recovered_SheetName_4917_"/>
      <sheetName val="_Recovered_SheetName_4918_"/>
      <sheetName val="_Recovered_SheetName_4919_"/>
      <sheetName val="_Recovered_SheetName_4920_"/>
      <sheetName val="_Recovered_SheetName_4921_"/>
      <sheetName val="_Recovered_SheetName_4922_"/>
      <sheetName val="_Recovered_SheetName_4923_"/>
      <sheetName val="_Recovered_SheetName_4924_"/>
      <sheetName val="_Recovered_SheetName_4925_"/>
      <sheetName val="_Recovered_SheetName_4926_"/>
      <sheetName val="_Recovered_SheetName_4927_"/>
      <sheetName val="_Recovered_SheetName_4928_"/>
      <sheetName val="_Recovered_SheetName_4929_"/>
      <sheetName val="_Recovered_SheetName_4930_"/>
      <sheetName val="_Recovered_SheetName_4931_"/>
      <sheetName val="_Recovered_SheetName_4932_"/>
      <sheetName val="_Recovered_SheetName_4933_"/>
      <sheetName val="_Recovered_SheetName_4934_"/>
      <sheetName val="_Recovered_SheetName_4935_"/>
      <sheetName val="_Recovered_SheetName_4936_"/>
      <sheetName val="_Recovered_SheetName_4937_"/>
      <sheetName val="_Recovered_SheetName_4938_"/>
      <sheetName val="_Recovered_SheetName_4939_"/>
      <sheetName val="_Recovered_SheetName_4940_"/>
      <sheetName val="_Recovered_SheetName_4941_"/>
      <sheetName val="_Recovered_SheetName_4942_"/>
      <sheetName val="_Recovered_SheetName_4943_"/>
      <sheetName val="_Recovered_SheetName_4944_"/>
      <sheetName val="_Recovered_SheetName_4945_"/>
      <sheetName val="_Recovered_SheetName_4946_"/>
      <sheetName val="_Recovered_SheetName_4947_"/>
      <sheetName val="_Recovered_SheetName_4948_"/>
      <sheetName val="_Recovered_SheetName_4949_"/>
      <sheetName val="_Recovered_SheetName_4950_"/>
      <sheetName val="_Recovered_SheetName_4951_"/>
      <sheetName val="_Recovered_SheetName_4952_"/>
      <sheetName val="_Recovered_SheetName_4953_"/>
      <sheetName val="_Recovered_SheetName_4954_"/>
      <sheetName val="_Recovered_SheetName_4955_"/>
      <sheetName val="_Recovered_SheetName_4956_"/>
      <sheetName val="_Recovered_SheetName_4957_"/>
      <sheetName val="_Recovered_SheetName_4958_"/>
      <sheetName val="_Recovered_SheetName_4959_"/>
      <sheetName val="_Recovered_SheetName_4960_"/>
      <sheetName val="_Recovered_SheetName_4961_"/>
      <sheetName val="_Recovered_SheetName_4962_"/>
      <sheetName val="_Recovered_SheetName_4963_"/>
      <sheetName val="_Recovered_SheetName_4964_"/>
      <sheetName val="_Recovered_SheetName_4965_"/>
      <sheetName val="_Recovered_SheetName_4966_"/>
      <sheetName val="_Recovered_SheetName_4967_"/>
      <sheetName val="_Recovered_SheetName_4968_"/>
      <sheetName val="_Recovered_SheetName_4969_"/>
      <sheetName val="_Recovered_SheetName_4970_"/>
      <sheetName val="_Recovered_SheetName_4971_"/>
      <sheetName val="_Recovered_SheetName_4972_"/>
      <sheetName val="_Recovered_SheetName_4973_"/>
      <sheetName val="_Recovered_SheetName_4974_"/>
      <sheetName val="_Recovered_SheetName_4975_"/>
      <sheetName val="_Recovered_SheetName_4976_"/>
      <sheetName val="_Recovered_SheetName_4977_"/>
      <sheetName val="_Recovered_SheetName_4978_"/>
      <sheetName val="_Recovered_SheetName_4979_"/>
      <sheetName val="_Recovered_SheetName_4980_"/>
      <sheetName val="_Recovered_SheetName_4981_"/>
      <sheetName val="_Recovered_SheetName_4982_"/>
      <sheetName val="_Recovered_SheetName_4983_"/>
      <sheetName val="_Recovered_SheetName_4984_"/>
      <sheetName val="_Recovered_SheetName_4985_"/>
      <sheetName val="_Recovered_SheetName_4986_"/>
      <sheetName val="_Recovered_SheetName_4987_"/>
      <sheetName val="_Recovered_SheetName_4988_"/>
      <sheetName val="_Recovered_SheetName_4989_"/>
      <sheetName val="_Recovered_SheetName_4990_"/>
      <sheetName val="_Recovered_SheetName_4991_"/>
      <sheetName val="_Recovered_SheetName_4992_"/>
      <sheetName val="_Recovered_SheetName_4993_"/>
      <sheetName val="_Recovered_SheetName_4994_"/>
      <sheetName val="_Recovered_SheetName_4995_"/>
      <sheetName val="_Recovered_SheetName_4996_"/>
      <sheetName val="_Recovered_SheetName_4997_"/>
      <sheetName val="_Recovered_SheetName_4998_"/>
      <sheetName val="_Recovered_SheetName_4999_"/>
      <sheetName val="_Recovered_SheetName_5000_"/>
      <sheetName val="_Recovered_SheetName_5001_"/>
      <sheetName val="_Recovered_SheetName_5002_"/>
      <sheetName val="_Recovered_SheetName_5003_"/>
      <sheetName val="_Recovered_SheetName_5004_"/>
      <sheetName val="_Recovered_SheetName_5005_"/>
      <sheetName val="_Recovered_SheetName_5006_"/>
      <sheetName val="_Recovered_SheetName_5007_"/>
      <sheetName val="_Recovered_SheetName_5008_"/>
      <sheetName val="_Recovered_SheetName_5009_"/>
      <sheetName val="_Recovered_SheetName_5010_"/>
      <sheetName val="_Recovered_SheetName_5011_"/>
      <sheetName val="_Recovered_SheetName_5012_"/>
      <sheetName val="_Recovered_SheetName_5013_"/>
      <sheetName val="_Recovered_SheetName_5014_"/>
      <sheetName val="_Recovered_SheetName_5015_"/>
      <sheetName val="_Recovered_SheetName_5016_"/>
      <sheetName val="_Recovered_SheetName_5017_"/>
      <sheetName val="_Recovered_SheetName_5018_"/>
      <sheetName val="_Recovered_SheetName_5019_"/>
      <sheetName val="_Recovered_SheetName_5020_"/>
      <sheetName val="_Recovered_SheetName_5021_"/>
      <sheetName val="_Recovered_SheetName_5022_"/>
      <sheetName val="_Recovered_SheetName_5023_"/>
      <sheetName val="_Recovered_SheetName_5024_"/>
      <sheetName val="_Recovered_SheetName_5025_"/>
      <sheetName val="_Recovered_SheetName_5026_"/>
      <sheetName val="_Recovered_SheetName_5027_"/>
      <sheetName val="_Recovered_SheetName_5028_"/>
      <sheetName val="_Recovered_SheetName_5029_"/>
      <sheetName val="_Recovered_SheetName_5030_"/>
      <sheetName val="_Recovered_SheetName_5031_"/>
      <sheetName val="_Recovered_SheetName_5032_"/>
      <sheetName val="_Recovered_SheetName_5033_"/>
      <sheetName val="_Recovered_SheetName_5034_"/>
      <sheetName val="_Recovered_SheetName_5035_"/>
      <sheetName val="_Recovered_SheetName_5036_"/>
      <sheetName val="_Recovered_SheetName_5037_"/>
      <sheetName val="_Recovered_SheetName_5038_"/>
      <sheetName val="_Recovered_SheetName_5039_"/>
      <sheetName val="_Recovered_SheetName_5040_"/>
      <sheetName val="_Recovered_SheetName_5041_"/>
      <sheetName val="_Recovered_SheetName_5042_"/>
      <sheetName val="_Recovered_SheetName_5043_"/>
      <sheetName val="_Recovered_SheetName_5044_"/>
      <sheetName val="_Recovered_SheetName_5045_"/>
      <sheetName val="_Recovered_SheetName_5046_"/>
      <sheetName val="_Recovered_SheetName_5047_"/>
      <sheetName val="_Recovered_SheetName_5048_"/>
      <sheetName val="_Recovered_SheetName_5049_"/>
      <sheetName val="_Recovered_SheetName_5050_"/>
      <sheetName val="_Recovered_SheetName_5051_"/>
      <sheetName val="_Recovered_SheetName_5052_"/>
      <sheetName val="_Recovered_SheetName_5053_"/>
      <sheetName val="_Recovered_SheetName_5054_"/>
      <sheetName val="_Recovered_SheetName_5055_"/>
      <sheetName val="_Recovered_SheetName_5056_"/>
      <sheetName val="_Recovered_SheetName_5057_"/>
      <sheetName val="_Recovered_SheetName_5058_"/>
      <sheetName val="_Recovered_SheetName_5059_"/>
      <sheetName val="_Recovered_SheetName_5060_"/>
      <sheetName val="_Recovered_SheetName_5061_"/>
      <sheetName val="_Recovered_SheetName_5062_"/>
      <sheetName val="_Recovered_SheetName_5063_"/>
      <sheetName val="_Recovered_SheetName_5064_"/>
      <sheetName val="_Recovered_SheetName_5065_"/>
      <sheetName val="_Recovered_SheetName_5066_"/>
      <sheetName val="_Recovered_SheetName_5067_"/>
      <sheetName val="_Recovered_SheetName_5068_"/>
      <sheetName val="_Recovered_SheetName_5069_"/>
      <sheetName val="_Recovered_SheetName_5070_"/>
      <sheetName val="_Recovered_SheetName_5071_"/>
      <sheetName val="_Recovered_SheetName_5072_"/>
      <sheetName val="_Recovered_SheetName_5073_"/>
      <sheetName val="_Recovered_SheetName_5074_"/>
      <sheetName val="_Recovered_SheetName_5075_"/>
      <sheetName val="_Recovered_SheetName_5076_"/>
      <sheetName val="_Recovered_SheetName_5077_"/>
      <sheetName val="_Recovered_SheetName_5078_"/>
      <sheetName val="_Recovered_SheetName_5079_"/>
      <sheetName val="_Recovered_SheetName_5080_"/>
      <sheetName val="_Recovered_SheetName_5081_"/>
      <sheetName val="_Recovered_SheetName_5082_"/>
      <sheetName val="_Recovered_SheetName_5083_"/>
      <sheetName val="_Recovered_SheetName_5084_"/>
      <sheetName val="_Recovered_SheetName_5085_"/>
      <sheetName val="_Recovered_SheetName_5086_"/>
      <sheetName val="_Recovered_SheetName_5087_"/>
      <sheetName val="_Recovered_SheetName_5088_"/>
      <sheetName val="_Recovered_SheetName_5089_"/>
      <sheetName val="_Recovered_SheetName_5090_"/>
      <sheetName val="_Recovered_SheetName_5091_"/>
      <sheetName val="_Recovered_SheetName_5092_"/>
      <sheetName val="_Recovered_SheetName_5093_"/>
      <sheetName val="_Recovered_SheetName_5094_"/>
      <sheetName val="_Recovered_SheetName_5095_"/>
      <sheetName val="_Recovered_SheetName_5096_"/>
      <sheetName val="_Recovered_SheetName_5097_"/>
      <sheetName val="_Recovered_SheetName_5098_"/>
      <sheetName val="_Recovered_SheetName_5099_"/>
      <sheetName val="_Recovered_SheetName_5100_"/>
      <sheetName val="_Recovered_SheetName_5101_"/>
      <sheetName val="_Recovered_SheetName_5102_"/>
      <sheetName val="_Recovered_SheetName_5103_"/>
      <sheetName val="_Recovered_SheetName_5104_"/>
      <sheetName val="_Recovered_SheetName_5105_"/>
      <sheetName val="_Recovered_SheetName_5106_"/>
      <sheetName val="_Recovered_SheetName_5107_"/>
      <sheetName val="_Recovered_SheetName_5108_"/>
      <sheetName val="_Recovered_SheetName_5109_"/>
      <sheetName val="_Recovered_SheetName_5110_"/>
      <sheetName val="_Recovered_SheetName_5111_"/>
      <sheetName val="_Recovered_SheetName_5112_"/>
      <sheetName val="_Recovered_SheetName_5113_"/>
      <sheetName val="_Recovered_SheetName_5114_"/>
      <sheetName val="_Recovered_SheetName_5115_"/>
      <sheetName val="_Recovered_SheetName_5116_"/>
      <sheetName val="_Recovered_SheetName_5117_"/>
      <sheetName val="_Recovered_SheetName_5118_"/>
      <sheetName val="_Recovered_SheetName_5119_"/>
      <sheetName val="_Recovered_SheetName_5120_"/>
      <sheetName val="_Recovered_SheetName_5121_"/>
      <sheetName val="_Recovered_SheetName_5122_"/>
      <sheetName val="_Recovered_SheetName_5123_"/>
      <sheetName val="_Recovered_SheetName_5124_"/>
      <sheetName val="_Recovered_SheetName_5125_"/>
      <sheetName val="_Recovered_SheetName_5126_"/>
      <sheetName val="_Recovered_SheetName_5127_"/>
      <sheetName val="_Recovered_SheetName_5128_"/>
      <sheetName val="_Recovered_SheetName_5129_"/>
      <sheetName val="_Recovered_SheetName_5130_"/>
      <sheetName val="_Recovered_SheetName_5131_"/>
      <sheetName val="_Recovered_SheetName_5132_"/>
      <sheetName val="_Recovered_SheetName_5133_"/>
      <sheetName val="_Recovered_SheetName_5134_"/>
      <sheetName val="_Recovered_SheetName_5135_"/>
      <sheetName val="_Recovered_SheetName_5136_"/>
      <sheetName val="_Recovered_SheetName_5137_"/>
      <sheetName val="_Recovered_SheetName_5138_"/>
      <sheetName val="_Recovered_SheetName_5139_"/>
      <sheetName val="_Recovered_SheetName_5140_"/>
      <sheetName val="_Recovered_SheetName_5141_"/>
      <sheetName val="_Recovered_SheetName_5142_"/>
      <sheetName val="_Recovered_SheetName_5143_"/>
      <sheetName val="_Recovered_SheetName_5144_"/>
      <sheetName val="_Recovered_SheetName_5145_"/>
      <sheetName val="_Recovered_SheetName_5146_"/>
      <sheetName val="_Recovered_SheetName_5147_"/>
      <sheetName val="_Recovered_SheetName_5148_"/>
      <sheetName val="_Recovered_SheetName_5149_"/>
      <sheetName val="_Recovered_SheetName_5150_"/>
      <sheetName val="_Recovered_SheetName_5151_"/>
      <sheetName val="_Recovered_SheetName_5152_"/>
      <sheetName val="_Recovered_SheetName_5153_"/>
      <sheetName val="_Recovered_SheetName_5154_"/>
      <sheetName val="_Recovered_SheetName_5155_"/>
      <sheetName val="_Recovered_SheetName_5156_"/>
      <sheetName val="_Recovered_SheetName_5157_"/>
      <sheetName val="_Recovered_SheetName_5158_"/>
      <sheetName val="_Recovered_SheetName_5159_"/>
      <sheetName val="_Recovered_SheetName_5160_"/>
      <sheetName val="_Recovered_SheetName_5161_"/>
      <sheetName val="_Recovered_SheetName_5162_"/>
      <sheetName val="_Recovered_SheetName_5163_"/>
      <sheetName val="_Recovered_SheetName_5164_"/>
      <sheetName val="_Recovered_SheetName_5165_"/>
      <sheetName val="_Recovered_SheetName_5166_"/>
      <sheetName val="_Recovered_SheetName_5167_"/>
      <sheetName val="_Recovered_SheetName_5168_"/>
      <sheetName val="_Recovered_SheetName_5169_"/>
      <sheetName val="_Recovered_SheetName_5170_"/>
      <sheetName val="_Recovered_SheetName_5171_"/>
      <sheetName val="_Recovered_SheetName_5172_"/>
      <sheetName val="_Recovered_SheetName_5173_"/>
      <sheetName val="_Recovered_SheetName_5174_"/>
      <sheetName val="_Recovered_SheetName_5175_"/>
      <sheetName val="_Recovered_SheetName_5176_"/>
      <sheetName val="_Recovered_SheetName_5177_"/>
      <sheetName val="_Recovered_SheetName_5178_"/>
      <sheetName val="_Recovered_SheetName_5179_"/>
      <sheetName val="_Recovered_SheetName_5180_"/>
      <sheetName val="_Recovered_SheetName_5181_"/>
      <sheetName val="_Recovered_SheetName_5182_"/>
      <sheetName val="_Recovered_SheetName_5183_"/>
      <sheetName val="_Recovered_SheetName_5184_"/>
      <sheetName val="_Recovered_SheetName_5185_"/>
      <sheetName val="_Recovered_SheetName_5186_"/>
      <sheetName val="_Recovered_SheetName_5187_"/>
      <sheetName val="_Recovered_SheetName_5188_"/>
      <sheetName val="_Recovered_SheetName_5189_"/>
      <sheetName val="_Recovered_SheetName_5190_"/>
      <sheetName val="_Recovered_SheetName_5191_"/>
      <sheetName val="_Recovered_SheetName_5192_"/>
      <sheetName val="_Recovered_SheetName_5193_"/>
      <sheetName val="_Recovered_SheetName_5194_"/>
      <sheetName val="_Recovered_SheetName_5195_"/>
      <sheetName val="_Recovered_SheetName_5196_"/>
      <sheetName val="_Recovered_SheetName_5197_"/>
      <sheetName val="_Recovered_SheetName_5198_"/>
      <sheetName val="_Recovered_SheetName_5199_"/>
      <sheetName val="_Recovered_SheetName_5200_"/>
      <sheetName val="_Recovered_SheetName_5201_"/>
      <sheetName val="_Recovered_SheetName_5202_"/>
      <sheetName val="_Recovered_SheetName_5203_"/>
      <sheetName val="_Recovered_SheetName_5204_"/>
      <sheetName val="_Recovered_SheetName_5205_"/>
      <sheetName val="_Recovered_SheetName_5206_"/>
      <sheetName val="_Recovered_SheetName_5207_"/>
      <sheetName val="_Recovered_SheetName_5208_"/>
      <sheetName val="_Recovered_SheetName_5209_"/>
      <sheetName val="_Recovered_SheetName_5210_"/>
      <sheetName val="_Recovered_SheetName_5211_"/>
      <sheetName val="_Recovered_SheetName_5212_"/>
      <sheetName val="_Recovered_SheetName_5213_"/>
      <sheetName val="_Recovered_SheetName_5214_"/>
      <sheetName val="_Recovered_SheetName_5215_"/>
      <sheetName val="_Recovered_SheetName_5216_"/>
      <sheetName val="_Recovered_SheetName_5217_"/>
      <sheetName val="_Recovered_SheetName_5218_"/>
      <sheetName val="_Recovered_SheetName_5219_"/>
      <sheetName val="_Recovered_SheetName_5220_"/>
      <sheetName val="_Recovered_SheetName_5221_"/>
      <sheetName val="_Recovered_SheetName_5222_"/>
      <sheetName val="_Recovered_SheetName_5223_"/>
      <sheetName val="_Recovered_SheetName_5224_"/>
      <sheetName val="_Recovered_SheetName_5225_"/>
      <sheetName val="_Recovered_SheetName_5226_"/>
      <sheetName val="_Recovered_SheetName_5227_"/>
      <sheetName val="_Recovered_SheetName_5228_"/>
      <sheetName val="_Recovered_SheetName_5229_"/>
      <sheetName val="_Recovered_SheetName_5230_"/>
      <sheetName val="_Recovered_SheetName_5231_"/>
      <sheetName val="_Recovered_SheetName_5232_"/>
      <sheetName val="_Recovered_SheetName_5233_"/>
      <sheetName val="_Recovered_SheetName_5234_"/>
      <sheetName val="_Recovered_SheetName_5235_"/>
      <sheetName val="_Recovered_SheetName_5236_"/>
      <sheetName val="_Recovered_SheetName_5237_"/>
      <sheetName val="_Recovered_SheetName_5238_"/>
      <sheetName val="_Recovered_SheetName_5239_"/>
      <sheetName val="_Recovered_SheetName_5240_"/>
      <sheetName val="_Recovered_SheetName_5241_"/>
      <sheetName val="_Recovered_SheetName_5242_"/>
      <sheetName val="_Recovered_SheetName_5243_"/>
      <sheetName val="_Recovered_SheetName_5244_"/>
      <sheetName val="_Recovered_SheetName_5245_"/>
      <sheetName val="_Recovered_SheetName_5246_"/>
      <sheetName val="_Recovered_SheetName_5247_"/>
      <sheetName val="_Recovered_SheetName_5248_"/>
      <sheetName val="_Recovered_SheetName_5249_"/>
      <sheetName val="_Recovered_SheetName_5250_"/>
      <sheetName val="_Recovered_SheetName_5251_"/>
      <sheetName val="_Recovered_SheetName_5252_"/>
      <sheetName val="_Recovered_SheetName_5253_"/>
      <sheetName val="_Recovered_SheetName_5254_"/>
      <sheetName val="_Recovered_SheetName_5255_"/>
      <sheetName val="_Recovered_SheetName_5256_"/>
      <sheetName val="_Recovered_SheetName_5257_"/>
      <sheetName val="_Recovered_SheetName_5258_"/>
      <sheetName val="_Recovered_SheetName_5259_"/>
      <sheetName val="_Recovered_SheetName_5260_"/>
      <sheetName val="_Recovered_SheetName_5261_"/>
      <sheetName val="_Recovered_SheetName_5262_"/>
      <sheetName val="_Recovered_SheetName_5263_"/>
      <sheetName val="_Recovered_SheetName_5264_"/>
      <sheetName val="_Recovered_SheetName_5265_"/>
      <sheetName val="_Recovered_SheetName_5266_"/>
      <sheetName val="_Recovered_SheetName_5267_"/>
      <sheetName val="_Recovered_SheetName_5268_"/>
      <sheetName val="_Recovered_SheetName_5269_"/>
      <sheetName val="_Recovered_SheetName_5270_"/>
      <sheetName val="_Recovered_SheetName_5271_"/>
      <sheetName val="_Recovered_SheetName_5272_"/>
      <sheetName val="_Recovered_SheetName_5273_"/>
      <sheetName val="_Recovered_SheetName_5274_"/>
      <sheetName val="_Recovered_SheetName_5275_"/>
      <sheetName val="_Recovered_SheetName_5276_"/>
      <sheetName val="_Recovered_SheetName_5277_"/>
      <sheetName val="_Recovered_SheetName_5278_"/>
      <sheetName val="_Recovered_SheetName_5279_"/>
      <sheetName val="_Recovered_SheetName_5280_"/>
      <sheetName val="_Recovered_SheetName_5281_"/>
      <sheetName val="_Recovered_SheetName_5282_"/>
      <sheetName val="_Recovered_SheetName_5283_"/>
      <sheetName val="_Recovered_SheetName_5284_"/>
      <sheetName val="_Recovered_SheetName_5285_"/>
      <sheetName val="_Recovered_SheetName_5286_"/>
      <sheetName val="_Recovered_SheetName_5287_"/>
      <sheetName val="_Recovered_SheetName_5288_"/>
      <sheetName val="_Recovered_SheetName_5289_"/>
      <sheetName val="_Recovered_SheetName_5290_"/>
      <sheetName val="_Recovered_SheetName_5291_"/>
      <sheetName val="_Recovered_SheetName_5292_"/>
      <sheetName val="_Recovered_SheetName_5293_"/>
      <sheetName val="_Recovered_SheetName_5294_"/>
      <sheetName val="_Recovered_SheetName_5295_"/>
      <sheetName val="_Recovered_SheetName_5296_"/>
      <sheetName val="_Recovered_SheetName_5297_"/>
      <sheetName val="_Recovered_SheetName_5298_"/>
      <sheetName val="_Recovered_SheetName_5299_"/>
      <sheetName val="_Recovered_SheetName_5300_"/>
      <sheetName val="_Recovered_SheetName_5301_"/>
      <sheetName val="_Recovered_SheetName_5302_"/>
      <sheetName val="_Recovered_SheetName_5303_"/>
      <sheetName val="_Recovered_SheetName_5304_"/>
      <sheetName val="_Recovered_SheetName_5305_"/>
      <sheetName val="_Recovered_SheetName_5306_"/>
      <sheetName val="_Recovered_SheetName_5307_"/>
      <sheetName val="_Recovered_SheetName_5308_"/>
      <sheetName val="_Recovered_SheetName_5309_"/>
      <sheetName val="_Recovered_SheetName_5310_"/>
      <sheetName val="_Recovered_SheetName_5311_"/>
      <sheetName val="_Recovered_SheetName_5312_"/>
      <sheetName val="_Recovered_SheetName_5313_"/>
      <sheetName val="_Recovered_SheetName_5314_"/>
      <sheetName val="_Recovered_SheetName_5315_"/>
      <sheetName val="_Recovered_SheetName_5316_"/>
      <sheetName val="_Recovered_SheetName_5317_"/>
      <sheetName val="_Recovered_SheetName_5318_"/>
      <sheetName val="_Recovered_SheetName_5319_"/>
      <sheetName val="_Recovered_SheetName_5320_"/>
      <sheetName val="_Recovered_SheetName_5321_"/>
      <sheetName val="_Recovered_SheetName_5322_"/>
      <sheetName val="_Recovered_SheetName_5323_"/>
      <sheetName val="_Recovered_SheetName_5324_"/>
      <sheetName val="_Recovered_SheetName_5325_"/>
      <sheetName val="_Recovered_SheetName_5326_"/>
      <sheetName val="_Recovered_SheetName_5327_"/>
      <sheetName val="_Recovered_SheetName_5328_"/>
      <sheetName val="_Recovered_SheetName_5329_"/>
      <sheetName val="_Recovered_SheetName_5330_"/>
      <sheetName val="_Recovered_SheetName_5331_"/>
      <sheetName val="_Recovered_SheetName_5332_"/>
      <sheetName val="_Recovered_SheetName_5333_"/>
      <sheetName val="_Recovered_SheetName_5334_"/>
      <sheetName val="_Recovered_SheetName_5335_"/>
      <sheetName val="_Recovered_SheetName_5336_"/>
      <sheetName val="_Recovered_SheetName_5337_"/>
      <sheetName val="_Recovered_SheetName_5338_"/>
      <sheetName val="_Recovered_SheetName_5339_"/>
      <sheetName val="_Recovered_SheetName_5340_"/>
      <sheetName val="_Recovered_SheetName_5341_"/>
      <sheetName val="_Recovered_SheetName_5342_"/>
      <sheetName val="01"/>
      <sheetName val="Income Statement"/>
      <sheetName val="RateAnalysis"/>
      <sheetName val="Boq (Main Building)"/>
      <sheetName val="det_est"/>
      <sheetName val="JMR abstract"/>
      <sheetName val="Occ, Other Rev, Exp, Dispo"/>
      <sheetName val="6공구(당초)"/>
      <sheetName val="MPR_PA_1"/>
      <sheetName val="pricing"/>
      <sheetName val="sof"/>
      <sheetName val="GUT"/>
      <sheetName val="[Spt-BH.xls][Spt-BH.xls]_Sp_653"/>
      <sheetName val="[Spt-BH.xls][Spt-BH.xls]_Sp_668"/>
      <sheetName val="[Spt-BH.xls][Spt-BH.xls]B__2069"/>
      <sheetName val="[Spt-BH.xls][Spt-BH.xls]B__2070"/>
      <sheetName val="[Spt-BH.xls][Spt-BH.xls]_Sp_670"/>
      <sheetName val="[Spt-BH.xls][Spt-BH.xls]B__2071"/>
      <sheetName val="[Spt-BH.xls][Spt-BH.xls]B__2072"/>
      <sheetName val="[Spt-BH.xls][Spt-BH.xls]B__2073"/>
      <sheetName val="[Spt-BH.xls][Spt-BH.xls]B__2074"/>
      <sheetName val="[Spt-BH.xls][Spt-BH.xls]_Sp_669"/>
      <sheetName val="[Spt-BH.xls][Spt-BH.xls]B__2076"/>
      <sheetName val="[Spt-BH.xls][Spt-BH.xls]B__2077"/>
      <sheetName val="[Spt-BH.xls][Spt-BH.xls]_Sp_672"/>
      <sheetName val="[Spt-BH.xls][Spt-BH.xls]B__2078"/>
      <sheetName val="[Spt-BH.xls][Spt-BH.xls]B__2079"/>
      <sheetName val="[Spt-BH.xls][Spt-BH.xls]B__2080"/>
      <sheetName val="[Spt-BH.xls]B____x005f_x0004______156"/>
      <sheetName val="[Spt-BH.xls]B___x005f_x0000__x000_156"/>
      <sheetName val="[Spt-BH.xls][Spt-BH.xls]B__2081"/>
      <sheetName val="[Spt-BH.xls][Spt-BH.xls]B__2075"/>
      <sheetName val="[Spt-BH.xls][Spt-BH.xls]_Sp_671"/>
      <sheetName val="[Spt-BH.xls][Spt-BH_xls]B__1351"/>
      <sheetName val="[Spt-BH.xls][Spt-BH_xls]B__1352"/>
      <sheetName val="[Spt-BH.xls][Spt-BH_xls]B__1353"/>
      <sheetName val="[Spt-BH.xls][Spt-BH_xls]B__1354"/>
      <sheetName val="[Spt-BH.xls][Spt-BH_xls]_Sp_382"/>
      <sheetName val="[Spt-BH.xls][Spt-BH_xls]B__1355"/>
      <sheetName val="[Spt-BH.xls][Spt-BH_xls]B__1356"/>
      <sheetName val="[Spt-BH.xls][Spt-BH_xls]B__1357"/>
      <sheetName val="[Spt-BH.xls][Spt-BH_xls]_Sp_383"/>
      <sheetName val="[Spt-BH.xls][Spt-BH_xls]B__1358"/>
      <sheetName val="[Spt-BH.xls][Spt-BH_xls]B__1359"/>
      <sheetName val="[Spt-BH.xls][Spt-BH_xls]B__1360"/>
      <sheetName val="[Spt-BH.xls][Spt-BH_xls]B__1361"/>
      <sheetName val="[Spt-BH.xls][Spt-BH_xls]_Sp_384"/>
      <sheetName val="[Spt-BH.xls][Spt-BH.xls]_Sp_661"/>
      <sheetName val="[Spt-BH.xls][Spt-BH.xls]_Sp_659"/>
      <sheetName val="[Spt-BH.xls][Spt-BH.xls]B__2044"/>
      <sheetName val="[Spt-BH.xls][Spt-BH.xls]B__2045"/>
      <sheetName val="[Spt-BH.xls][Spt-BH.xls]B__2046"/>
      <sheetName val="[Spt-BH.xls][Spt-BH.xls]B__2047"/>
      <sheetName val="[Spt-BH.xls][Spt-BH.xls]B__2048"/>
      <sheetName val="[Spt-BH.xls][Spt-BH.xls]B__2049"/>
      <sheetName val="[Spt-BH.xls][Spt-BH.xls]_Sp_660"/>
      <sheetName val="[Spt-BH.xls][Spt-BH.xls]B__2051"/>
      <sheetName val="[Spt-BH.xls][Spt-BH.xls]B__2052"/>
      <sheetName val="[Spt-BH.xls][Spt-BH.xls]_Sp_663"/>
      <sheetName val="[Spt-BH.xls][Spt-BH.xls]B__2053"/>
      <sheetName val="[Spt-BH.xls][Spt-BH.xls]B__2054"/>
      <sheetName val="[Spt-BH.xls][Spt-BH.xls]B__2055"/>
      <sheetName val="[Spt-BH.xls]B____x005f_x0004______155"/>
      <sheetName val="[Spt-BH.xls]B___x005f_x0000__x000_155"/>
      <sheetName val="[Spt-BH.xls][Spt-BH.xls]B__2056"/>
      <sheetName val="[Spt-BH.xls][Spt-BH.xls]B__2050"/>
      <sheetName val="[Spt-BH.xls][Spt-BH.xls]_Sp_662"/>
      <sheetName val="[Spt-BH.xls][Spt-BH_xls]B__1340"/>
      <sheetName val="[Spt-BH.xls][Spt-BH_xls]B__1341"/>
      <sheetName val="[Spt-BH.xls][Spt-BH_xls]B__1342"/>
      <sheetName val="[Spt-BH.xls][Spt-BH_xls]B__1343"/>
      <sheetName val="[Spt-BH.xls][Spt-BH_xls]_Sp_379"/>
      <sheetName val="[Spt-BH.xls][Spt-BH_xls]B__1344"/>
      <sheetName val="[Spt-BH.xls][Spt-BH_xls]B__1345"/>
      <sheetName val="[Spt-BH.xls][Spt-BH_xls]B__1346"/>
      <sheetName val="[Spt-BH.xls][Spt-BH_xls]_Sp_380"/>
      <sheetName val="[Spt-BH.xls][Spt-BH_xls]B__1347"/>
      <sheetName val="[Spt-BH.xls][Spt-BH_xls]B__1348"/>
      <sheetName val="[Spt-BH.xls][Spt-BH_xls]B__1349"/>
      <sheetName val="[Spt-BH.xls][Spt-BH_xls]B__1350"/>
      <sheetName val="[Spt-BH.xls][Spt-BH_xls]_Sp_381"/>
      <sheetName val="[Spt-BH.xls][Spt-BH.xls]B__2057"/>
      <sheetName val="[Spt-BH.xls][Spt-BH.xls]B__2058"/>
      <sheetName val="[Spt-BH.xls][Spt-BH.xls]_Sp_665"/>
      <sheetName val="[Spt-BH.xls][Spt-BH.xls]B__2059"/>
      <sheetName val="[Spt-BH.xls][Spt-BH.xls]B__2060"/>
      <sheetName val="[Spt-BH.xls][Spt-BH.xls]B__2061"/>
      <sheetName val="[Spt-BH.xls][Spt-BH.xls]B__2062"/>
      <sheetName val="[Spt-BH.xls][Spt-BH.xls]_Sp_664"/>
      <sheetName val="[Spt-BH.xls][Spt-BH.xls]B__2063"/>
      <sheetName val="[Spt-BH.xls][Spt-BH.xls]B__2064"/>
      <sheetName val="[Spt-BH.xls][Spt-BH.xls]_Sp_667"/>
      <sheetName val="[Spt-BH.xls][Spt-BH.xls]B__2065"/>
      <sheetName val="[Spt-BH.xls][Spt-BH.xls]B__2066"/>
      <sheetName val="[Spt-BH.xls][Spt-BH.xls]B__2067"/>
      <sheetName val="[Spt-BH.xls][Spt-BH.xls]B__2068"/>
      <sheetName val="[Spt-BH.xls][Spt-BH.xls]_Sp_666"/>
      <sheetName val="[Spt-BH.xls][Spt-BH.xls]_Sp_680"/>
      <sheetName val="[Spt-BH.xls][Spt-BH.xls]B__2102"/>
      <sheetName val="[Spt-BH.xls][Spt-BH.xls]B__2103"/>
      <sheetName val="[Spt-BH.xls][Spt-BH.xls]_Sp_682"/>
      <sheetName val="[Spt-BH.xls][Spt-BH.xls]B__2104"/>
      <sheetName val="[Spt-BH.xls][Spt-BH.xls]B__2105"/>
      <sheetName val="[Spt-BH.xls][Spt-BH.xls]B__2106"/>
      <sheetName val="[Spt-BH.xls][Spt-BH.xls]B__2107"/>
      <sheetName val="[Spt-BH.xls][Spt-BH.xls]_Sp_681"/>
      <sheetName val="[Spt-BH.xls][Spt-BH.xls]B__2109"/>
      <sheetName val="[Spt-BH.xls][Spt-BH.xls]B__2110"/>
      <sheetName val="[Spt-BH.xls][Spt-BH.xls]_Sp_684"/>
      <sheetName val="[Spt-BH.xls][Spt-BH.xls]B__2111"/>
      <sheetName val="[Spt-BH.xls][Spt-BH.xls]B__2112"/>
      <sheetName val="[Spt-BH.xls][Spt-BH.xls]B__2113"/>
      <sheetName val="[Spt-BH.xls]B____x005f_x0004______159"/>
      <sheetName val="[Spt-BH.xls]B___x005f_x0000__x000_159"/>
      <sheetName val="[Spt-BH.xls][Spt-BH.xls]B__2114"/>
      <sheetName val="[Spt-BH.xls][Spt-BH.xls]B__2108"/>
      <sheetName val="[Spt-BH.xls][Spt-BH.xls]_Sp_683"/>
      <sheetName val="[Spt-BH.xls][Spt-BH_xls]B__1384"/>
      <sheetName val="[Spt-BH.xls][Spt-BH_xls]B__1385"/>
      <sheetName val="[Spt-BH.xls][Spt-BH_xls]B__1386"/>
      <sheetName val="[Spt-BH.xls][Spt-BH_xls]B__1387"/>
      <sheetName val="[Spt-BH.xls][Spt-BH_xls]_Sp_391"/>
      <sheetName val="[Spt-BH.xls][Spt-BH_xls]B__1388"/>
      <sheetName val="[Spt-BH.xls][Spt-BH_xls]B__1389"/>
      <sheetName val="[Spt-BH.xls][Spt-BH_xls]B__1390"/>
      <sheetName val="[Spt-BH.xls][Spt-BH_xls]_Sp_392"/>
      <sheetName val="[Spt-BH.xls][Spt-BH_xls]B__1391"/>
      <sheetName val="[Spt-BH.xls][Spt-BH_xls]B__1392"/>
      <sheetName val="[Spt-BH.xls][Spt-BH_xls]B__1393"/>
      <sheetName val="[Spt-BH.xls][Spt-BH_xls]B__1394"/>
      <sheetName val="[Spt-BH.xls][Spt-BH_xls]_Sp_393"/>
      <sheetName val="[Spt-BH.xls][Spt-BH.xls]_Sp_673"/>
      <sheetName val="[Spt-BH.xls][Spt-BH.xls]B__2082"/>
      <sheetName val="[Spt-BH.xls][Spt-BH.xls]B__2083"/>
      <sheetName val="[Spt-BH.xls][Spt-BH.xls]_Sp_675"/>
      <sheetName val="[Spt-BH.xls][Spt-BH.xls]B__2084"/>
      <sheetName val="[Spt-BH.xls][Spt-BH.xls]B__2085"/>
      <sheetName val="[Spt-BH.xls][Spt-BH.xls]B__2086"/>
      <sheetName val="[Spt-BH.xls][Spt-BH.xls]B__2087"/>
      <sheetName val="[Spt-BH.xls][Spt-BH.xls]_Sp_674"/>
      <sheetName val="[Spt-BH.xls][Spt-BH.xls]B__2089"/>
      <sheetName val="[Spt-BH.xls][Spt-BH.xls]B__2090"/>
      <sheetName val="[Spt-BH.xls][Spt-BH.xls]_Sp_677"/>
      <sheetName val="[Spt-BH.xls][Spt-BH.xls]B__2091"/>
      <sheetName val="[Spt-BH.xls][Spt-BH.xls]B__2092"/>
      <sheetName val="[Spt-BH.xls][Spt-BH.xls]B__2093"/>
      <sheetName val="[Spt-BH.xls]B____x005f_x0004______157"/>
      <sheetName val="[Spt-BH.xls]B___x005f_x0000__x000_157"/>
      <sheetName val="[Spt-BH.xls][Spt-BH.xls]B__2094"/>
      <sheetName val="[Spt-BH.xls][Spt-BH.xls]B__2088"/>
      <sheetName val="[Spt-BH.xls][Spt-BH.xls]_Sp_676"/>
      <sheetName val="[Spt-BH.xls][Spt-BH_xls]B__1362"/>
      <sheetName val="[Spt-BH.xls][Spt-BH_xls]B__1363"/>
      <sheetName val="[Spt-BH.xls][Spt-BH_xls]B__1364"/>
      <sheetName val="[Spt-BH.xls][Spt-BH_xls]B__1365"/>
      <sheetName val="[Spt-BH.xls][Spt-BH_xls]_Sp_385"/>
      <sheetName val="[Spt-BH.xls][Spt-BH_xls]B__1366"/>
      <sheetName val="[Spt-BH.xls][Spt-BH_xls]B__1367"/>
      <sheetName val="[Spt-BH.xls][Spt-BH_xls]B__1368"/>
      <sheetName val="[Spt-BH.xls][Spt-BH_xls]_Sp_386"/>
      <sheetName val="[Spt-BH.xls][Spt-BH_xls]B__1369"/>
      <sheetName val="[Spt-BH.xls][Spt-BH_xls]B__1370"/>
      <sheetName val="[Spt-BH.xls][Spt-BH_xls]B__1371"/>
      <sheetName val="[Spt-BH.xls][Spt-BH_xls]B__1372"/>
      <sheetName val="[Spt-BH.xls][Spt-BH_xls]_Sp_387"/>
      <sheetName val="[Spt-BH.xls][Spt-BH.xls]B__2095"/>
      <sheetName val="[Spt-BH.xls][Spt-BH.xls]B__2096"/>
      <sheetName val="[Spt-BH.xls][Spt-BH.xls]B__2097"/>
      <sheetName val="[Spt-BH.xls][Spt-BH.xls]B__2098"/>
      <sheetName val="[Spt-BH.xls][Spt-BH.xls]B__2099"/>
      <sheetName val="[Spt-BH.xls][Spt-BH.xls]_Sp_678"/>
      <sheetName val="[Spt-BH.xls][Spt-BH.xls]B__2100"/>
      <sheetName val="[Spt-BH.xls][Spt-BH.xls]_Sp_679"/>
      <sheetName val="[Spt-BH.xls]B____x005f_x0004______158"/>
      <sheetName val="[Spt-BH.xls]B___x005f_x0000__x000_158"/>
      <sheetName val="[Spt-BH.xls][Spt-BH.xls]B__2101"/>
      <sheetName val="[Spt-BH.xls][Spt-BH_xls]B__1373"/>
      <sheetName val="[Spt-BH.xls][Spt-BH_xls]B__1374"/>
      <sheetName val="[Spt-BH.xls][Spt-BH_xls]B__1375"/>
      <sheetName val="[Spt-BH.xls][Spt-BH_xls]B__1376"/>
      <sheetName val="[Spt-BH.xls][Spt-BH_xls]_Sp_388"/>
      <sheetName val="[Spt-BH.xls][Spt-BH_xls]B__1377"/>
      <sheetName val="[Spt-BH.xls][Spt-BH_xls]B__1378"/>
      <sheetName val="[Spt-BH.xls][Spt-BH_xls]B__1379"/>
      <sheetName val="[Spt-BH.xls][Spt-BH_xls]_Sp_389"/>
      <sheetName val="[Spt-BH.xls][Spt-BH_xls]B__1380"/>
      <sheetName val="[Spt-BH.xls][Spt-BH_xls]B__1381"/>
      <sheetName val="[Spt-BH.xls][Spt-BH_xls]B__1382"/>
      <sheetName val="[Spt-BH.xls][Spt-BH_xls]B__1383"/>
      <sheetName val="[Spt-BH.xls][Spt-BH_xls]_Sp_390"/>
      <sheetName val="[Spt-BH.xls][Spt-BH.xls]_Sp_686"/>
      <sheetName val="[Spt-BH.xls][Spt-BH.xls]B__2121"/>
      <sheetName val="[Spt-BH.xls][Spt-BH.xls]B__2122"/>
      <sheetName val="[Spt-BH.xls][Spt-BH.xls]_Sp_688"/>
      <sheetName val="[Spt-BH.xls][Spt-BH.xls]B__2123"/>
      <sheetName val="[Spt-BH.xls][Spt-BH.xls]B__2124"/>
      <sheetName val="[Spt-BH.xls][Spt-BH.xls]B__2125"/>
      <sheetName val="[Spt-BH.xls][Spt-BH.xls]B__2126"/>
      <sheetName val="[Spt-BH.xls][Spt-BH.xls]_Sp_687"/>
      <sheetName val="[Spt-BH.xls][Spt-BH.xls]B__2115"/>
      <sheetName val="[Spt-BH.xls][Spt-BH.xls]B__2116"/>
      <sheetName val="[Spt-BH.xls][Spt-BH.xls]B__2117"/>
      <sheetName val="[Spt-BH.xls][Spt-BH.xls]B__2118"/>
      <sheetName val="[Spt-BH.xls][Spt-BH.xls]B__2119"/>
      <sheetName val="[Spt-BH.xls][Spt-BH.xls]B__2120"/>
      <sheetName val="[Spt-BH.xls][Spt-BH.xls]_Sp_685"/>
      <sheetName val="05. BUDGET"/>
      <sheetName val="STD.RATE.ANALYSIS"/>
      <sheetName val="AK-Offertstammblatt"/>
      <sheetName val="L040"/>
      <sheetName val="rdamdata"/>
      <sheetName val="[Spt-BH.xls]B____x005f_x0004______160"/>
      <sheetName val="[Spt-BH.xls]B___x005f_x0000__x000_160"/>
      <sheetName val="[Spt-BH.xls]B____x005f_x0004______161"/>
      <sheetName val="[Spt-BH.xls]B___x005f_x0000__x000_161"/>
      <sheetName val="[Spt-BH.xls]B____x005f_x0004______164"/>
      <sheetName val="[Spt-BH.xls]B___x005f_x0000__x000_164"/>
      <sheetName val="sh-10 (misc)"/>
      <sheetName val="[Spt-BH.xls]B____x005f_x0004______162"/>
      <sheetName val="[Spt-BH.xls]B___x005f_x0000__x000_162"/>
      <sheetName val="[Spt-BH.xls]B____x005f_x0004______163"/>
      <sheetName val="[Spt-BH.xls]B___x005f_x0000__x000_163"/>
      <sheetName val="[Spt-BH.xls]B____x005f_x0004______170"/>
      <sheetName val="[Spt-BH.xls]B___x005f_x0000__x000_170"/>
      <sheetName val="[Spt-BH.xls]B____x005f_x0004______168"/>
      <sheetName val="[Spt-BH.xls]B___x005f_x0000__x000_168"/>
      <sheetName val="[Spt-BH.xls]B____x005f_x0004______167"/>
      <sheetName val="[Spt-BH.xls]B___x005f_x0000__x000_167"/>
      <sheetName val="[Spt-BH.xls]B____x005f_x0004______165"/>
      <sheetName val="[Spt-BH.xls]B___x005f_x0000__x000_165"/>
      <sheetName val="[Spt-BH.xls]B____x005f_x0004______166"/>
      <sheetName val="[Spt-BH.xls]B___x005f_x0000__x000_166"/>
      <sheetName val="[Spt-BH.xls]B____x005f_x0004______169"/>
      <sheetName val="[Spt-BH.xls]B___x005f_x0000__x000_169"/>
      <sheetName val="[Spt-BH.xls]B____x005f_x0004______177"/>
      <sheetName val="[Spt-BH.xls]B___x005f_x0000__x000_177"/>
      <sheetName val="[Spt-BH.xls]B____x005f_x0004______171"/>
      <sheetName val="[Spt-BH.xls]B___x005f_x0000__x000_171"/>
      <sheetName val="[Spt-BH.xls]B____x005f_x0004______174"/>
      <sheetName val="[Spt-BH.xls]B___x005f_x0000__x000_174"/>
      <sheetName val="[Spt-BH.xls]B____x005f_x0004______172"/>
      <sheetName val="[Spt-BH.xls]B___x005f_x0000__x000_172"/>
      <sheetName val="[Spt-BH.xls]B____x005f_x0004______173"/>
      <sheetName val="[Spt-BH.xls]B___x005f_x0000__x000_173"/>
      <sheetName val="[Spt-BH.xls]B____x005f_x0004______175"/>
      <sheetName val="[Spt-BH.xls]B___x005f_x0000__x000_175"/>
      <sheetName val="[Spt-BH.xls]B____x005f_x0004______176"/>
      <sheetName val="[Spt-BH.xls]B___x005f_x0000__x000_176"/>
      <sheetName val="[Spt-BH.xls]B____x005f_x0004______179"/>
      <sheetName val="[Spt-BH.xls]B___x005f_x0000__x000_179"/>
      <sheetName val="[Spt-BH.xls]B____x005f_x0004______178"/>
      <sheetName val="[Spt-BH.xls]B___x005f_x0000__x000_178"/>
      <sheetName val="[Spt-BH.xls]B____x005f_x0004______180"/>
      <sheetName val="[Spt-BH.xls]B___x005f_x0000__x000_180"/>
      <sheetName val="[Spt-BH.xls]B____x005f_x0004______181"/>
      <sheetName val="[Spt-BH.xls]B___x005f_x0000__x000_181"/>
      <sheetName val="[Spt-BH.xls]B____x005f_x0004______182"/>
      <sheetName val="[Spt-BH.xls]B___x005f_x0000__x000_182"/>
      <sheetName val="[Spt-BH.xls]B____x005f_x0004______183"/>
      <sheetName val="[Spt-BH.xls]B___x005f_x0000__x000_183"/>
      <sheetName val="[Spt-BH.xls]B____x005f_x0004______184"/>
      <sheetName val="[Spt-BH.xls]B___x005f_x0000__x000_184"/>
      <sheetName val="[Spt-BH.xls]B____x005f_x0004______185"/>
      <sheetName val="[Spt-BH.xls]B___x005f_x0000__x000_185"/>
      <sheetName val="[Spt-BH.xls]B____x005f_x0004______186"/>
      <sheetName val="[Spt-BH.xls]B___x005f_x0000__x000_186"/>
      <sheetName val="[Spt-BH.xls]B____x005f_x0004______187"/>
      <sheetName val="[Spt-BH.xls]B___x005f_x0000__x000_187"/>
      <sheetName val="[Spt-BH.xls]B____x005f_x0004______188"/>
      <sheetName val="[Spt-BH.xls]B___x005f_x0000__x000_188"/>
      <sheetName val="[Spt-BH.xls]B____x005f_x0004______199"/>
      <sheetName val="[Spt-BH.xls]B___x005f_x0000__x000_199"/>
      <sheetName val="[Spt-BH.xls]B____x005f_x0004______189"/>
      <sheetName val="[Spt-BH.xls]B___x005f_x0000__x000_189"/>
      <sheetName val="[Spt-BH.xls]B____x005f_x0004______191"/>
      <sheetName val="[Spt-BH.xls]B___x005f_x0000__x000_191"/>
      <sheetName val="[Spt-BH.xls]B____x005f_x0004______190"/>
      <sheetName val="[Spt-BH.xls]B___x005f_x0000__x000_190"/>
      <sheetName val="[Spt-BH.xls]B____x005f_x0004______192"/>
      <sheetName val="[Spt-BH.xls]B___x005f_x0000__x000_192"/>
      <sheetName val="[Spt-BH.xls]B____x005f_x0004______193"/>
      <sheetName val="[Spt-BH.xls]B___x005f_x0000__x000_193"/>
      <sheetName val="[Spt-BH.xls]B____x005f_x0004______195"/>
      <sheetName val="[Spt-BH.xls]B___x005f_x0000__x000_195"/>
      <sheetName val="[Spt-BH.xls]B____x005f_x0004______194"/>
      <sheetName val="[Spt-BH.xls]B___x005f_x0000__x000_194"/>
      <sheetName val="[Spt-BH.xls]B____x005f_x0004______196"/>
      <sheetName val="[Spt-BH.xls]B___x005f_x0000__x000_196"/>
      <sheetName val="[Spt-BH.xls]B____x005f_x0004______197"/>
      <sheetName val="[Spt-BH.xls]B___x005f_x0000__x000_197"/>
      <sheetName val="[Spt-BH.xls]B____x005f_x0004______198"/>
      <sheetName val="[Spt-BH.xls]B___x005f_x0000__x000_198"/>
      <sheetName val="[Spt-BH.xls]B____x005f_x0004______200"/>
      <sheetName val="[Spt-BH.xls]B___x005f_x0000__x000_200"/>
      <sheetName val="[Spt-BH.xls]B____x005f_x0004______201"/>
      <sheetName val="[Spt-BH.xls]B___x005f_x0000__x000_201"/>
      <sheetName val="[Spt-BH.xls]B____x005f_x0004______203"/>
      <sheetName val="[Spt-BH.xls]B___x005f_x0000__x000_203"/>
      <sheetName val="[Spt-BH.xls]B____x005f_x0004______202"/>
      <sheetName val="[Spt-BH.xls]B___x005f_x0000__x000_202"/>
      <sheetName val="CEMENT PSP"/>
      <sheetName val="A(Rev.3)"/>
      <sheetName val="[Spt-BH.xls]B____x005f_x0004______204"/>
      <sheetName val="[Spt-BH.xls]B___x005f_x0000__x000_204"/>
      <sheetName val="[Spt-BH.xls]B____x005f_x0004______206"/>
      <sheetName val="[Spt-BH.xls]B___x005f_x0000__x000_206"/>
      <sheetName val="[Spt-BH.xls]B____x005f_x0004______205"/>
      <sheetName val="[Spt-BH.xls]B___x005f_x0000__x000_205"/>
      <sheetName val="Package-2"/>
      <sheetName val="Format 1.9 Ph-1"/>
      <sheetName val="VS"/>
      <sheetName val="starter"/>
      <sheetName val="[Spt-BH.xls][Spt-BH.xls]_Sp_689"/>
      <sheetName val="[Spt-BH.xls][Spt-BH.xls]B__2127"/>
      <sheetName val="[Spt-BH.xls][Spt-BH.xls]B__2128"/>
      <sheetName val="[Spt-BH.xls][Spt-BH.xls]_Sp_691"/>
      <sheetName val="[Spt-BH.xls][Spt-BH.xls]B__2129"/>
      <sheetName val="[Spt-BH.xls][Spt-BH.xls]B__2130"/>
      <sheetName val="[Spt-BH.xls][Spt-BH.xls]B__2131"/>
      <sheetName val="[Spt-BH.xls][Spt-BH.xls]B__2132"/>
      <sheetName val="[Spt-BH.xls][Spt-BH.xls]_Sp_690"/>
      <sheetName val="[Spt-BH.xls][Spt-BH.xls]B__2134"/>
      <sheetName val="[Spt-BH.xls][Spt-BH.xls]B__2135"/>
      <sheetName val="[Spt-BH.xls][Spt-BH.xls]_Sp_693"/>
      <sheetName val="[Spt-BH.xls][Spt-BH.xls]B__2136"/>
      <sheetName val="[Spt-BH.xls][Spt-BH.xls]B__2137"/>
      <sheetName val="[Spt-BH.xls][Spt-BH.xls]B__2138"/>
      <sheetName val="[Spt-BH.xls][Spt-BH.xls]B__2139"/>
      <sheetName val="[Spt-BH.xls][Spt-BH.xls]B__2133"/>
      <sheetName val="[Spt-BH.xls][Spt-BH.xls]_Sp_692"/>
      <sheetName val="[Spt-BH.xls][Spt-BH_xls]B__1395"/>
      <sheetName val="[Spt-BH.xls][Spt-BH_xls]B__1396"/>
      <sheetName val="[Spt-BH.xls][Spt-BH_xls]B__1397"/>
      <sheetName val="[Spt-BH.xls][Spt-BH_xls]B__1398"/>
      <sheetName val="[Spt-BH.xls][Spt-BH_xls]_Sp_394"/>
      <sheetName val="[Spt-BH.xls][Spt-BH_xls]B__1399"/>
      <sheetName val="[Spt-BH.xls][Spt-BH_xls]B__1400"/>
      <sheetName val="[Spt-BH.xls][Spt-BH_xls]B__1401"/>
      <sheetName val="[Spt-BH.xls][Spt-BH_xls]_Sp_395"/>
      <sheetName val="[Spt-BH.xls][Spt-BH_xls]B__1402"/>
      <sheetName val="[Spt-BH.xls][Spt-BH_xls]B__1403"/>
      <sheetName val="[Spt-BH.xls][Spt-BH_xls]B__1404"/>
      <sheetName val="[Spt-BH.xls][Spt-BH_xls]B__1405"/>
      <sheetName val="[Spt-BH.xls][Spt-BH_xls]_Sp_396"/>
      <sheetName val="[Spt-BH.xls][Spt-BH.xls]_Sp_694"/>
      <sheetName val="[Spt-BH.xls][Spt-BH.xls]B__2140"/>
      <sheetName val="[Spt-BH.xls][Spt-BH.xls]B__2141"/>
      <sheetName val="[Spt-BH.xls][Spt-BH.xls]_Sp_696"/>
      <sheetName val="[Spt-BH.xls][Spt-BH.xls]B__2142"/>
      <sheetName val="[Spt-BH.xls][Spt-BH.xls]B__2143"/>
      <sheetName val="[Spt-BH.xls][Spt-BH.xls]B__2144"/>
      <sheetName val="[Spt-BH.xls][Spt-BH.xls]B__2145"/>
      <sheetName val="[Spt-BH.xls][Spt-BH.xls]_Sp_695"/>
      <sheetName val="[Spt-BH.xls][Spt-BH.xls]B__2200"/>
      <sheetName val="[Spt-BH.xls][Spt-BH.xls]B__2201"/>
      <sheetName val="[Spt-BH.xls][Spt-BH.xls]B__2146"/>
      <sheetName val="[Spt-BH.xls][Spt-BH.xls]B__2147"/>
      <sheetName val="[Spt-BH.xls][Spt-BH.xls]_Sp_718"/>
      <sheetName val="[Spt-BH.xls][Spt-BH.xls]B__2202"/>
      <sheetName val="[Spt-BH.xls][Spt-BH.xls]B__2203"/>
      <sheetName val="[Spt-BH.xls][Spt-BH.xls]B__2204"/>
      <sheetName val="[Spt-BH.xls][Spt-BH.xls]_Sp_697"/>
      <sheetName val="[Spt-BH.xls][Spt-BH.xls]_Sp_717"/>
      <sheetName val="[Spt-BH.xls][Spt-BH.xls]B__2148"/>
      <sheetName val="[Spt-BH.xls][Spt-BH.xls]B__2149"/>
      <sheetName val="[Spt-BH.xls][Spt-BH.xls]B__2150"/>
      <sheetName val="[Spt-BH.xls]B____x005f_x0004______207"/>
      <sheetName val="[Spt-BH.xls]B___x005f_x0000__x000_207"/>
      <sheetName val="[Spt-BH.xls][Spt-BH.xls]B__2205"/>
      <sheetName val="[Spt-BH.xls][Spt-BH.xls]B__2151"/>
      <sheetName val="[Spt-BH.xls]B____x005f_x0004______210"/>
      <sheetName val="[Spt-BH.xls]B___x005f_x0000__x000_210"/>
      <sheetName val="[Spt-BH.xls]B____x005f_x0004______208"/>
      <sheetName val="[Spt-BH.xls]B___x005f_x0000__x000_208"/>
      <sheetName val="[Spt-BH.xls]B____x005f_x0004______209"/>
      <sheetName val="[Spt-BH.xls]B___x005f_x0000__x000_209"/>
      <sheetName val="[Spt-BH.xls]B____x005f_x0004______211"/>
      <sheetName val="[Spt-BH.xls]B___x005f_x0000__x000_211"/>
      <sheetName val="[Spt-BH.xls]B____x005f_x0004______213"/>
      <sheetName val="[Spt-BH.xls]B___x005f_x0000__x000_213"/>
      <sheetName val="[Spt-BH.xls]B____x005f_x0004______212"/>
      <sheetName val="[Spt-BH.xls]B___x005f_x0000__x000_212"/>
      <sheetName val="[Spt-BH.xls][Spt-BH.xls]B__2152"/>
      <sheetName val="[Spt-BH.xls]B____x005f_x0004______214"/>
      <sheetName val="[Spt-BH.xls]B___x005f_x0000__x000_214"/>
      <sheetName val="[Spt-BH.xls][Spt-BH.xls]B__2153"/>
      <sheetName val="[Spt-BH.xls][Spt-BH_xls]B__1406"/>
      <sheetName val="[Spt-BH.xls][Spt-BH_xls]B__1407"/>
      <sheetName val="[Spt-BH.xls][Spt-BH_xls]B__1408"/>
      <sheetName val="[Spt-BH.xls][Spt-BH_xls]B__1409"/>
      <sheetName val="[Spt-BH.xls][Spt-BH_xls]_Sp_397"/>
      <sheetName val="[Spt-BH.xls][Spt-BH_xls]B__1410"/>
      <sheetName val="[Spt-BH.xls][Spt-BH_xls]B__1411"/>
      <sheetName val="[Spt-BH.xls][Spt-BH_xls]B__1412"/>
      <sheetName val="[Spt-BH.xls][Spt-BH_xls]_Sp_398"/>
      <sheetName val="[Spt-BH.xls][Spt-BH_xls]B__1413"/>
      <sheetName val="[Spt-BH.xls][Spt-BH_xls]B__1414"/>
      <sheetName val="[Spt-BH.xls][Spt-BH_xls]B__1415"/>
      <sheetName val="[Spt-BH.xls][Spt-BH_xls]B__1416"/>
      <sheetName val="[Spt-BH.xls][Spt-BH_xls]_Sp_399"/>
      <sheetName val="[Spt-BH.xls][Spt-BH.xls]B__2161"/>
      <sheetName val="[Spt-BH.xls][Spt-BH.xls]B__2162"/>
      <sheetName val="[Spt-BH.xls][Spt-BH.xls]_Sp_701"/>
      <sheetName val="[Spt-BH.xls][Spt-BH.xls]B__2163"/>
      <sheetName val="[Spt-BH.xls][Spt-BH.xls]B__2164"/>
      <sheetName val="[Spt-BH.xls][Spt-BH.xls]B__2165"/>
      <sheetName val="[Spt-BH.xls][Spt-BH.xls]B__2154"/>
      <sheetName val="[Spt-BH.xls][Spt-BH.xls]B__2155"/>
      <sheetName val="[Spt-BH.xls][Spt-BH.xls]B__2156"/>
      <sheetName val="[Spt-BH.xls][Spt-BH.xls]_Sp_699"/>
      <sheetName val="[Spt-BH.xls][Spt-BH.xls]B__2157"/>
      <sheetName val="[Spt-BH.xls][Spt-BH.xls]B__2158"/>
      <sheetName val="[Spt-BH.xls][Spt-BH.xls]B__2159"/>
      <sheetName val="[Spt-BH.xls]B____x005f_x0004______215"/>
      <sheetName val="[Spt-BH.xls]B___x005f_x0000__x000_215"/>
      <sheetName val="[Spt-BH.xls][Spt-BH.xls]B__2166"/>
      <sheetName val="[Spt-BH.xls][Spt-BH.xls]_Sp_698"/>
      <sheetName val="[Spt-BH.xls][Spt-BH.xls]B__2160"/>
      <sheetName val="[Spt-BH.xls][Spt-BH.xls]_Sp_700"/>
      <sheetName val="[Spt-BH.xls][Spt-BH_xls]B__1417"/>
      <sheetName val="[Spt-BH.xls][Spt-BH_xls]B__1418"/>
      <sheetName val="[Spt-BH.xls][Spt-BH_xls]B__1419"/>
      <sheetName val="[Spt-BH.xls][Spt-BH_xls]B__1420"/>
      <sheetName val="[Spt-BH.xls][Spt-BH_xls]_Sp_400"/>
      <sheetName val="[Spt-BH.xls][Spt-BH_xls]B__1421"/>
      <sheetName val="[Spt-BH.xls][Spt-BH_xls]B__1422"/>
      <sheetName val="[Spt-BH.xls][Spt-BH_xls]B__1423"/>
      <sheetName val="[Spt-BH.xls][Spt-BH_xls]_Sp_401"/>
      <sheetName val="[Spt-BH.xls][Spt-BH_xls]B__1424"/>
      <sheetName val="[Spt-BH.xls][Spt-BH_xls]B__1425"/>
      <sheetName val="[Spt-BH.xls][Spt-BH_xls]B__1426"/>
      <sheetName val="[Spt-BH.xls][Spt-BH_xls]B__1427"/>
      <sheetName val="[Spt-BH.xls][Spt-BH_xls]_Sp_402"/>
      <sheetName val="[Spt-BH.xls][Spt-BH.xls]_Sp_702"/>
      <sheetName val="[Spt-BH.xls][Spt-BH.xls]B__2167"/>
      <sheetName val="[Spt-BH.xls][Spt-BH.xls]B__2168"/>
      <sheetName val="[Spt-BH.xls][Spt-BH.xls]_Sp_704"/>
      <sheetName val="[Spt-BH.xls][Spt-BH.xls]B__2169"/>
      <sheetName val="[Spt-BH.xls][Spt-BH.xls]B__2170"/>
      <sheetName val="[Spt-BH.xls][Spt-BH.xls]B__2171"/>
      <sheetName val="[Spt-BH.xls][Spt-BH.xls]B__2172"/>
      <sheetName val="[Spt-BH.xls][Spt-BH.xls]_Sp_703"/>
      <sheetName val="[Spt-BH.xls][Spt-BH.xls]B__2174"/>
      <sheetName val="[Spt-BH.xls][Spt-BH.xls]B__2175"/>
      <sheetName val="[Spt-BH.xls][Spt-BH.xls]_Sp_706"/>
      <sheetName val="[Spt-BH.xls][Spt-BH.xls]B__2176"/>
      <sheetName val="[Spt-BH.xls][Spt-BH.xls]B__2177"/>
      <sheetName val="[Spt-BH.xls][Spt-BH.xls]B__2178"/>
      <sheetName val="[Spt-BH.xls]B____x005f_x0004______216"/>
      <sheetName val="[Spt-BH.xls]B___x005f_x0000__x000_216"/>
      <sheetName val="[Spt-BH.xls][Spt-BH.xls]B__2179"/>
      <sheetName val="[Spt-BH.xls][Spt-BH.xls]B__2173"/>
      <sheetName val="[Spt-BH.xls][Spt-BH.xls]_Sp_705"/>
      <sheetName val="[Spt-BH.xls][Spt-BH_xls]B__1428"/>
      <sheetName val="[Spt-BH.xls][Spt-BH_xls]B__1429"/>
      <sheetName val="[Spt-BH.xls][Spt-BH_xls]B__1430"/>
      <sheetName val="[Spt-BH.xls][Spt-BH_xls]B__1431"/>
      <sheetName val="[Spt-BH.xls][Spt-BH_xls]_Sp_403"/>
      <sheetName val="[Spt-BH.xls][Spt-BH_xls]B__1432"/>
      <sheetName val="[Spt-BH.xls][Spt-BH_xls]B__1433"/>
      <sheetName val="[Spt-BH.xls][Spt-BH_xls]B__1434"/>
      <sheetName val="[Spt-BH.xls][Spt-BH_xls]_Sp_404"/>
      <sheetName val="[Spt-BH.xls][Spt-BH_xls]B__1435"/>
      <sheetName val="[Spt-BH.xls][Spt-BH_xls]B__1436"/>
      <sheetName val="[Spt-BH.xls][Spt-BH_xls]B__1437"/>
      <sheetName val="[Spt-BH.xls][Spt-BH_xls]B__1438"/>
      <sheetName val="[Spt-BH.xls][Spt-BH_xls]_Sp_405"/>
      <sheetName val="[Spt-BH.xls][Spt-BH.xls]B__2180"/>
      <sheetName val="[Spt-BH.xls][Spt-BH.xls]B__2181"/>
      <sheetName val="[Spt-BH.xls][Spt-BH.xls]_Sp_709"/>
      <sheetName val="[Spt-BH.xls][Spt-BH.xls]B__2182"/>
      <sheetName val="[Spt-BH.xls][Spt-BH.xls]B__2183"/>
      <sheetName val="[Spt-BH.xls][Spt-BH.xls]B__2184"/>
      <sheetName val="[Spt-BH.xls][Spt-BH.xls]_Sp_707"/>
      <sheetName val="[Spt-BH.xls][Spt-BH.xls]B__2185"/>
      <sheetName val="[Spt-BH.xls][Spt-BH.xls]_Sp_708"/>
      <sheetName val="[Spt-BH.xls][Spt-BH.xls]B__2187"/>
      <sheetName val="[Spt-BH.xls][Spt-BH.xls]B__2188"/>
      <sheetName val="[Spt-BH.xls][Spt-BH.xls]_Sp_711"/>
      <sheetName val="[Spt-BH.xls][Spt-BH.xls]B__2189"/>
      <sheetName val="[Spt-BH.xls][Spt-BH.xls]B__2190"/>
      <sheetName val="[Spt-BH.xls][Spt-BH.xls]B__2191"/>
      <sheetName val="[Spt-BH.xls]B____x005f_x0004______217"/>
      <sheetName val="[Spt-BH.xls]B___x005f_x0000__x000_217"/>
      <sheetName val="[Spt-BH.xls][Spt-BH.xls]B__2192"/>
      <sheetName val="[Spt-BH.xls][Spt-BH.xls]B__2186"/>
      <sheetName val="[Spt-BH.xls][Spt-BH.xls]_Sp_710"/>
      <sheetName val="[Spt-BH.xls][Spt-BH_xls]B__1439"/>
      <sheetName val="[Spt-BH.xls][Spt-BH_xls]B__1440"/>
      <sheetName val="[Spt-BH.xls][Spt-BH_xls]B__1441"/>
      <sheetName val="[Spt-BH.xls][Spt-BH_xls]B__1442"/>
      <sheetName val="[Spt-BH.xls][Spt-BH_xls]_Sp_406"/>
      <sheetName val="[Spt-BH.xls][Spt-BH_xls]B__1443"/>
      <sheetName val="[Spt-BH.xls][Spt-BH_xls]B__1444"/>
      <sheetName val="[Spt-BH.xls][Spt-BH_xls]B__1445"/>
      <sheetName val="[Spt-BH.xls][Spt-BH_xls]_Sp_407"/>
      <sheetName val="[Spt-BH.xls][Spt-BH_xls]B__1446"/>
      <sheetName val="[Spt-BH.xls][Spt-BH_xls]B__1447"/>
      <sheetName val="[Spt-BH.xls][Spt-BH_xls]B__1448"/>
      <sheetName val="[Spt-BH.xls][Spt-BH_xls]B__1449"/>
      <sheetName val="[Spt-BH.xls][Spt-BH_xls]_Sp_408"/>
      <sheetName val="[Spt-BH.xls][Spt-BH.xls]B__2194"/>
      <sheetName val="[Spt-BH.xls][Spt-BH.xls]B__2195"/>
      <sheetName val="[Spt-BH.xls][Spt-BH.xls]_Sp_713"/>
      <sheetName val="[Spt-BH.xls][Spt-BH.xls]B__2196"/>
      <sheetName val="[Spt-BH.xls][Spt-BH.xls]B__2197"/>
      <sheetName val="[Spt-BH.xls][Spt-BH.xls]B__2198"/>
      <sheetName val="[Spt-BH.xls]B____x005f_x0004______218"/>
      <sheetName val="[Spt-BH.xls]B___x005f_x0000__x000_218"/>
      <sheetName val="[Spt-BH.xls][Spt-BH.xls]B__2199"/>
      <sheetName val="[Spt-BH.xls][Spt-BH.xls]B__2193"/>
      <sheetName val="[Spt-BH.xls][Spt-BH.xls]_Sp_712"/>
      <sheetName val="[Spt-BH.xls][Spt-BH_xls]B__1450"/>
      <sheetName val="[Spt-BH.xls][Spt-BH_xls]B__1451"/>
      <sheetName val="[Spt-BH.xls][Spt-BH_xls]B__1452"/>
      <sheetName val="[Spt-BH.xls][Spt-BH_xls]B__1453"/>
      <sheetName val="[Spt-BH.xls][Spt-BH_xls]_Sp_409"/>
      <sheetName val="[Spt-BH.xls][Spt-BH_xls]B__1454"/>
      <sheetName val="[Spt-BH.xls][Spt-BH_xls]B__1455"/>
      <sheetName val="[Spt-BH.xls][Spt-BH_xls]B__1456"/>
      <sheetName val="[Spt-BH.xls][Spt-BH_xls]_Sp_410"/>
      <sheetName val="[Spt-BH.xls][Spt-BH_xls]B__1457"/>
      <sheetName val="[Spt-BH.xls][Spt-BH_xls]B__1458"/>
      <sheetName val="[Spt-BH.xls][Spt-BH_xls]B__1459"/>
      <sheetName val="[Spt-BH.xls][Spt-BH_xls]B__1460"/>
      <sheetName val="[Spt-BH.xls][Spt-BH_xls]_Sp_411"/>
      <sheetName val="[Spt-BH.xls][Spt-BH.xls]_Sp_714"/>
      <sheetName val="[Spt-BH.xls][Spt-BH.xls]_Sp_715"/>
      <sheetName val="[Spt-BH.xls][Spt-BH.xls]_Sp_716"/>
    </sheetNames>
    <sheetDataSet>
      <sheetData sheetId="0">
        <row r="1">
          <cell r="J1">
            <v>1.7453292519943295E-2</v>
          </cell>
        </row>
      </sheetData>
      <sheetData sheetId="1">
        <row r="1">
          <cell r="J1">
            <v>1.7453292519943295E-2</v>
          </cell>
        </row>
      </sheetData>
      <sheetData sheetId="2">
        <row r="1">
          <cell r="J1">
            <v>1.7453292519943295E-2</v>
          </cell>
        </row>
      </sheetData>
      <sheetData sheetId="3" refreshError="1">
        <row r="1">
          <cell r="J1">
            <v>1.7453292519943295E-2</v>
          </cell>
        </row>
        <row r="2">
          <cell r="B2">
            <v>1</v>
          </cell>
          <cell r="C2">
            <v>25</v>
          </cell>
          <cell r="E2">
            <v>1</v>
          </cell>
          <cell r="F2">
            <v>1.72</v>
          </cell>
        </row>
        <row r="3">
          <cell r="B3">
            <v>2</v>
          </cell>
          <cell r="C3">
            <v>25</v>
          </cell>
          <cell r="E3">
            <v>2</v>
          </cell>
          <cell r="F3">
            <v>1.55</v>
          </cell>
        </row>
        <row r="4">
          <cell r="B4">
            <v>3</v>
          </cell>
          <cell r="C4">
            <v>25</v>
          </cell>
          <cell r="E4">
            <v>3</v>
          </cell>
          <cell r="F4">
            <v>1.4</v>
          </cell>
        </row>
        <row r="5">
          <cell r="B5">
            <v>4</v>
          </cell>
          <cell r="C5">
            <v>25</v>
          </cell>
          <cell r="E5">
            <v>4</v>
          </cell>
          <cell r="F5">
            <v>1.28</v>
          </cell>
        </row>
        <row r="6">
          <cell r="B6">
            <v>5</v>
          </cell>
          <cell r="C6">
            <v>28</v>
          </cell>
          <cell r="E6">
            <v>5</v>
          </cell>
          <cell r="F6">
            <v>1.2</v>
          </cell>
        </row>
        <row r="7">
          <cell r="B7">
            <v>6</v>
          </cell>
          <cell r="C7">
            <v>28.5</v>
          </cell>
          <cell r="E7">
            <v>6</v>
          </cell>
          <cell r="F7">
            <v>1.1200000000000001</v>
          </cell>
        </row>
        <row r="8">
          <cell r="B8">
            <v>7</v>
          </cell>
          <cell r="C8">
            <v>29</v>
          </cell>
          <cell r="E8">
            <v>7</v>
          </cell>
          <cell r="F8">
            <v>1.0900000000000001</v>
          </cell>
        </row>
        <row r="9">
          <cell r="B9">
            <v>8</v>
          </cell>
          <cell r="C9">
            <v>29</v>
          </cell>
          <cell r="E9">
            <v>8</v>
          </cell>
          <cell r="F9">
            <v>1.05</v>
          </cell>
        </row>
        <row r="10">
          <cell r="B10">
            <v>9</v>
          </cell>
          <cell r="C10">
            <v>30</v>
          </cell>
          <cell r="E10">
            <v>9</v>
          </cell>
          <cell r="F10">
            <v>1.02</v>
          </cell>
        </row>
        <row r="11">
          <cell r="B11">
            <v>10</v>
          </cell>
          <cell r="C11">
            <v>30</v>
          </cell>
          <cell r="E11">
            <v>10</v>
          </cell>
          <cell r="F11">
            <v>1</v>
          </cell>
        </row>
        <row r="12">
          <cell r="B12">
            <v>11</v>
          </cell>
          <cell r="C12">
            <v>30</v>
          </cell>
          <cell r="E12">
            <v>11</v>
          </cell>
          <cell r="F12">
            <v>0.98</v>
          </cell>
        </row>
        <row r="13">
          <cell r="B13">
            <v>12</v>
          </cell>
          <cell r="C13">
            <v>31</v>
          </cell>
          <cell r="E13">
            <v>12</v>
          </cell>
          <cell r="F13">
            <v>0.95</v>
          </cell>
        </row>
        <row r="14">
          <cell r="B14">
            <v>13</v>
          </cell>
          <cell r="C14">
            <v>31</v>
          </cell>
          <cell r="E14">
            <v>13</v>
          </cell>
          <cell r="F14">
            <v>0.91</v>
          </cell>
        </row>
        <row r="15">
          <cell r="B15">
            <v>14</v>
          </cell>
          <cell r="C15">
            <v>31</v>
          </cell>
          <cell r="E15">
            <v>14</v>
          </cell>
          <cell r="F15">
            <v>0.9</v>
          </cell>
        </row>
        <row r="16">
          <cell r="B16">
            <v>15</v>
          </cell>
          <cell r="C16">
            <v>32</v>
          </cell>
          <cell r="E16">
            <v>15</v>
          </cell>
          <cell r="F16">
            <v>0.88</v>
          </cell>
        </row>
        <row r="17">
          <cell r="B17">
            <v>16</v>
          </cell>
          <cell r="C17">
            <v>32</v>
          </cell>
          <cell r="E17">
            <v>16</v>
          </cell>
          <cell r="F17">
            <v>0.85</v>
          </cell>
        </row>
        <row r="18">
          <cell r="B18">
            <v>17</v>
          </cell>
          <cell r="C18">
            <v>32</v>
          </cell>
          <cell r="E18">
            <v>17</v>
          </cell>
          <cell r="F18">
            <v>0.83</v>
          </cell>
        </row>
        <row r="19">
          <cell r="B19">
            <v>18</v>
          </cell>
          <cell r="C19">
            <v>33</v>
          </cell>
          <cell r="E19">
            <v>18</v>
          </cell>
          <cell r="F19">
            <v>0.81</v>
          </cell>
        </row>
        <row r="20">
          <cell r="B20">
            <v>19</v>
          </cell>
          <cell r="C20">
            <v>33</v>
          </cell>
          <cell r="E20">
            <v>19</v>
          </cell>
          <cell r="F20">
            <v>0.8</v>
          </cell>
        </row>
        <row r="21">
          <cell r="B21">
            <v>20</v>
          </cell>
          <cell r="C21">
            <v>33</v>
          </cell>
          <cell r="E21">
            <v>20</v>
          </cell>
          <cell r="F21">
            <v>0.78</v>
          </cell>
        </row>
        <row r="22">
          <cell r="B22">
            <v>21</v>
          </cell>
          <cell r="C22">
            <v>33</v>
          </cell>
          <cell r="E22">
            <v>21</v>
          </cell>
          <cell r="F22">
            <v>0.76</v>
          </cell>
        </row>
        <row r="23">
          <cell r="B23">
            <v>22</v>
          </cell>
          <cell r="C23">
            <v>34</v>
          </cell>
          <cell r="E23">
            <v>22</v>
          </cell>
          <cell r="F23">
            <v>0.75</v>
          </cell>
        </row>
        <row r="24">
          <cell r="B24">
            <v>23</v>
          </cell>
          <cell r="C24">
            <v>34</v>
          </cell>
          <cell r="E24">
            <v>23</v>
          </cell>
          <cell r="F24">
            <v>0.73</v>
          </cell>
        </row>
        <row r="25">
          <cell r="B25">
            <v>24</v>
          </cell>
          <cell r="C25">
            <v>35</v>
          </cell>
          <cell r="E25">
            <v>24</v>
          </cell>
          <cell r="F25">
            <v>0.72</v>
          </cell>
        </row>
        <row r="26">
          <cell r="B26">
            <v>25</v>
          </cell>
          <cell r="C26">
            <v>35</v>
          </cell>
          <cell r="E26">
            <v>25</v>
          </cell>
          <cell r="F26">
            <v>0.71</v>
          </cell>
        </row>
        <row r="27">
          <cell r="B27">
            <v>26</v>
          </cell>
          <cell r="C27">
            <v>35</v>
          </cell>
          <cell r="E27">
            <v>26</v>
          </cell>
          <cell r="F27">
            <v>0.69799999999999995</v>
          </cell>
        </row>
        <row r="28">
          <cell r="B28">
            <v>27</v>
          </cell>
          <cell r="C28">
            <v>35</v>
          </cell>
          <cell r="E28">
            <v>27</v>
          </cell>
          <cell r="F28">
            <v>0.68600000000000005</v>
          </cell>
        </row>
        <row r="29">
          <cell r="B29">
            <v>28</v>
          </cell>
          <cell r="C29">
            <v>36</v>
          </cell>
          <cell r="E29">
            <v>28</v>
          </cell>
          <cell r="F29">
            <v>0.67400000000000004</v>
          </cell>
        </row>
        <row r="30">
          <cell r="B30">
            <v>29</v>
          </cell>
          <cell r="C30">
            <v>36</v>
          </cell>
          <cell r="E30">
            <v>29</v>
          </cell>
          <cell r="F30">
            <v>0.66200000000000003</v>
          </cell>
        </row>
        <row r="31">
          <cell r="B31">
            <v>30</v>
          </cell>
          <cell r="C31">
            <v>36</v>
          </cell>
          <cell r="E31">
            <v>30</v>
          </cell>
          <cell r="F31">
            <v>0.65</v>
          </cell>
        </row>
        <row r="32">
          <cell r="B32">
            <v>31</v>
          </cell>
          <cell r="C32">
            <v>36</v>
          </cell>
          <cell r="E32">
            <v>31</v>
          </cell>
          <cell r="F32">
            <v>0.64</v>
          </cell>
        </row>
        <row r="33">
          <cell r="B33">
            <v>32</v>
          </cell>
          <cell r="C33">
            <v>37</v>
          </cell>
          <cell r="E33">
            <v>32</v>
          </cell>
          <cell r="F33">
            <v>0.63</v>
          </cell>
        </row>
        <row r="34">
          <cell r="B34">
            <v>33</v>
          </cell>
          <cell r="C34">
            <v>36</v>
          </cell>
          <cell r="E34">
            <v>33</v>
          </cell>
          <cell r="F34">
            <v>0.62</v>
          </cell>
        </row>
        <row r="35">
          <cell r="B35">
            <v>34</v>
          </cell>
          <cell r="C35">
            <v>37</v>
          </cell>
          <cell r="E35">
            <v>34</v>
          </cell>
          <cell r="F35">
            <v>0.61</v>
          </cell>
        </row>
        <row r="36">
          <cell r="B36">
            <v>35</v>
          </cell>
          <cell r="C36">
            <v>37</v>
          </cell>
          <cell r="E36">
            <v>35</v>
          </cell>
          <cell r="F36">
            <v>0.6</v>
          </cell>
        </row>
        <row r="37">
          <cell r="B37">
            <v>36</v>
          </cell>
          <cell r="C37">
            <v>38</v>
          </cell>
          <cell r="E37">
            <v>36</v>
          </cell>
          <cell r="F37">
            <v>0.59</v>
          </cell>
        </row>
        <row r="38">
          <cell r="B38">
            <v>37</v>
          </cell>
          <cell r="C38">
            <v>38</v>
          </cell>
          <cell r="E38">
            <v>37</v>
          </cell>
          <cell r="F38">
            <v>0.57999999999999996</v>
          </cell>
        </row>
        <row r="39">
          <cell r="B39">
            <v>38</v>
          </cell>
          <cell r="C39">
            <v>38</v>
          </cell>
          <cell r="E39">
            <v>38</v>
          </cell>
          <cell r="F39">
            <v>0.56999999999999995</v>
          </cell>
        </row>
        <row r="40">
          <cell r="B40">
            <v>39</v>
          </cell>
          <cell r="C40">
            <v>38</v>
          </cell>
          <cell r="E40">
            <v>39</v>
          </cell>
          <cell r="F40">
            <v>0.56000000000000005</v>
          </cell>
        </row>
        <row r="41">
          <cell r="B41">
            <v>40</v>
          </cell>
          <cell r="C41">
            <v>39</v>
          </cell>
          <cell r="E41">
            <v>40</v>
          </cell>
          <cell r="F41">
            <v>0.55000000000000004</v>
          </cell>
        </row>
        <row r="42">
          <cell r="B42">
            <v>41</v>
          </cell>
          <cell r="C42">
            <v>39</v>
          </cell>
          <cell r="E42">
            <v>41</v>
          </cell>
          <cell r="F42">
            <v>0.54</v>
          </cell>
        </row>
        <row r="43">
          <cell r="B43">
            <v>42</v>
          </cell>
          <cell r="C43">
            <v>39</v>
          </cell>
          <cell r="E43">
            <v>42</v>
          </cell>
          <cell r="F43">
            <v>0.53</v>
          </cell>
        </row>
        <row r="44">
          <cell r="B44">
            <v>43</v>
          </cell>
          <cell r="C44">
            <v>39</v>
          </cell>
          <cell r="E44">
            <v>43</v>
          </cell>
          <cell r="F44">
            <v>0.52</v>
          </cell>
        </row>
        <row r="45">
          <cell r="B45">
            <v>44</v>
          </cell>
          <cell r="C45">
            <v>39</v>
          </cell>
          <cell r="E45">
            <v>44</v>
          </cell>
          <cell r="F45">
            <v>0.51</v>
          </cell>
        </row>
        <row r="46">
          <cell r="B46">
            <v>45</v>
          </cell>
          <cell r="C46">
            <v>39</v>
          </cell>
          <cell r="E46">
            <v>45</v>
          </cell>
          <cell r="F46">
            <v>0.5</v>
          </cell>
        </row>
        <row r="47">
          <cell r="B47">
            <v>46</v>
          </cell>
          <cell r="C47">
            <v>39</v>
          </cell>
          <cell r="E47">
            <v>50</v>
          </cell>
          <cell r="F47">
            <v>0.46</v>
          </cell>
        </row>
        <row r="48">
          <cell r="B48">
            <v>47</v>
          </cell>
          <cell r="C48">
            <v>40</v>
          </cell>
        </row>
        <row r="49">
          <cell r="B49">
            <v>48</v>
          </cell>
          <cell r="C49">
            <v>40</v>
          </cell>
        </row>
        <row r="50">
          <cell r="B50">
            <v>49</v>
          </cell>
          <cell r="C50">
            <v>40</v>
          </cell>
        </row>
        <row r="51">
          <cell r="B51">
            <v>50</v>
          </cell>
          <cell r="C51">
            <v>40</v>
          </cell>
        </row>
        <row r="52">
          <cell r="B52">
            <v>51</v>
          </cell>
          <cell r="C52">
            <v>41</v>
          </cell>
        </row>
        <row r="53">
          <cell r="B53">
            <v>52</v>
          </cell>
          <cell r="C53">
            <v>41</v>
          </cell>
        </row>
        <row r="54">
          <cell r="B54">
            <v>53</v>
          </cell>
          <cell r="C54">
            <v>41</v>
          </cell>
        </row>
        <row r="55">
          <cell r="B55">
            <v>54</v>
          </cell>
          <cell r="C55">
            <v>41</v>
          </cell>
        </row>
        <row r="56">
          <cell r="B56">
            <v>55</v>
          </cell>
          <cell r="C56">
            <v>42</v>
          </cell>
        </row>
        <row r="57">
          <cell r="B57">
            <v>56</v>
          </cell>
          <cell r="C57">
            <v>42</v>
          </cell>
        </row>
        <row r="58">
          <cell r="B58">
            <v>57</v>
          </cell>
          <cell r="C58">
            <v>42</v>
          </cell>
        </row>
        <row r="59">
          <cell r="B59">
            <v>58</v>
          </cell>
          <cell r="C59">
            <v>42</v>
          </cell>
        </row>
        <row r="60">
          <cell r="B60">
            <v>59</v>
          </cell>
          <cell r="C60">
            <v>42</v>
          </cell>
        </row>
        <row r="61">
          <cell r="B61">
            <v>60</v>
          </cell>
          <cell r="C61">
            <v>42</v>
          </cell>
        </row>
        <row r="62">
          <cell r="B62">
            <v>61</v>
          </cell>
          <cell r="C62">
            <v>42</v>
          </cell>
        </row>
        <row r="63">
          <cell r="B63">
            <v>62</v>
          </cell>
          <cell r="C63">
            <v>43</v>
          </cell>
        </row>
        <row r="64">
          <cell r="B64">
            <v>63</v>
          </cell>
          <cell r="C64">
            <v>43</v>
          </cell>
        </row>
        <row r="65">
          <cell r="B65">
            <v>64</v>
          </cell>
          <cell r="C65">
            <v>43</v>
          </cell>
        </row>
      </sheetData>
      <sheetData sheetId="4">
        <row r="1">
          <cell r="J1">
            <v>1.7453292519943295E-2</v>
          </cell>
        </row>
      </sheetData>
      <sheetData sheetId="5">
        <row r="1">
          <cell r="J1">
            <v>1.7453292519943295E-2</v>
          </cell>
        </row>
      </sheetData>
      <sheetData sheetId="6">
        <row r="1">
          <cell r="J1">
            <v>1.7453292519943295E-2</v>
          </cell>
        </row>
      </sheetData>
      <sheetData sheetId="7">
        <row r="1">
          <cell r="J1">
            <v>1.7453292519943295E-2</v>
          </cell>
        </row>
      </sheetData>
      <sheetData sheetId="8">
        <row r="1">
          <cell r="J1">
            <v>1.7453292519943295E-2</v>
          </cell>
        </row>
      </sheetData>
      <sheetData sheetId="9">
        <row r="1">
          <cell r="J1">
            <v>1.7453292519943295E-2</v>
          </cell>
        </row>
      </sheetData>
      <sheetData sheetId="10" refreshError="1"/>
      <sheetData sheetId="11" refreshError="1"/>
      <sheetData sheetId="12" refreshError="1"/>
      <sheetData sheetId="13">
        <row r="1">
          <cell r="J1">
            <v>1.7453292519943295E-2</v>
          </cell>
        </row>
      </sheetData>
      <sheetData sheetId="14" refreshError="1"/>
      <sheetData sheetId="15" refreshError="1"/>
      <sheetData sheetId="16" refreshError="1"/>
      <sheetData sheetId="17" refreshError="1"/>
      <sheetData sheetId="18" refreshError="1"/>
      <sheetData sheetId="19" refreshError="1"/>
      <sheetData sheetId="20">
        <row r="1">
          <cell r="J1">
            <v>1.7453292519943295E-2</v>
          </cell>
        </row>
      </sheetData>
      <sheetData sheetId="21">
        <row r="1">
          <cell r="J1">
            <v>1.7453292519943295E-2</v>
          </cell>
        </row>
      </sheetData>
      <sheetData sheetId="22">
        <row r="1">
          <cell r="J1">
            <v>1.7453292519943295E-2</v>
          </cell>
        </row>
      </sheetData>
      <sheetData sheetId="23">
        <row r="1">
          <cell r="J1">
            <v>1.7453292519943295E-2</v>
          </cell>
        </row>
      </sheetData>
      <sheetData sheetId="24">
        <row r="1">
          <cell r="J1">
            <v>1.7453292519943295E-2</v>
          </cell>
        </row>
      </sheetData>
      <sheetData sheetId="25">
        <row r="1">
          <cell r="J1">
            <v>1.7453292519943295E-2</v>
          </cell>
        </row>
      </sheetData>
      <sheetData sheetId="26">
        <row r="1">
          <cell r="J1">
            <v>1.7453292519943295E-2</v>
          </cell>
        </row>
      </sheetData>
      <sheetData sheetId="27">
        <row r="1">
          <cell r="J1">
            <v>1.7453292519943295E-2</v>
          </cell>
        </row>
      </sheetData>
      <sheetData sheetId="28">
        <row r="1">
          <cell r="J1">
            <v>1.7453292519943295E-2</v>
          </cell>
        </row>
      </sheetData>
      <sheetData sheetId="29">
        <row r="1">
          <cell r="J1">
            <v>1.7453292519943295E-2</v>
          </cell>
        </row>
      </sheetData>
      <sheetData sheetId="30">
        <row r="1">
          <cell r="J1">
            <v>1.7453292519943295E-2</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
          <cell r="J1">
            <v>1.7453292519943295E-2</v>
          </cell>
        </row>
      </sheetData>
      <sheetData sheetId="48">
        <row r="1">
          <cell r="J1">
            <v>1.7453292519943295E-2</v>
          </cell>
        </row>
      </sheetData>
      <sheetData sheetId="49">
        <row r="1">
          <cell r="J1">
            <v>1.7453292519943295E-2</v>
          </cell>
        </row>
      </sheetData>
      <sheetData sheetId="50" refreshError="1"/>
      <sheetData sheetId="51" refreshError="1"/>
      <sheetData sheetId="52">
        <row r="1">
          <cell r="J1">
            <v>1.7453292519943295E-2</v>
          </cell>
        </row>
      </sheetData>
      <sheetData sheetId="53">
        <row r="1">
          <cell r="J1">
            <v>1.7453292519943295E-2</v>
          </cell>
        </row>
      </sheetData>
      <sheetData sheetId="54">
        <row r="1">
          <cell r="J1">
            <v>1.7453292519943295E-2</v>
          </cell>
        </row>
      </sheetData>
      <sheetData sheetId="55">
        <row r="1">
          <cell r="J1">
            <v>1.7453292519943295E-2</v>
          </cell>
        </row>
      </sheetData>
      <sheetData sheetId="56">
        <row r="1">
          <cell r="J1">
            <v>1.7453292519943295E-2</v>
          </cell>
        </row>
      </sheetData>
      <sheetData sheetId="57" refreshError="1"/>
      <sheetData sheetId="58" refreshError="1"/>
      <sheetData sheetId="59">
        <row r="1">
          <cell r="J1">
            <v>1.7453292519943295E-2</v>
          </cell>
        </row>
      </sheetData>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ow r="1">
          <cell r="J1">
            <v>1.7453292519943295E-2</v>
          </cell>
        </row>
      </sheetData>
      <sheetData sheetId="189">
        <row r="1">
          <cell r="J1">
            <v>1.7453292519943295E-2</v>
          </cell>
        </row>
      </sheetData>
      <sheetData sheetId="190">
        <row r="1">
          <cell r="J1">
            <v>1.7453292519943295E-2</v>
          </cell>
        </row>
      </sheetData>
      <sheetData sheetId="191" refreshError="1"/>
      <sheetData sheetId="192">
        <row r="1">
          <cell r="J1">
            <v>1.7453292519943295E-2</v>
          </cell>
        </row>
      </sheetData>
      <sheetData sheetId="193">
        <row r="1">
          <cell r="J1">
            <v>1.7453292519943295E-2</v>
          </cell>
        </row>
      </sheetData>
      <sheetData sheetId="194" refreshError="1"/>
      <sheetData sheetId="195" refreshError="1"/>
      <sheetData sheetId="196" refreshError="1"/>
      <sheetData sheetId="197" refreshError="1"/>
      <sheetData sheetId="198" refreshError="1"/>
      <sheetData sheetId="199">
        <row r="1">
          <cell r="J1">
            <v>1.7453292519943295E-2</v>
          </cell>
        </row>
      </sheetData>
      <sheetData sheetId="200" refreshError="1"/>
      <sheetData sheetId="201">
        <row r="1">
          <cell r="J1">
            <v>1.7453292519943295E-2</v>
          </cell>
        </row>
      </sheetData>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ow r="1">
          <cell r="J1">
            <v>1.7453292519943295E-2</v>
          </cell>
        </row>
      </sheetData>
      <sheetData sheetId="228">
        <row r="1">
          <cell r="J1">
            <v>1.7453292519943295E-2</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ow r="1">
          <cell r="J1">
            <v>1.7453292519943295E-2</v>
          </cell>
        </row>
      </sheetData>
      <sheetData sheetId="248">
        <row r="1">
          <cell r="J1">
            <v>1.7453292519943295E-2</v>
          </cell>
        </row>
      </sheetData>
      <sheetData sheetId="249">
        <row r="1">
          <cell r="J1">
            <v>1.7453292519943295E-2</v>
          </cell>
        </row>
      </sheetData>
      <sheetData sheetId="250">
        <row r="1">
          <cell r="J1">
            <v>1.7453292519943295E-2</v>
          </cell>
        </row>
      </sheetData>
      <sheetData sheetId="251">
        <row r="1">
          <cell r="J1">
            <v>1.7453292519943295E-2</v>
          </cell>
        </row>
      </sheetData>
      <sheetData sheetId="252">
        <row r="1">
          <cell r="J1">
            <v>1.7453292519943295E-2</v>
          </cell>
        </row>
      </sheetData>
      <sheetData sheetId="253">
        <row r="1">
          <cell r="J1">
            <v>1.7453292519943295E-2</v>
          </cell>
        </row>
      </sheetData>
      <sheetData sheetId="254">
        <row r="1">
          <cell r="J1">
            <v>1.7453292519943295E-2</v>
          </cell>
        </row>
      </sheetData>
      <sheetData sheetId="255">
        <row r="1">
          <cell r="J1">
            <v>1.7453292519943295E-2</v>
          </cell>
        </row>
      </sheetData>
      <sheetData sheetId="256">
        <row r="1">
          <cell r="J1">
            <v>1.7453292519943295E-2</v>
          </cell>
        </row>
      </sheetData>
      <sheetData sheetId="257">
        <row r="1">
          <cell r="J1">
            <v>1.7453292519943295E-2</v>
          </cell>
        </row>
      </sheetData>
      <sheetData sheetId="258">
        <row r="1">
          <cell r="J1">
            <v>1.7453292519943295E-2</v>
          </cell>
        </row>
      </sheetData>
      <sheetData sheetId="259">
        <row r="1">
          <cell r="J1">
            <v>1.7453292519943295E-2</v>
          </cell>
        </row>
      </sheetData>
      <sheetData sheetId="260">
        <row r="1">
          <cell r="J1">
            <v>1.7453292519943295E-2</v>
          </cell>
        </row>
      </sheetData>
      <sheetData sheetId="261">
        <row r="1">
          <cell r="J1">
            <v>1.7453292519943295E-2</v>
          </cell>
        </row>
      </sheetData>
      <sheetData sheetId="262">
        <row r="1">
          <cell r="J1">
            <v>1.7453292519943295E-2</v>
          </cell>
        </row>
      </sheetData>
      <sheetData sheetId="263">
        <row r="1">
          <cell r="J1">
            <v>1.7453292519943295E-2</v>
          </cell>
        </row>
      </sheetData>
      <sheetData sheetId="264">
        <row r="1">
          <cell r="J1">
            <v>1.7453292519943295E-2</v>
          </cell>
        </row>
      </sheetData>
      <sheetData sheetId="265">
        <row r="1">
          <cell r="J1">
            <v>1.7453292519943295E-2</v>
          </cell>
        </row>
      </sheetData>
      <sheetData sheetId="266">
        <row r="1">
          <cell r="J1">
            <v>1.7453292519943295E-2</v>
          </cell>
        </row>
      </sheetData>
      <sheetData sheetId="267">
        <row r="1">
          <cell r="J1">
            <v>1.7453292519943295E-2</v>
          </cell>
        </row>
      </sheetData>
      <sheetData sheetId="268">
        <row r="1">
          <cell r="J1">
            <v>1.7453292519943295E-2</v>
          </cell>
        </row>
      </sheetData>
      <sheetData sheetId="269">
        <row r="1">
          <cell r="J1">
            <v>1.7453292519943295E-2</v>
          </cell>
        </row>
      </sheetData>
      <sheetData sheetId="270">
        <row r="1">
          <cell r="J1">
            <v>1.7453292519943295E-2</v>
          </cell>
        </row>
      </sheetData>
      <sheetData sheetId="271">
        <row r="1">
          <cell r="J1">
            <v>1.7453292519943295E-2</v>
          </cell>
        </row>
      </sheetData>
      <sheetData sheetId="272">
        <row r="1">
          <cell r="J1">
            <v>1.7453292519943295E-2</v>
          </cell>
        </row>
      </sheetData>
      <sheetData sheetId="273">
        <row r="1">
          <cell r="J1">
            <v>1.7453292519943295E-2</v>
          </cell>
        </row>
      </sheetData>
      <sheetData sheetId="274" refreshError="1"/>
      <sheetData sheetId="275" refreshError="1"/>
      <sheetData sheetId="276" refreshError="1"/>
      <sheetData sheetId="277" refreshError="1"/>
      <sheetData sheetId="278" refreshError="1"/>
      <sheetData sheetId="279" refreshError="1"/>
      <sheetData sheetId="280" refreshError="1"/>
      <sheetData sheetId="281">
        <row r="1">
          <cell r="J1">
            <v>1.7453292519943295E-2</v>
          </cell>
        </row>
      </sheetData>
      <sheetData sheetId="282">
        <row r="1">
          <cell r="J1">
            <v>1.7453292519943295E-2</v>
          </cell>
        </row>
      </sheetData>
      <sheetData sheetId="283" refreshError="1"/>
      <sheetData sheetId="284">
        <row r="1">
          <cell r="J1">
            <v>1.7453292519943295E-2</v>
          </cell>
        </row>
      </sheetData>
      <sheetData sheetId="285">
        <row r="1">
          <cell r="J1">
            <v>1.7453292519943295E-2</v>
          </cell>
        </row>
      </sheetData>
      <sheetData sheetId="286">
        <row r="1">
          <cell r="J1">
            <v>1.7453292519943295E-2</v>
          </cell>
        </row>
      </sheetData>
      <sheetData sheetId="287">
        <row r="1">
          <cell r="J1">
            <v>1.7453292519943295E-2</v>
          </cell>
        </row>
      </sheetData>
      <sheetData sheetId="288" refreshError="1"/>
      <sheetData sheetId="289" refreshError="1"/>
      <sheetData sheetId="290" refreshError="1"/>
      <sheetData sheetId="291">
        <row r="1">
          <cell r="J1">
            <v>1.7453292519943295E-2</v>
          </cell>
        </row>
      </sheetData>
      <sheetData sheetId="292">
        <row r="1">
          <cell r="J1">
            <v>1.7453292519943295E-2</v>
          </cell>
        </row>
      </sheetData>
      <sheetData sheetId="293">
        <row r="1">
          <cell r="J1">
            <v>1.7453292519943295E-2</v>
          </cell>
        </row>
      </sheetData>
      <sheetData sheetId="294">
        <row r="1">
          <cell r="J1">
            <v>1.7453292519943295E-2</v>
          </cell>
        </row>
      </sheetData>
      <sheetData sheetId="295">
        <row r="1">
          <cell r="J1">
            <v>1.7453292519943295E-2</v>
          </cell>
        </row>
      </sheetData>
      <sheetData sheetId="296">
        <row r="1">
          <cell r="J1">
            <v>1.7453292519943295E-2</v>
          </cell>
        </row>
      </sheetData>
      <sheetData sheetId="297">
        <row r="1">
          <cell r="J1">
            <v>1.7453292519943295E-2</v>
          </cell>
        </row>
      </sheetData>
      <sheetData sheetId="298">
        <row r="1">
          <cell r="J1">
            <v>1.7453292519943295E-2</v>
          </cell>
        </row>
      </sheetData>
      <sheetData sheetId="299">
        <row r="1">
          <cell r="J1">
            <v>1.7453292519943295E-2</v>
          </cell>
        </row>
      </sheetData>
      <sheetData sheetId="300">
        <row r="1">
          <cell r="J1">
            <v>1.7453292519943295E-2</v>
          </cell>
        </row>
      </sheetData>
      <sheetData sheetId="301">
        <row r="1">
          <cell r="J1">
            <v>1.7453292519943295E-2</v>
          </cell>
        </row>
      </sheetData>
      <sheetData sheetId="302">
        <row r="1">
          <cell r="J1">
            <v>1.7453292519943295E-2</v>
          </cell>
        </row>
      </sheetData>
      <sheetData sheetId="303">
        <row r="1">
          <cell r="J1">
            <v>1.7453292519943295E-2</v>
          </cell>
        </row>
      </sheetData>
      <sheetData sheetId="304">
        <row r="1">
          <cell r="J1">
            <v>1.7453292519943295E-2</v>
          </cell>
        </row>
      </sheetData>
      <sheetData sheetId="305">
        <row r="1">
          <cell r="J1">
            <v>1.7453292519943295E-2</v>
          </cell>
        </row>
      </sheetData>
      <sheetData sheetId="306">
        <row r="1">
          <cell r="J1">
            <v>1.7453292519943295E-2</v>
          </cell>
        </row>
      </sheetData>
      <sheetData sheetId="307">
        <row r="1">
          <cell r="J1">
            <v>1.7453292519943295E-2</v>
          </cell>
        </row>
      </sheetData>
      <sheetData sheetId="308">
        <row r="1">
          <cell r="J1">
            <v>1.7453292519943295E-2</v>
          </cell>
        </row>
      </sheetData>
      <sheetData sheetId="309">
        <row r="1">
          <cell r="J1">
            <v>1.7453292519943295E-2</v>
          </cell>
        </row>
      </sheetData>
      <sheetData sheetId="310">
        <row r="1">
          <cell r="J1">
            <v>1.7453292519943295E-2</v>
          </cell>
        </row>
      </sheetData>
      <sheetData sheetId="311">
        <row r="1">
          <cell r="J1">
            <v>1.7453292519943295E-2</v>
          </cell>
        </row>
      </sheetData>
      <sheetData sheetId="312">
        <row r="1">
          <cell r="J1">
            <v>1.7453292519943295E-2</v>
          </cell>
        </row>
      </sheetData>
      <sheetData sheetId="313">
        <row r="1">
          <cell r="J1">
            <v>1.7453292519943295E-2</v>
          </cell>
        </row>
      </sheetData>
      <sheetData sheetId="314">
        <row r="1">
          <cell r="J1">
            <v>1.7453292519943295E-2</v>
          </cell>
        </row>
      </sheetData>
      <sheetData sheetId="315">
        <row r="1">
          <cell r="J1">
            <v>1.7453292519943295E-2</v>
          </cell>
        </row>
      </sheetData>
      <sheetData sheetId="316">
        <row r="1">
          <cell r="J1">
            <v>1.7453292519943295E-2</v>
          </cell>
        </row>
      </sheetData>
      <sheetData sheetId="317">
        <row r="1">
          <cell r="J1">
            <v>1.7453292519943295E-2</v>
          </cell>
        </row>
      </sheetData>
      <sheetData sheetId="318">
        <row r="1">
          <cell r="J1">
            <v>1.7453292519943295E-2</v>
          </cell>
        </row>
      </sheetData>
      <sheetData sheetId="319">
        <row r="1">
          <cell r="J1">
            <v>1.7453292519943295E-2</v>
          </cell>
        </row>
      </sheetData>
      <sheetData sheetId="320">
        <row r="1">
          <cell r="J1">
            <v>1.7453292519943295E-2</v>
          </cell>
        </row>
      </sheetData>
      <sheetData sheetId="321">
        <row r="1">
          <cell r="J1">
            <v>1.7453292519943295E-2</v>
          </cell>
        </row>
      </sheetData>
      <sheetData sheetId="322">
        <row r="1">
          <cell r="J1">
            <v>1.7453292519943295E-2</v>
          </cell>
        </row>
      </sheetData>
      <sheetData sheetId="323">
        <row r="1">
          <cell r="J1">
            <v>1.7453292519943295E-2</v>
          </cell>
        </row>
      </sheetData>
      <sheetData sheetId="324">
        <row r="1">
          <cell r="J1">
            <v>1.7453292519943295E-2</v>
          </cell>
        </row>
      </sheetData>
      <sheetData sheetId="325">
        <row r="1">
          <cell r="J1">
            <v>1.7453292519943295E-2</v>
          </cell>
        </row>
      </sheetData>
      <sheetData sheetId="326">
        <row r="1">
          <cell r="J1">
            <v>1.7453292519943295E-2</v>
          </cell>
        </row>
      </sheetData>
      <sheetData sheetId="327">
        <row r="1">
          <cell r="J1">
            <v>1.7453292519943295E-2</v>
          </cell>
        </row>
      </sheetData>
      <sheetData sheetId="328">
        <row r="1">
          <cell r="J1">
            <v>1.7453292519943295E-2</v>
          </cell>
        </row>
      </sheetData>
      <sheetData sheetId="329">
        <row r="1">
          <cell r="J1">
            <v>1.7453292519943295E-2</v>
          </cell>
        </row>
      </sheetData>
      <sheetData sheetId="330">
        <row r="1">
          <cell r="J1">
            <v>1.7453292519943295E-2</v>
          </cell>
        </row>
      </sheetData>
      <sheetData sheetId="331">
        <row r="1">
          <cell r="J1">
            <v>1.7453292519943295E-2</v>
          </cell>
        </row>
      </sheetData>
      <sheetData sheetId="332">
        <row r="1">
          <cell r="J1">
            <v>1.7453292519943295E-2</v>
          </cell>
        </row>
      </sheetData>
      <sheetData sheetId="333">
        <row r="1">
          <cell r="J1">
            <v>1.7453292519943295E-2</v>
          </cell>
        </row>
      </sheetData>
      <sheetData sheetId="334">
        <row r="1">
          <cell r="J1">
            <v>1.7453292519943295E-2</v>
          </cell>
        </row>
      </sheetData>
      <sheetData sheetId="335">
        <row r="1">
          <cell r="J1">
            <v>1.7453292519943295E-2</v>
          </cell>
        </row>
      </sheetData>
      <sheetData sheetId="336">
        <row r="1">
          <cell r="J1">
            <v>1.7453292519943295E-2</v>
          </cell>
        </row>
      </sheetData>
      <sheetData sheetId="337">
        <row r="1">
          <cell r="J1">
            <v>1.7453292519943295E-2</v>
          </cell>
        </row>
      </sheetData>
      <sheetData sheetId="338">
        <row r="1">
          <cell r="J1">
            <v>1.7453292519943295E-2</v>
          </cell>
        </row>
      </sheetData>
      <sheetData sheetId="339">
        <row r="1">
          <cell r="J1">
            <v>1.7453292519943295E-2</v>
          </cell>
        </row>
      </sheetData>
      <sheetData sheetId="340">
        <row r="1">
          <cell r="J1">
            <v>1.7453292519943295E-2</v>
          </cell>
        </row>
      </sheetData>
      <sheetData sheetId="341">
        <row r="1">
          <cell r="J1">
            <v>1.7453292519943295E-2</v>
          </cell>
        </row>
      </sheetData>
      <sheetData sheetId="342">
        <row r="1">
          <cell r="J1">
            <v>1.7453292519943295E-2</v>
          </cell>
        </row>
      </sheetData>
      <sheetData sheetId="343">
        <row r="1">
          <cell r="J1">
            <v>1.7453292519943295E-2</v>
          </cell>
        </row>
      </sheetData>
      <sheetData sheetId="344">
        <row r="1">
          <cell r="J1">
            <v>1.7453292519943295E-2</v>
          </cell>
        </row>
      </sheetData>
      <sheetData sheetId="345">
        <row r="1">
          <cell r="J1">
            <v>1.7453292519943295E-2</v>
          </cell>
        </row>
      </sheetData>
      <sheetData sheetId="346">
        <row r="1">
          <cell r="J1">
            <v>1.7453292519943295E-2</v>
          </cell>
        </row>
      </sheetData>
      <sheetData sheetId="347">
        <row r="1">
          <cell r="J1">
            <v>1.7453292519943295E-2</v>
          </cell>
        </row>
      </sheetData>
      <sheetData sheetId="348">
        <row r="1">
          <cell r="J1">
            <v>1.7453292519943295E-2</v>
          </cell>
        </row>
      </sheetData>
      <sheetData sheetId="349">
        <row r="1">
          <cell r="J1">
            <v>1.7453292519943295E-2</v>
          </cell>
        </row>
      </sheetData>
      <sheetData sheetId="350">
        <row r="1">
          <cell r="J1">
            <v>1.7453292519943295E-2</v>
          </cell>
        </row>
      </sheetData>
      <sheetData sheetId="351">
        <row r="1">
          <cell r="J1">
            <v>1.7453292519943295E-2</v>
          </cell>
        </row>
      </sheetData>
      <sheetData sheetId="352">
        <row r="1">
          <cell r="J1">
            <v>1.7453292519943295E-2</v>
          </cell>
        </row>
      </sheetData>
      <sheetData sheetId="353">
        <row r="1">
          <cell r="J1">
            <v>1.7453292519943295E-2</v>
          </cell>
        </row>
      </sheetData>
      <sheetData sheetId="354">
        <row r="1">
          <cell r="J1">
            <v>1.7453292519943295E-2</v>
          </cell>
        </row>
      </sheetData>
      <sheetData sheetId="355">
        <row r="1">
          <cell r="J1">
            <v>1.7453292519943295E-2</v>
          </cell>
        </row>
      </sheetData>
      <sheetData sheetId="356">
        <row r="1">
          <cell r="J1">
            <v>1.7453292519943295E-2</v>
          </cell>
        </row>
      </sheetData>
      <sheetData sheetId="357">
        <row r="1">
          <cell r="J1">
            <v>1.7453292519943295E-2</v>
          </cell>
        </row>
      </sheetData>
      <sheetData sheetId="358">
        <row r="1">
          <cell r="J1">
            <v>1.7453292519943295E-2</v>
          </cell>
        </row>
      </sheetData>
      <sheetData sheetId="359">
        <row r="1">
          <cell r="J1">
            <v>1.7453292519943295E-2</v>
          </cell>
        </row>
      </sheetData>
      <sheetData sheetId="360">
        <row r="1">
          <cell r="J1">
            <v>1.7453292519943295E-2</v>
          </cell>
        </row>
      </sheetData>
      <sheetData sheetId="361">
        <row r="1">
          <cell r="J1">
            <v>1.7453292519943295E-2</v>
          </cell>
        </row>
      </sheetData>
      <sheetData sheetId="362">
        <row r="1">
          <cell r="J1">
            <v>1.7453292519943295E-2</v>
          </cell>
        </row>
      </sheetData>
      <sheetData sheetId="363">
        <row r="1">
          <cell r="J1">
            <v>1.7453292519943295E-2</v>
          </cell>
        </row>
      </sheetData>
      <sheetData sheetId="364">
        <row r="1">
          <cell r="J1">
            <v>1.7453292519943295E-2</v>
          </cell>
        </row>
      </sheetData>
      <sheetData sheetId="365">
        <row r="1">
          <cell r="J1">
            <v>1.7453292519943295E-2</v>
          </cell>
        </row>
      </sheetData>
      <sheetData sheetId="366">
        <row r="1">
          <cell r="J1">
            <v>1.7453292519943295E-2</v>
          </cell>
        </row>
      </sheetData>
      <sheetData sheetId="367">
        <row r="1">
          <cell r="J1">
            <v>1.7453292519943295E-2</v>
          </cell>
        </row>
      </sheetData>
      <sheetData sheetId="368">
        <row r="1">
          <cell r="J1">
            <v>1.7453292519943295E-2</v>
          </cell>
        </row>
      </sheetData>
      <sheetData sheetId="369">
        <row r="1">
          <cell r="J1">
            <v>1.7453292519943295E-2</v>
          </cell>
        </row>
      </sheetData>
      <sheetData sheetId="370">
        <row r="1">
          <cell r="J1">
            <v>1.7453292519943295E-2</v>
          </cell>
        </row>
      </sheetData>
      <sheetData sheetId="371">
        <row r="1">
          <cell r="J1">
            <v>1.7453292519943295E-2</v>
          </cell>
        </row>
      </sheetData>
      <sheetData sheetId="372">
        <row r="1">
          <cell r="J1">
            <v>1.7453292519943295E-2</v>
          </cell>
        </row>
      </sheetData>
      <sheetData sheetId="373">
        <row r="1">
          <cell r="J1">
            <v>1.7453292519943295E-2</v>
          </cell>
        </row>
      </sheetData>
      <sheetData sheetId="374">
        <row r="1">
          <cell r="J1">
            <v>1.7453292519943295E-2</v>
          </cell>
        </row>
      </sheetData>
      <sheetData sheetId="375">
        <row r="1">
          <cell r="J1">
            <v>1.7453292519943295E-2</v>
          </cell>
        </row>
      </sheetData>
      <sheetData sheetId="376">
        <row r="1">
          <cell r="J1">
            <v>1.7453292519943295E-2</v>
          </cell>
        </row>
      </sheetData>
      <sheetData sheetId="377">
        <row r="1">
          <cell r="J1">
            <v>1.7453292519943295E-2</v>
          </cell>
        </row>
      </sheetData>
      <sheetData sheetId="378">
        <row r="1">
          <cell r="J1">
            <v>1.7453292519943295E-2</v>
          </cell>
        </row>
      </sheetData>
      <sheetData sheetId="379">
        <row r="1">
          <cell r="J1">
            <v>1.7453292519943295E-2</v>
          </cell>
        </row>
      </sheetData>
      <sheetData sheetId="380">
        <row r="1">
          <cell r="J1">
            <v>1.7453292519943295E-2</v>
          </cell>
        </row>
      </sheetData>
      <sheetData sheetId="381">
        <row r="1">
          <cell r="J1">
            <v>1.7453292519943295E-2</v>
          </cell>
        </row>
      </sheetData>
      <sheetData sheetId="382">
        <row r="1">
          <cell r="J1">
            <v>1.7453292519943295E-2</v>
          </cell>
        </row>
      </sheetData>
      <sheetData sheetId="383">
        <row r="1">
          <cell r="J1">
            <v>1.7453292519943295E-2</v>
          </cell>
        </row>
      </sheetData>
      <sheetData sheetId="384">
        <row r="1">
          <cell r="J1">
            <v>1.7453292519943295E-2</v>
          </cell>
        </row>
      </sheetData>
      <sheetData sheetId="385">
        <row r="1">
          <cell r="J1">
            <v>1.7453292519943295E-2</v>
          </cell>
        </row>
      </sheetData>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ow r="1">
          <cell r="J1">
            <v>1.7453292519943295E-2</v>
          </cell>
        </row>
      </sheetData>
      <sheetData sheetId="491" refreshError="1"/>
      <sheetData sheetId="492" refreshError="1"/>
      <sheetData sheetId="493">
        <row r="1">
          <cell r="J1">
            <v>1.7453292519943295E-2</v>
          </cell>
        </row>
      </sheetData>
      <sheetData sheetId="494" refreshError="1"/>
      <sheetData sheetId="495" refreshError="1"/>
      <sheetData sheetId="496">
        <row r="1">
          <cell r="J1">
            <v>1.7453292519943295E-2</v>
          </cell>
        </row>
      </sheetData>
      <sheetData sheetId="497" refreshError="1"/>
      <sheetData sheetId="498" refreshError="1"/>
      <sheetData sheetId="499">
        <row r="1">
          <cell r="J1">
            <v>1.7453292519943295E-2</v>
          </cell>
        </row>
      </sheetData>
      <sheetData sheetId="500" refreshError="1"/>
      <sheetData sheetId="501">
        <row r="1">
          <cell r="J1">
            <v>1.7453292519943295E-2</v>
          </cell>
        </row>
      </sheetData>
      <sheetData sheetId="502">
        <row r="1">
          <cell r="J1">
            <v>1.7453292519943295E-2</v>
          </cell>
        </row>
      </sheetData>
      <sheetData sheetId="503" refreshError="1"/>
      <sheetData sheetId="504" refreshError="1"/>
      <sheetData sheetId="505">
        <row r="1">
          <cell r="J1">
            <v>1.7453292519943295E-2</v>
          </cell>
        </row>
      </sheetData>
      <sheetData sheetId="506" refreshError="1"/>
      <sheetData sheetId="507" refreshError="1"/>
      <sheetData sheetId="508">
        <row r="1">
          <cell r="J1">
            <v>1.7453292519943295E-2</v>
          </cell>
        </row>
      </sheetData>
      <sheetData sheetId="509" refreshError="1"/>
      <sheetData sheetId="510" refreshError="1"/>
      <sheetData sheetId="511" refreshError="1"/>
      <sheetData sheetId="512">
        <row r="1">
          <cell r="J1">
            <v>1.7453292519943295E-2</v>
          </cell>
        </row>
      </sheetData>
      <sheetData sheetId="513" refreshError="1"/>
      <sheetData sheetId="514">
        <row r="1">
          <cell r="J1">
            <v>1.7453292519943295E-2</v>
          </cell>
        </row>
      </sheetData>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ow r="1">
          <cell r="J1">
            <v>1.7453292519943295E-2</v>
          </cell>
        </row>
      </sheetData>
      <sheetData sheetId="532">
        <row r="1">
          <cell r="J1">
            <v>1.7453292519943295E-2</v>
          </cell>
        </row>
      </sheetData>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ow r="1">
          <cell r="J1">
            <v>1.7453292519943295E-2</v>
          </cell>
        </row>
      </sheetData>
      <sheetData sheetId="639">
        <row r="1">
          <cell r="J1">
            <v>1.7453292519943295E-2</v>
          </cell>
        </row>
      </sheetData>
      <sheetData sheetId="640" refreshError="1"/>
      <sheetData sheetId="641" refreshError="1"/>
      <sheetData sheetId="642" refreshError="1"/>
      <sheetData sheetId="643">
        <row r="1">
          <cell r="J1">
            <v>1.7453292519943295E-2</v>
          </cell>
        </row>
      </sheetData>
      <sheetData sheetId="644">
        <row r="1">
          <cell r="J1">
            <v>1.7453292519943295E-2</v>
          </cell>
        </row>
      </sheetData>
      <sheetData sheetId="645">
        <row r="1">
          <cell r="J1">
            <v>1.7453292519943295E-2</v>
          </cell>
        </row>
      </sheetData>
      <sheetData sheetId="646">
        <row r="1">
          <cell r="J1">
            <v>1.7453292519943295E-2</v>
          </cell>
        </row>
      </sheetData>
      <sheetData sheetId="647">
        <row r="1">
          <cell r="J1">
            <v>1.7453292519943295E-2</v>
          </cell>
        </row>
      </sheetData>
      <sheetData sheetId="648">
        <row r="1">
          <cell r="J1">
            <v>1.7453292519943295E-2</v>
          </cell>
        </row>
      </sheetData>
      <sheetData sheetId="649">
        <row r="1">
          <cell r="J1">
            <v>1.7453292519943295E-2</v>
          </cell>
        </row>
      </sheetData>
      <sheetData sheetId="650">
        <row r="1">
          <cell r="J1">
            <v>1.7453292519943295E-2</v>
          </cell>
        </row>
      </sheetData>
      <sheetData sheetId="651">
        <row r="1">
          <cell r="J1">
            <v>1.7453292519943295E-2</v>
          </cell>
        </row>
      </sheetData>
      <sheetData sheetId="652">
        <row r="1">
          <cell r="J1">
            <v>1.7453292519943295E-2</v>
          </cell>
        </row>
      </sheetData>
      <sheetData sheetId="653">
        <row r="1">
          <cell r="J1">
            <v>1.7453292519943295E-2</v>
          </cell>
        </row>
      </sheetData>
      <sheetData sheetId="654">
        <row r="1">
          <cell r="J1">
            <v>1.7453292519943295E-2</v>
          </cell>
        </row>
      </sheetData>
      <sheetData sheetId="655">
        <row r="1">
          <cell r="J1">
            <v>1.7453292519943295E-2</v>
          </cell>
        </row>
      </sheetData>
      <sheetData sheetId="656">
        <row r="1">
          <cell r="J1">
            <v>1.7453292519943295E-2</v>
          </cell>
        </row>
      </sheetData>
      <sheetData sheetId="657">
        <row r="1">
          <cell r="J1">
            <v>1.7453292519943295E-2</v>
          </cell>
        </row>
      </sheetData>
      <sheetData sheetId="658">
        <row r="1">
          <cell r="J1">
            <v>1.7453292519943295E-2</v>
          </cell>
        </row>
      </sheetData>
      <sheetData sheetId="659">
        <row r="1">
          <cell r="J1">
            <v>1.7453292519943295E-2</v>
          </cell>
        </row>
      </sheetData>
      <sheetData sheetId="660">
        <row r="1">
          <cell r="J1">
            <v>1.7453292519943295E-2</v>
          </cell>
        </row>
      </sheetData>
      <sheetData sheetId="661">
        <row r="1">
          <cell r="J1">
            <v>1.7453292519943295E-2</v>
          </cell>
        </row>
      </sheetData>
      <sheetData sheetId="662">
        <row r="1">
          <cell r="J1">
            <v>1.7453292519943295E-2</v>
          </cell>
        </row>
      </sheetData>
      <sheetData sheetId="663">
        <row r="1">
          <cell r="J1">
            <v>1.7453292519943295E-2</v>
          </cell>
        </row>
      </sheetData>
      <sheetData sheetId="664">
        <row r="1">
          <cell r="J1">
            <v>1.7453292519943295E-2</v>
          </cell>
        </row>
      </sheetData>
      <sheetData sheetId="665">
        <row r="1">
          <cell r="J1">
            <v>1.7453292519943295E-2</v>
          </cell>
        </row>
      </sheetData>
      <sheetData sheetId="666">
        <row r="1">
          <cell r="J1">
            <v>1.7453292519943295E-2</v>
          </cell>
        </row>
      </sheetData>
      <sheetData sheetId="667">
        <row r="1">
          <cell r="J1">
            <v>1.7453292519943295E-2</v>
          </cell>
        </row>
      </sheetData>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ow r="1">
          <cell r="J1">
            <v>1.7453292519943295E-2</v>
          </cell>
        </row>
      </sheetData>
      <sheetData sheetId="691">
        <row r="1">
          <cell r="J1">
            <v>1.7453292519943295E-2</v>
          </cell>
        </row>
      </sheetData>
      <sheetData sheetId="692">
        <row r="1">
          <cell r="J1">
            <v>1.7453292519943295E-2</v>
          </cell>
        </row>
      </sheetData>
      <sheetData sheetId="693">
        <row r="1">
          <cell r="J1">
            <v>1.7453292519943295E-2</v>
          </cell>
        </row>
      </sheetData>
      <sheetData sheetId="694">
        <row r="1">
          <cell r="J1">
            <v>1.7453292519943295E-2</v>
          </cell>
        </row>
      </sheetData>
      <sheetData sheetId="695">
        <row r="1">
          <cell r="J1">
            <v>1.7453292519943295E-2</v>
          </cell>
        </row>
      </sheetData>
      <sheetData sheetId="696">
        <row r="1">
          <cell r="J1">
            <v>1.7453292519943295E-2</v>
          </cell>
        </row>
      </sheetData>
      <sheetData sheetId="697">
        <row r="1">
          <cell r="J1">
            <v>1.7453292519943295E-2</v>
          </cell>
        </row>
      </sheetData>
      <sheetData sheetId="698">
        <row r="1">
          <cell r="J1">
            <v>1.7453292519943295E-2</v>
          </cell>
        </row>
      </sheetData>
      <sheetData sheetId="699">
        <row r="1">
          <cell r="J1">
            <v>1.7453292519943295E-2</v>
          </cell>
        </row>
      </sheetData>
      <sheetData sheetId="700">
        <row r="1">
          <cell r="J1">
            <v>1.7453292519943295E-2</v>
          </cell>
        </row>
      </sheetData>
      <sheetData sheetId="701">
        <row r="1">
          <cell r="J1">
            <v>1.7453292519943295E-2</v>
          </cell>
        </row>
      </sheetData>
      <sheetData sheetId="702">
        <row r="1">
          <cell r="J1">
            <v>1.7453292519943295E-2</v>
          </cell>
        </row>
      </sheetData>
      <sheetData sheetId="703">
        <row r="1">
          <cell r="J1">
            <v>1.7453292519943295E-2</v>
          </cell>
        </row>
      </sheetData>
      <sheetData sheetId="704">
        <row r="1">
          <cell r="J1">
            <v>1.7453292519943295E-2</v>
          </cell>
        </row>
      </sheetData>
      <sheetData sheetId="705">
        <row r="1">
          <cell r="J1">
            <v>1.7453292519943295E-2</v>
          </cell>
        </row>
      </sheetData>
      <sheetData sheetId="706">
        <row r="1">
          <cell r="J1">
            <v>1.7453292519943295E-2</v>
          </cell>
        </row>
      </sheetData>
      <sheetData sheetId="707">
        <row r="1">
          <cell r="J1">
            <v>1.7453292519943295E-2</v>
          </cell>
        </row>
      </sheetData>
      <sheetData sheetId="708">
        <row r="1">
          <cell r="J1">
            <v>1.7453292519943295E-2</v>
          </cell>
        </row>
      </sheetData>
      <sheetData sheetId="709">
        <row r="1">
          <cell r="J1">
            <v>1.7453292519943295E-2</v>
          </cell>
        </row>
      </sheetData>
      <sheetData sheetId="710" refreshError="1"/>
      <sheetData sheetId="711" refreshError="1"/>
      <sheetData sheetId="712">
        <row r="1">
          <cell r="J1">
            <v>1.7453292519943295E-2</v>
          </cell>
        </row>
      </sheetData>
      <sheetData sheetId="713">
        <row r="1">
          <cell r="J1">
            <v>1.7453292519943295E-2</v>
          </cell>
        </row>
      </sheetData>
      <sheetData sheetId="714">
        <row r="1">
          <cell r="J1">
            <v>1.7453292519943295E-2</v>
          </cell>
        </row>
      </sheetData>
      <sheetData sheetId="715">
        <row r="1">
          <cell r="J1">
            <v>1.7453292519943295E-2</v>
          </cell>
        </row>
      </sheetData>
      <sheetData sheetId="716">
        <row r="1">
          <cell r="J1">
            <v>1.7453292519943295E-2</v>
          </cell>
        </row>
      </sheetData>
      <sheetData sheetId="717">
        <row r="1">
          <cell r="J1">
            <v>1.7453292519943295E-2</v>
          </cell>
        </row>
      </sheetData>
      <sheetData sheetId="718">
        <row r="1">
          <cell r="J1">
            <v>1.7453292519943295E-2</v>
          </cell>
        </row>
      </sheetData>
      <sheetData sheetId="719">
        <row r="1">
          <cell r="J1">
            <v>1.7453292519943295E-2</v>
          </cell>
        </row>
      </sheetData>
      <sheetData sheetId="720">
        <row r="1">
          <cell r="J1">
            <v>1.7453292519943295E-2</v>
          </cell>
        </row>
      </sheetData>
      <sheetData sheetId="721">
        <row r="1">
          <cell r="J1">
            <v>1.7453292519943295E-2</v>
          </cell>
        </row>
      </sheetData>
      <sheetData sheetId="722">
        <row r="1">
          <cell r="J1">
            <v>1.7453292519943295E-2</v>
          </cell>
        </row>
      </sheetData>
      <sheetData sheetId="723">
        <row r="1">
          <cell r="J1">
            <v>1.7453292519943295E-2</v>
          </cell>
        </row>
      </sheetData>
      <sheetData sheetId="724">
        <row r="1">
          <cell r="J1">
            <v>1.7453292519943295E-2</v>
          </cell>
        </row>
      </sheetData>
      <sheetData sheetId="725">
        <row r="1">
          <cell r="J1">
            <v>1.7453292519943295E-2</v>
          </cell>
        </row>
      </sheetData>
      <sheetData sheetId="726">
        <row r="1">
          <cell r="J1">
            <v>1.7453292519943295E-2</v>
          </cell>
        </row>
      </sheetData>
      <sheetData sheetId="727">
        <row r="1">
          <cell r="J1">
            <v>1.7453292519943295E-2</v>
          </cell>
        </row>
      </sheetData>
      <sheetData sheetId="728">
        <row r="1">
          <cell r="J1">
            <v>1.7453292519943295E-2</v>
          </cell>
        </row>
      </sheetData>
      <sheetData sheetId="729">
        <row r="1">
          <cell r="J1">
            <v>1.7453292519943295E-2</v>
          </cell>
        </row>
      </sheetData>
      <sheetData sheetId="730">
        <row r="1">
          <cell r="J1">
            <v>1.7453292519943295E-2</v>
          </cell>
        </row>
      </sheetData>
      <sheetData sheetId="731">
        <row r="1">
          <cell r="J1">
            <v>1.7453292519943295E-2</v>
          </cell>
        </row>
      </sheetData>
      <sheetData sheetId="732">
        <row r="1">
          <cell r="J1">
            <v>1.7453292519943295E-2</v>
          </cell>
        </row>
      </sheetData>
      <sheetData sheetId="733">
        <row r="1">
          <cell r="J1">
            <v>1.7453292519943295E-2</v>
          </cell>
        </row>
      </sheetData>
      <sheetData sheetId="734">
        <row r="1">
          <cell r="J1">
            <v>1.7453292519943295E-2</v>
          </cell>
        </row>
      </sheetData>
      <sheetData sheetId="735">
        <row r="1">
          <cell r="J1">
            <v>1.7453292519943295E-2</v>
          </cell>
        </row>
      </sheetData>
      <sheetData sheetId="736">
        <row r="1">
          <cell r="J1">
            <v>1.7453292519943295E-2</v>
          </cell>
        </row>
      </sheetData>
      <sheetData sheetId="737">
        <row r="1">
          <cell r="J1">
            <v>1.7453292519943295E-2</v>
          </cell>
        </row>
      </sheetData>
      <sheetData sheetId="738">
        <row r="1">
          <cell r="J1">
            <v>1.7453292519943295E-2</v>
          </cell>
        </row>
      </sheetData>
      <sheetData sheetId="739">
        <row r="1">
          <cell r="J1">
            <v>1.7453292519943295E-2</v>
          </cell>
        </row>
      </sheetData>
      <sheetData sheetId="740">
        <row r="1">
          <cell r="J1">
            <v>1.7453292519943295E-2</v>
          </cell>
        </row>
      </sheetData>
      <sheetData sheetId="741">
        <row r="1">
          <cell r="J1">
            <v>1.7453292519943295E-2</v>
          </cell>
        </row>
      </sheetData>
      <sheetData sheetId="742">
        <row r="1">
          <cell r="J1">
            <v>1.7453292519943295E-2</v>
          </cell>
        </row>
      </sheetData>
      <sheetData sheetId="743">
        <row r="1">
          <cell r="J1">
            <v>1.7453292519943295E-2</v>
          </cell>
        </row>
      </sheetData>
      <sheetData sheetId="744">
        <row r="1">
          <cell r="J1">
            <v>1.7453292519943295E-2</v>
          </cell>
        </row>
      </sheetData>
      <sheetData sheetId="745">
        <row r="1">
          <cell r="J1">
            <v>1.7453292519943295E-2</v>
          </cell>
        </row>
      </sheetData>
      <sheetData sheetId="746">
        <row r="1">
          <cell r="J1">
            <v>1.7453292519943295E-2</v>
          </cell>
        </row>
      </sheetData>
      <sheetData sheetId="747">
        <row r="1">
          <cell r="J1">
            <v>1.7453292519943295E-2</v>
          </cell>
        </row>
      </sheetData>
      <sheetData sheetId="748">
        <row r="1">
          <cell r="J1">
            <v>1.7453292519943295E-2</v>
          </cell>
        </row>
      </sheetData>
      <sheetData sheetId="749">
        <row r="1">
          <cell r="J1">
            <v>1.7453292519943295E-2</v>
          </cell>
        </row>
      </sheetData>
      <sheetData sheetId="750">
        <row r="1">
          <cell r="J1">
            <v>1.7453292519943295E-2</v>
          </cell>
        </row>
      </sheetData>
      <sheetData sheetId="751">
        <row r="1">
          <cell r="J1">
            <v>1.7453292519943295E-2</v>
          </cell>
        </row>
      </sheetData>
      <sheetData sheetId="752">
        <row r="1">
          <cell r="J1">
            <v>1.7453292519943295E-2</v>
          </cell>
        </row>
      </sheetData>
      <sheetData sheetId="753">
        <row r="1">
          <cell r="J1">
            <v>1.7453292519943295E-2</v>
          </cell>
        </row>
      </sheetData>
      <sheetData sheetId="754">
        <row r="1">
          <cell r="J1">
            <v>1.7453292519943295E-2</v>
          </cell>
        </row>
      </sheetData>
      <sheetData sheetId="755">
        <row r="1">
          <cell r="J1">
            <v>1.7453292519943295E-2</v>
          </cell>
        </row>
      </sheetData>
      <sheetData sheetId="756">
        <row r="1">
          <cell r="J1">
            <v>1.7453292519943295E-2</v>
          </cell>
        </row>
      </sheetData>
      <sheetData sheetId="757">
        <row r="1">
          <cell r="J1">
            <v>1.7453292519943295E-2</v>
          </cell>
        </row>
      </sheetData>
      <sheetData sheetId="758">
        <row r="1">
          <cell r="J1">
            <v>1.7453292519943295E-2</v>
          </cell>
        </row>
      </sheetData>
      <sheetData sheetId="759">
        <row r="1">
          <cell r="J1">
            <v>1.7453292519943295E-2</v>
          </cell>
        </row>
      </sheetData>
      <sheetData sheetId="760">
        <row r="1">
          <cell r="J1">
            <v>1.7453292519943295E-2</v>
          </cell>
        </row>
      </sheetData>
      <sheetData sheetId="761">
        <row r="1">
          <cell r="J1">
            <v>1.7453292519943295E-2</v>
          </cell>
        </row>
      </sheetData>
      <sheetData sheetId="762">
        <row r="1">
          <cell r="J1">
            <v>1.7453292519943295E-2</v>
          </cell>
        </row>
      </sheetData>
      <sheetData sheetId="763">
        <row r="1">
          <cell r="J1">
            <v>1.7453292519943295E-2</v>
          </cell>
        </row>
      </sheetData>
      <sheetData sheetId="764">
        <row r="1">
          <cell r="J1">
            <v>1.7453292519943295E-2</v>
          </cell>
        </row>
      </sheetData>
      <sheetData sheetId="765">
        <row r="1">
          <cell r="J1">
            <v>1.7453292519943295E-2</v>
          </cell>
        </row>
      </sheetData>
      <sheetData sheetId="766">
        <row r="1">
          <cell r="J1">
            <v>1.7453292519943295E-2</v>
          </cell>
        </row>
      </sheetData>
      <sheetData sheetId="767">
        <row r="1">
          <cell r="J1">
            <v>1.7453292519943295E-2</v>
          </cell>
        </row>
      </sheetData>
      <sheetData sheetId="768">
        <row r="1">
          <cell r="J1">
            <v>1.7453292519943295E-2</v>
          </cell>
        </row>
      </sheetData>
      <sheetData sheetId="769">
        <row r="1">
          <cell r="J1">
            <v>1.7453292519943295E-2</v>
          </cell>
        </row>
      </sheetData>
      <sheetData sheetId="770">
        <row r="1">
          <cell r="J1">
            <v>1.7453292519943295E-2</v>
          </cell>
        </row>
      </sheetData>
      <sheetData sheetId="771">
        <row r="1">
          <cell r="J1">
            <v>1.7453292519943295E-2</v>
          </cell>
        </row>
      </sheetData>
      <sheetData sheetId="772">
        <row r="1">
          <cell r="J1">
            <v>1.7453292519943295E-2</v>
          </cell>
        </row>
      </sheetData>
      <sheetData sheetId="773">
        <row r="1">
          <cell r="J1">
            <v>1.7453292519943295E-2</v>
          </cell>
        </row>
      </sheetData>
      <sheetData sheetId="774">
        <row r="1">
          <cell r="J1">
            <v>1.7453292519943295E-2</v>
          </cell>
        </row>
      </sheetData>
      <sheetData sheetId="775">
        <row r="1">
          <cell r="J1">
            <v>1.7453292519943295E-2</v>
          </cell>
        </row>
      </sheetData>
      <sheetData sheetId="776">
        <row r="1">
          <cell r="J1">
            <v>1.7453292519943295E-2</v>
          </cell>
        </row>
      </sheetData>
      <sheetData sheetId="777">
        <row r="1">
          <cell r="J1">
            <v>1.7453292519943295E-2</v>
          </cell>
        </row>
      </sheetData>
      <sheetData sheetId="778">
        <row r="1">
          <cell r="J1">
            <v>1.7453292519943295E-2</v>
          </cell>
        </row>
      </sheetData>
      <sheetData sheetId="779">
        <row r="1">
          <cell r="J1">
            <v>1.7453292519943295E-2</v>
          </cell>
        </row>
      </sheetData>
      <sheetData sheetId="780">
        <row r="1">
          <cell r="J1">
            <v>1.7453292519943295E-2</v>
          </cell>
        </row>
      </sheetData>
      <sheetData sheetId="781">
        <row r="1">
          <cell r="J1">
            <v>1.7453292519943295E-2</v>
          </cell>
        </row>
      </sheetData>
      <sheetData sheetId="782">
        <row r="1">
          <cell r="J1">
            <v>1.7453292519943295E-2</v>
          </cell>
        </row>
      </sheetData>
      <sheetData sheetId="783">
        <row r="1">
          <cell r="J1">
            <v>1.7453292519943295E-2</v>
          </cell>
        </row>
      </sheetData>
      <sheetData sheetId="784">
        <row r="1">
          <cell r="J1">
            <v>1.7453292519943295E-2</v>
          </cell>
        </row>
      </sheetData>
      <sheetData sheetId="785">
        <row r="1">
          <cell r="J1">
            <v>1.7453292519943295E-2</v>
          </cell>
        </row>
      </sheetData>
      <sheetData sheetId="786">
        <row r="1">
          <cell r="J1">
            <v>1.7453292519943295E-2</v>
          </cell>
        </row>
      </sheetData>
      <sheetData sheetId="787">
        <row r="1">
          <cell r="J1">
            <v>1.7453292519943295E-2</v>
          </cell>
        </row>
      </sheetData>
      <sheetData sheetId="788">
        <row r="1">
          <cell r="J1">
            <v>1.7453292519943295E-2</v>
          </cell>
        </row>
      </sheetData>
      <sheetData sheetId="789">
        <row r="1">
          <cell r="J1">
            <v>1.7453292519943295E-2</v>
          </cell>
        </row>
      </sheetData>
      <sheetData sheetId="790">
        <row r="1">
          <cell r="J1">
            <v>1.7453292519943295E-2</v>
          </cell>
        </row>
      </sheetData>
      <sheetData sheetId="791">
        <row r="1">
          <cell r="J1">
            <v>1.7453292519943295E-2</v>
          </cell>
        </row>
      </sheetData>
      <sheetData sheetId="792">
        <row r="1">
          <cell r="J1">
            <v>1.7453292519943295E-2</v>
          </cell>
        </row>
      </sheetData>
      <sheetData sheetId="793">
        <row r="1">
          <cell r="J1">
            <v>1.7453292519943295E-2</v>
          </cell>
        </row>
      </sheetData>
      <sheetData sheetId="794">
        <row r="1">
          <cell r="J1">
            <v>1.7453292519943295E-2</v>
          </cell>
        </row>
      </sheetData>
      <sheetData sheetId="795">
        <row r="1">
          <cell r="J1">
            <v>1.7453292519943295E-2</v>
          </cell>
        </row>
      </sheetData>
      <sheetData sheetId="796">
        <row r="1">
          <cell r="J1">
            <v>1.7453292519943295E-2</v>
          </cell>
        </row>
      </sheetData>
      <sheetData sheetId="797">
        <row r="1">
          <cell r="J1">
            <v>1.7453292519943295E-2</v>
          </cell>
        </row>
      </sheetData>
      <sheetData sheetId="798">
        <row r="1">
          <cell r="J1">
            <v>1.7453292519943295E-2</v>
          </cell>
        </row>
      </sheetData>
      <sheetData sheetId="799">
        <row r="1">
          <cell r="J1">
            <v>1.7453292519943295E-2</v>
          </cell>
        </row>
      </sheetData>
      <sheetData sheetId="800">
        <row r="1">
          <cell r="J1">
            <v>1.7453292519943295E-2</v>
          </cell>
        </row>
      </sheetData>
      <sheetData sheetId="801">
        <row r="1">
          <cell r="J1">
            <v>1.7453292519943295E-2</v>
          </cell>
        </row>
      </sheetData>
      <sheetData sheetId="802">
        <row r="1">
          <cell r="J1">
            <v>1.7453292519943295E-2</v>
          </cell>
        </row>
      </sheetData>
      <sheetData sheetId="803">
        <row r="1">
          <cell r="J1">
            <v>1.7453292519943295E-2</v>
          </cell>
        </row>
      </sheetData>
      <sheetData sheetId="804">
        <row r="1">
          <cell r="J1">
            <v>1.7453292519943295E-2</v>
          </cell>
        </row>
      </sheetData>
      <sheetData sheetId="805">
        <row r="1">
          <cell r="J1">
            <v>1.7453292519943295E-2</v>
          </cell>
        </row>
      </sheetData>
      <sheetData sheetId="806">
        <row r="1">
          <cell r="J1">
            <v>1.7453292519943295E-2</v>
          </cell>
        </row>
      </sheetData>
      <sheetData sheetId="807">
        <row r="1">
          <cell r="J1">
            <v>1.7453292519943295E-2</v>
          </cell>
        </row>
      </sheetData>
      <sheetData sheetId="808">
        <row r="1">
          <cell r="J1">
            <v>1.7453292519943295E-2</v>
          </cell>
        </row>
      </sheetData>
      <sheetData sheetId="809">
        <row r="1">
          <cell r="J1">
            <v>1.7453292519943295E-2</v>
          </cell>
        </row>
      </sheetData>
      <sheetData sheetId="810">
        <row r="1">
          <cell r="J1">
            <v>1.7453292519943295E-2</v>
          </cell>
        </row>
      </sheetData>
      <sheetData sheetId="811">
        <row r="1">
          <cell r="J1">
            <v>1.7453292519943295E-2</v>
          </cell>
        </row>
      </sheetData>
      <sheetData sheetId="812">
        <row r="1">
          <cell r="J1">
            <v>1.7453292519943295E-2</v>
          </cell>
        </row>
      </sheetData>
      <sheetData sheetId="813">
        <row r="1">
          <cell r="J1">
            <v>1.7453292519943295E-2</v>
          </cell>
        </row>
      </sheetData>
      <sheetData sheetId="814">
        <row r="1">
          <cell r="J1">
            <v>1.7453292519943295E-2</v>
          </cell>
        </row>
      </sheetData>
      <sheetData sheetId="815">
        <row r="1">
          <cell r="J1">
            <v>1.7453292519943295E-2</v>
          </cell>
        </row>
      </sheetData>
      <sheetData sheetId="816">
        <row r="1">
          <cell r="J1">
            <v>1.7453292519943295E-2</v>
          </cell>
        </row>
      </sheetData>
      <sheetData sheetId="817">
        <row r="1">
          <cell r="J1">
            <v>1.7453292519943295E-2</v>
          </cell>
        </row>
      </sheetData>
      <sheetData sheetId="818">
        <row r="1">
          <cell r="J1">
            <v>1.7453292519943295E-2</v>
          </cell>
        </row>
      </sheetData>
      <sheetData sheetId="819">
        <row r="1">
          <cell r="J1">
            <v>1.7453292519943295E-2</v>
          </cell>
        </row>
      </sheetData>
      <sheetData sheetId="820">
        <row r="1">
          <cell r="J1">
            <v>1.7453292519943295E-2</v>
          </cell>
        </row>
      </sheetData>
      <sheetData sheetId="821">
        <row r="1">
          <cell r="J1">
            <v>1.7453292519943295E-2</v>
          </cell>
        </row>
      </sheetData>
      <sheetData sheetId="822">
        <row r="1">
          <cell r="J1">
            <v>1.7453292519943295E-2</v>
          </cell>
        </row>
      </sheetData>
      <sheetData sheetId="823">
        <row r="1">
          <cell r="J1">
            <v>1.7453292519943295E-2</v>
          </cell>
        </row>
      </sheetData>
      <sheetData sheetId="824">
        <row r="1">
          <cell r="J1">
            <v>1.7453292519943295E-2</v>
          </cell>
        </row>
      </sheetData>
      <sheetData sheetId="825">
        <row r="1">
          <cell r="J1">
            <v>1.7453292519943295E-2</v>
          </cell>
        </row>
      </sheetData>
      <sheetData sheetId="826">
        <row r="1">
          <cell r="J1">
            <v>1.7453292519943295E-2</v>
          </cell>
        </row>
      </sheetData>
      <sheetData sheetId="827">
        <row r="1">
          <cell r="J1">
            <v>1.7453292519943295E-2</v>
          </cell>
        </row>
      </sheetData>
      <sheetData sheetId="828">
        <row r="1">
          <cell r="J1">
            <v>1.7453292519943295E-2</v>
          </cell>
        </row>
      </sheetData>
      <sheetData sheetId="829">
        <row r="1">
          <cell r="J1">
            <v>1.7453292519943295E-2</v>
          </cell>
        </row>
      </sheetData>
      <sheetData sheetId="830">
        <row r="1">
          <cell r="J1">
            <v>1.7453292519943295E-2</v>
          </cell>
        </row>
      </sheetData>
      <sheetData sheetId="831">
        <row r="1">
          <cell r="J1">
            <v>1.7453292519943295E-2</v>
          </cell>
        </row>
      </sheetData>
      <sheetData sheetId="832">
        <row r="1">
          <cell r="J1">
            <v>1.7453292519943295E-2</v>
          </cell>
        </row>
      </sheetData>
      <sheetData sheetId="833">
        <row r="1">
          <cell r="J1">
            <v>1.7453292519943295E-2</v>
          </cell>
        </row>
      </sheetData>
      <sheetData sheetId="834">
        <row r="1">
          <cell r="J1">
            <v>1.7453292519943295E-2</v>
          </cell>
        </row>
      </sheetData>
      <sheetData sheetId="835">
        <row r="1">
          <cell r="J1">
            <v>1.7453292519943295E-2</v>
          </cell>
        </row>
      </sheetData>
      <sheetData sheetId="836">
        <row r="1">
          <cell r="J1">
            <v>1.7453292519943295E-2</v>
          </cell>
        </row>
      </sheetData>
      <sheetData sheetId="837">
        <row r="1">
          <cell r="J1">
            <v>1.7453292519943295E-2</v>
          </cell>
        </row>
      </sheetData>
      <sheetData sheetId="838">
        <row r="1">
          <cell r="J1">
            <v>1.7453292519943295E-2</v>
          </cell>
        </row>
      </sheetData>
      <sheetData sheetId="839">
        <row r="1">
          <cell r="J1">
            <v>1.7453292519943295E-2</v>
          </cell>
        </row>
      </sheetData>
      <sheetData sheetId="840">
        <row r="1">
          <cell r="J1">
            <v>1.7453292519943295E-2</v>
          </cell>
        </row>
      </sheetData>
      <sheetData sheetId="841">
        <row r="1">
          <cell r="J1">
            <v>1.7453292519943295E-2</v>
          </cell>
        </row>
      </sheetData>
      <sheetData sheetId="842">
        <row r="1">
          <cell r="J1">
            <v>1.7453292519943295E-2</v>
          </cell>
        </row>
      </sheetData>
      <sheetData sheetId="843">
        <row r="1">
          <cell r="J1">
            <v>1.7453292519943295E-2</v>
          </cell>
        </row>
      </sheetData>
      <sheetData sheetId="844">
        <row r="1">
          <cell r="J1">
            <v>1.7453292519943295E-2</v>
          </cell>
        </row>
      </sheetData>
      <sheetData sheetId="845">
        <row r="1">
          <cell r="J1">
            <v>1.7453292519943295E-2</v>
          </cell>
        </row>
      </sheetData>
      <sheetData sheetId="846">
        <row r="1">
          <cell r="J1">
            <v>1.7453292519943295E-2</v>
          </cell>
        </row>
      </sheetData>
      <sheetData sheetId="847">
        <row r="1">
          <cell r="J1">
            <v>1.7453292519943295E-2</v>
          </cell>
        </row>
      </sheetData>
      <sheetData sheetId="848">
        <row r="1">
          <cell r="J1">
            <v>1.7453292519943295E-2</v>
          </cell>
        </row>
      </sheetData>
      <sheetData sheetId="849">
        <row r="1">
          <cell r="J1">
            <v>1.7453292519943295E-2</v>
          </cell>
        </row>
      </sheetData>
      <sheetData sheetId="850">
        <row r="1">
          <cell r="J1">
            <v>1.7453292519943295E-2</v>
          </cell>
        </row>
      </sheetData>
      <sheetData sheetId="851">
        <row r="1">
          <cell r="J1">
            <v>1.7453292519943295E-2</v>
          </cell>
        </row>
      </sheetData>
      <sheetData sheetId="852">
        <row r="1">
          <cell r="J1">
            <v>1.7453292519943295E-2</v>
          </cell>
        </row>
      </sheetData>
      <sheetData sheetId="853">
        <row r="1">
          <cell r="J1">
            <v>1.7453292519943295E-2</v>
          </cell>
        </row>
      </sheetData>
      <sheetData sheetId="854">
        <row r="1">
          <cell r="J1">
            <v>1.7453292519943295E-2</v>
          </cell>
        </row>
      </sheetData>
      <sheetData sheetId="855">
        <row r="1">
          <cell r="J1">
            <v>1.7453292519943295E-2</v>
          </cell>
        </row>
      </sheetData>
      <sheetData sheetId="856">
        <row r="1">
          <cell r="J1">
            <v>1.7453292519943295E-2</v>
          </cell>
        </row>
      </sheetData>
      <sheetData sheetId="857">
        <row r="1">
          <cell r="J1">
            <v>1.7453292519943295E-2</v>
          </cell>
        </row>
      </sheetData>
      <sheetData sheetId="858">
        <row r="1">
          <cell r="J1">
            <v>1.7453292519943295E-2</v>
          </cell>
        </row>
      </sheetData>
      <sheetData sheetId="859">
        <row r="1">
          <cell r="J1">
            <v>1.7453292519943295E-2</v>
          </cell>
        </row>
      </sheetData>
      <sheetData sheetId="860">
        <row r="1">
          <cell r="J1">
            <v>1.7453292519943295E-2</v>
          </cell>
        </row>
      </sheetData>
      <sheetData sheetId="861">
        <row r="1">
          <cell r="J1">
            <v>1.7453292519943295E-2</v>
          </cell>
        </row>
      </sheetData>
      <sheetData sheetId="862">
        <row r="1">
          <cell r="J1">
            <v>1.7453292519943295E-2</v>
          </cell>
        </row>
      </sheetData>
      <sheetData sheetId="863">
        <row r="1">
          <cell r="J1">
            <v>1.7453292519943295E-2</v>
          </cell>
        </row>
      </sheetData>
      <sheetData sheetId="864">
        <row r="1">
          <cell r="J1">
            <v>1.7453292519943295E-2</v>
          </cell>
        </row>
      </sheetData>
      <sheetData sheetId="865">
        <row r="1">
          <cell r="J1">
            <v>1.7453292519943295E-2</v>
          </cell>
        </row>
      </sheetData>
      <sheetData sheetId="866">
        <row r="1">
          <cell r="J1">
            <v>1.7453292519943295E-2</v>
          </cell>
        </row>
      </sheetData>
      <sheetData sheetId="867">
        <row r="1">
          <cell r="J1">
            <v>1.7453292519943295E-2</v>
          </cell>
        </row>
      </sheetData>
      <sheetData sheetId="868">
        <row r="1">
          <cell r="J1">
            <v>1.7453292519943295E-2</v>
          </cell>
        </row>
      </sheetData>
      <sheetData sheetId="869">
        <row r="1">
          <cell r="J1">
            <v>1.7453292519943295E-2</v>
          </cell>
        </row>
      </sheetData>
      <sheetData sheetId="870">
        <row r="1">
          <cell r="J1">
            <v>1.7453292519943295E-2</v>
          </cell>
        </row>
      </sheetData>
      <sheetData sheetId="871">
        <row r="1">
          <cell r="J1">
            <v>1.7453292519943295E-2</v>
          </cell>
        </row>
      </sheetData>
      <sheetData sheetId="872">
        <row r="1">
          <cell r="J1">
            <v>1.7453292519943295E-2</v>
          </cell>
        </row>
      </sheetData>
      <sheetData sheetId="873">
        <row r="1">
          <cell r="J1">
            <v>1.7453292519943295E-2</v>
          </cell>
        </row>
      </sheetData>
      <sheetData sheetId="874">
        <row r="1">
          <cell r="J1">
            <v>1.7453292519943295E-2</v>
          </cell>
        </row>
      </sheetData>
      <sheetData sheetId="875">
        <row r="1">
          <cell r="J1">
            <v>1.7453292519943295E-2</v>
          </cell>
        </row>
      </sheetData>
      <sheetData sheetId="876">
        <row r="1">
          <cell r="J1">
            <v>1.7453292519943295E-2</v>
          </cell>
        </row>
      </sheetData>
      <sheetData sheetId="877">
        <row r="1">
          <cell r="J1">
            <v>1.7453292519943295E-2</v>
          </cell>
        </row>
      </sheetData>
      <sheetData sheetId="878">
        <row r="1">
          <cell r="J1">
            <v>1.7453292519943295E-2</v>
          </cell>
        </row>
      </sheetData>
      <sheetData sheetId="879">
        <row r="1">
          <cell r="J1">
            <v>1.7453292519943295E-2</v>
          </cell>
        </row>
      </sheetData>
      <sheetData sheetId="880">
        <row r="1">
          <cell r="J1">
            <v>1.7453292519943295E-2</v>
          </cell>
        </row>
      </sheetData>
      <sheetData sheetId="881">
        <row r="1">
          <cell r="J1">
            <v>1.7453292519943295E-2</v>
          </cell>
        </row>
      </sheetData>
      <sheetData sheetId="882">
        <row r="1">
          <cell r="J1">
            <v>1.7453292519943295E-2</v>
          </cell>
        </row>
      </sheetData>
      <sheetData sheetId="883">
        <row r="1">
          <cell r="J1">
            <v>1.7453292519943295E-2</v>
          </cell>
        </row>
      </sheetData>
      <sheetData sheetId="884">
        <row r="1">
          <cell r="J1">
            <v>1.7453292519943295E-2</v>
          </cell>
        </row>
      </sheetData>
      <sheetData sheetId="885">
        <row r="1">
          <cell r="J1">
            <v>1.7453292519943295E-2</v>
          </cell>
        </row>
      </sheetData>
      <sheetData sheetId="886">
        <row r="1">
          <cell r="J1">
            <v>1.7453292519943295E-2</v>
          </cell>
        </row>
      </sheetData>
      <sheetData sheetId="887">
        <row r="1">
          <cell r="J1">
            <v>1.7453292519943295E-2</v>
          </cell>
        </row>
      </sheetData>
      <sheetData sheetId="888">
        <row r="1">
          <cell r="J1">
            <v>1.7453292519943295E-2</v>
          </cell>
        </row>
      </sheetData>
      <sheetData sheetId="889">
        <row r="1">
          <cell r="J1">
            <v>1.7453292519943295E-2</v>
          </cell>
        </row>
      </sheetData>
      <sheetData sheetId="890">
        <row r="1">
          <cell r="J1">
            <v>1.7453292519943295E-2</v>
          </cell>
        </row>
      </sheetData>
      <sheetData sheetId="891">
        <row r="1">
          <cell r="J1">
            <v>1.7453292519943295E-2</v>
          </cell>
        </row>
      </sheetData>
      <sheetData sheetId="892">
        <row r="1">
          <cell r="J1">
            <v>1.7453292519943295E-2</v>
          </cell>
        </row>
      </sheetData>
      <sheetData sheetId="893">
        <row r="1">
          <cell r="J1">
            <v>1.7453292519943295E-2</v>
          </cell>
        </row>
      </sheetData>
      <sheetData sheetId="894">
        <row r="1">
          <cell r="J1">
            <v>1.7453292519943295E-2</v>
          </cell>
        </row>
      </sheetData>
      <sheetData sheetId="895">
        <row r="1">
          <cell r="J1">
            <v>1.7453292519943295E-2</v>
          </cell>
        </row>
      </sheetData>
      <sheetData sheetId="896">
        <row r="1">
          <cell r="J1">
            <v>1.7453292519943295E-2</v>
          </cell>
        </row>
      </sheetData>
      <sheetData sheetId="897">
        <row r="1">
          <cell r="J1">
            <v>1.7453292519943295E-2</v>
          </cell>
        </row>
      </sheetData>
      <sheetData sheetId="898">
        <row r="1">
          <cell r="J1">
            <v>1.7453292519943295E-2</v>
          </cell>
        </row>
      </sheetData>
      <sheetData sheetId="899">
        <row r="1">
          <cell r="J1">
            <v>1.7453292519943295E-2</v>
          </cell>
        </row>
      </sheetData>
      <sheetData sheetId="900">
        <row r="1">
          <cell r="J1">
            <v>1.7453292519943295E-2</v>
          </cell>
        </row>
      </sheetData>
      <sheetData sheetId="901">
        <row r="1">
          <cell r="J1">
            <v>1.7453292519943295E-2</v>
          </cell>
        </row>
      </sheetData>
      <sheetData sheetId="902">
        <row r="1">
          <cell r="J1">
            <v>1.7453292519943295E-2</v>
          </cell>
        </row>
      </sheetData>
      <sheetData sheetId="903">
        <row r="1">
          <cell r="J1">
            <v>1.7453292519943295E-2</v>
          </cell>
        </row>
      </sheetData>
      <sheetData sheetId="904">
        <row r="1">
          <cell r="J1">
            <v>1.7453292519943295E-2</v>
          </cell>
        </row>
      </sheetData>
      <sheetData sheetId="905">
        <row r="1">
          <cell r="J1">
            <v>1.7453292519943295E-2</v>
          </cell>
        </row>
      </sheetData>
      <sheetData sheetId="906">
        <row r="1">
          <cell r="J1">
            <v>1.7453292519943295E-2</v>
          </cell>
        </row>
      </sheetData>
      <sheetData sheetId="907">
        <row r="1">
          <cell r="J1">
            <v>1.7453292519943295E-2</v>
          </cell>
        </row>
      </sheetData>
      <sheetData sheetId="908">
        <row r="1">
          <cell r="J1">
            <v>1.7453292519943295E-2</v>
          </cell>
        </row>
      </sheetData>
      <sheetData sheetId="909">
        <row r="1">
          <cell r="J1">
            <v>1.7453292519943295E-2</v>
          </cell>
        </row>
      </sheetData>
      <sheetData sheetId="910">
        <row r="1">
          <cell r="J1">
            <v>1.7453292519943295E-2</v>
          </cell>
        </row>
      </sheetData>
      <sheetData sheetId="911">
        <row r="1">
          <cell r="J1">
            <v>1.7453292519943295E-2</v>
          </cell>
        </row>
      </sheetData>
      <sheetData sheetId="912">
        <row r="1">
          <cell r="J1">
            <v>1.7453292519943295E-2</v>
          </cell>
        </row>
      </sheetData>
      <sheetData sheetId="913">
        <row r="1">
          <cell r="J1">
            <v>1.7453292519943295E-2</v>
          </cell>
        </row>
      </sheetData>
      <sheetData sheetId="914">
        <row r="1">
          <cell r="J1">
            <v>1.7453292519943295E-2</v>
          </cell>
        </row>
      </sheetData>
      <sheetData sheetId="915">
        <row r="1">
          <cell r="J1">
            <v>1.7453292519943295E-2</v>
          </cell>
        </row>
      </sheetData>
      <sheetData sheetId="916">
        <row r="1">
          <cell r="J1">
            <v>1.7453292519943295E-2</v>
          </cell>
        </row>
      </sheetData>
      <sheetData sheetId="917">
        <row r="1">
          <cell r="J1">
            <v>1.7453292519943295E-2</v>
          </cell>
        </row>
      </sheetData>
      <sheetData sheetId="918">
        <row r="1">
          <cell r="J1">
            <v>1.7453292519943295E-2</v>
          </cell>
        </row>
      </sheetData>
      <sheetData sheetId="919">
        <row r="1">
          <cell r="J1">
            <v>1.7453292519943295E-2</v>
          </cell>
        </row>
      </sheetData>
      <sheetData sheetId="920">
        <row r="1">
          <cell r="J1">
            <v>1.7453292519943295E-2</v>
          </cell>
        </row>
      </sheetData>
      <sheetData sheetId="921">
        <row r="1">
          <cell r="J1">
            <v>1.7453292519943295E-2</v>
          </cell>
        </row>
      </sheetData>
      <sheetData sheetId="922">
        <row r="1">
          <cell r="J1">
            <v>1.7453292519943295E-2</v>
          </cell>
        </row>
      </sheetData>
      <sheetData sheetId="923">
        <row r="1">
          <cell r="J1">
            <v>1.7453292519943295E-2</v>
          </cell>
        </row>
      </sheetData>
      <sheetData sheetId="924">
        <row r="1">
          <cell r="J1">
            <v>1.7453292519943295E-2</v>
          </cell>
        </row>
      </sheetData>
      <sheetData sheetId="925">
        <row r="1">
          <cell r="J1">
            <v>1.7453292519943295E-2</v>
          </cell>
        </row>
      </sheetData>
      <sheetData sheetId="926">
        <row r="1">
          <cell r="J1">
            <v>1.7453292519943295E-2</v>
          </cell>
        </row>
      </sheetData>
      <sheetData sheetId="927">
        <row r="1">
          <cell r="J1">
            <v>1.7453292519943295E-2</v>
          </cell>
        </row>
      </sheetData>
      <sheetData sheetId="928">
        <row r="1">
          <cell r="J1">
            <v>1.7453292519943295E-2</v>
          </cell>
        </row>
      </sheetData>
      <sheetData sheetId="929">
        <row r="1">
          <cell r="J1">
            <v>1.7453292519943295E-2</v>
          </cell>
        </row>
      </sheetData>
      <sheetData sheetId="930">
        <row r="1">
          <cell r="J1">
            <v>1.7453292519943295E-2</v>
          </cell>
        </row>
      </sheetData>
      <sheetData sheetId="931">
        <row r="1">
          <cell r="J1">
            <v>1.7453292519943295E-2</v>
          </cell>
        </row>
      </sheetData>
      <sheetData sheetId="932">
        <row r="1">
          <cell r="J1">
            <v>1.7453292519943295E-2</v>
          </cell>
        </row>
      </sheetData>
      <sheetData sheetId="933">
        <row r="1">
          <cell r="J1">
            <v>1.7453292519943295E-2</v>
          </cell>
        </row>
      </sheetData>
      <sheetData sheetId="934">
        <row r="1">
          <cell r="J1">
            <v>1.7453292519943295E-2</v>
          </cell>
        </row>
      </sheetData>
      <sheetData sheetId="935">
        <row r="1">
          <cell r="J1">
            <v>1.7453292519943295E-2</v>
          </cell>
        </row>
      </sheetData>
      <sheetData sheetId="936">
        <row r="1">
          <cell r="J1">
            <v>1.7453292519943295E-2</v>
          </cell>
        </row>
      </sheetData>
      <sheetData sheetId="937">
        <row r="1">
          <cell r="J1">
            <v>1.7453292519943295E-2</v>
          </cell>
        </row>
      </sheetData>
      <sheetData sheetId="938">
        <row r="1">
          <cell r="J1">
            <v>1.7453292519943295E-2</v>
          </cell>
        </row>
      </sheetData>
      <sheetData sheetId="939">
        <row r="1">
          <cell r="J1">
            <v>1.7453292519943295E-2</v>
          </cell>
        </row>
      </sheetData>
      <sheetData sheetId="940">
        <row r="1">
          <cell r="J1">
            <v>1.7453292519943295E-2</v>
          </cell>
        </row>
      </sheetData>
      <sheetData sheetId="941">
        <row r="1">
          <cell r="J1">
            <v>1.7453292519943295E-2</v>
          </cell>
        </row>
      </sheetData>
      <sheetData sheetId="942">
        <row r="1">
          <cell r="J1">
            <v>1.7453292519943295E-2</v>
          </cell>
        </row>
      </sheetData>
      <sheetData sheetId="943">
        <row r="1">
          <cell r="J1">
            <v>1.7453292519943295E-2</v>
          </cell>
        </row>
      </sheetData>
      <sheetData sheetId="944">
        <row r="1">
          <cell r="J1">
            <v>1.7453292519943295E-2</v>
          </cell>
        </row>
      </sheetData>
      <sheetData sheetId="945">
        <row r="1">
          <cell r="J1">
            <v>1.7453292519943295E-2</v>
          </cell>
        </row>
      </sheetData>
      <sheetData sheetId="946">
        <row r="1">
          <cell r="J1">
            <v>1.7453292519943295E-2</v>
          </cell>
        </row>
      </sheetData>
      <sheetData sheetId="947">
        <row r="1">
          <cell r="J1">
            <v>1.7453292519943295E-2</v>
          </cell>
        </row>
      </sheetData>
      <sheetData sheetId="948">
        <row r="1">
          <cell r="J1">
            <v>1.7453292519943295E-2</v>
          </cell>
        </row>
      </sheetData>
      <sheetData sheetId="949">
        <row r="1">
          <cell r="J1">
            <v>1.7453292519943295E-2</v>
          </cell>
        </row>
      </sheetData>
      <sheetData sheetId="950">
        <row r="1">
          <cell r="J1">
            <v>1.7453292519943295E-2</v>
          </cell>
        </row>
      </sheetData>
      <sheetData sheetId="951">
        <row r="1">
          <cell r="J1">
            <v>1.7453292519943295E-2</v>
          </cell>
        </row>
      </sheetData>
      <sheetData sheetId="952">
        <row r="1">
          <cell r="J1">
            <v>1.7453292519943295E-2</v>
          </cell>
        </row>
      </sheetData>
      <sheetData sheetId="953">
        <row r="1">
          <cell r="J1">
            <v>1.7453292519943295E-2</v>
          </cell>
        </row>
      </sheetData>
      <sheetData sheetId="954">
        <row r="1">
          <cell r="J1">
            <v>1.7453292519943295E-2</v>
          </cell>
        </row>
      </sheetData>
      <sheetData sheetId="955">
        <row r="1">
          <cell r="J1">
            <v>1.7453292519943295E-2</v>
          </cell>
        </row>
      </sheetData>
      <sheetData sheetId="956">
        <row r="1">
          <cell r="J1">
            <v>1.7453292519943295E-2</v>
          </cell>
        </row>
      </sheetData>
      <sheetData sheetId="957">
        <row r="1">
          <cell r="J1">
            <v>1.7453292519943295E-2</v>
          </cell>
        </row>
      </sheetData>
      <sheetData sheetId="958">
        <row r="1">
          <cell r="J1">
            <v>1.7453292519943295E-2</v>
          </cell>
        </row>
      </sheetData>
      <sheetData sheetId="959">
        <row r="1">
          <cell r="J1">
            <v>1.7453292519943295E-2</v>
          </cell>
        </row>
      </sheetData>
      <sheetData sheetId="960">
        <row r="1">
          <cell r="J1">
            <v>1.7453292519943295E-2</v>
          </cell>
        </row>
      </sheetData>
      <sheetData sheetId="961">
        <row r="1">
          <cell r="J1">
            <v>1.7453292519943295E-2</v>
          </cell>
        </row>
      </sheetData>
      <sheetData sheetId="962">
        <row r="1">
          <cell r="J1">
            <v>1.7453292519943295E-2</v>
          </cell>
        </row>
      </sheetData>
      <sheetData sheetId="963">
        <row r="1">
          <cell r="J1">
            <v>1.7453292519943295E-2</v>
          </cell>
        </row>
      </sheetData>
      <sheetData sheetId="964">
        <row r="1">
          <cell r="J1">
            <v>1.7453292519943295E-2</v>
          </cell>
        </row>
      </sheetData>
      <sheetData sheetId="965">
        <row r="1">
          <cell r="J1">
            <v>1.7453292519943295E-2</v>
          </cell>
        </row>
      </sheetData>
      <sheetData sheetId="966">
        <row r="1">
          <cell r="J1">
            <v>1.7453292519943295E-2</v>
          </cell>
        </row>
      </sheetData>
      <sheetData sheetId="967">
        <row r="1">
          <cell r="J1">
            <v>1.7453292519943295E-2</v>
          </cell>
        </row>
      </sheetData>
      <sheetData sheetId="968">
        <row r="1">
          <cell r="J1">
            <v>1.7453292519943295E-2</v>
          </cell>
        </row>
      </sheetData>
      <sheetData sheetId="969">
        <row r="1">
          <cell r="J1">
            <v>1.7453292519943295E-2</v>
          </cell>
        </row>
      </sheetData>
      <sheetData sheetId="970">
        <row r="1">
          <cell r="J1">
            <v>1.7453292519943295E-2</v>
          </cell>
        </row>
      </sheetData>
      <sheetData sheetId="971">
        <row r="1">
          <cell r="J1">
            <v>1.7453292519943295E-2</v>
          </cell>
        </row>
      </sheetData>
      <sheetData sheetId="972">
        <row r="1">
          <cell r="J1">
            <v>1.7453292519943295E-2</v>
          </cell>
        </row>
      </sheetData>
      <sheetData sheetId="973">
        <row r="1">
          <cell r="J1">
            <v>1.7453292519943295E-2</v>
          </cell>
        </row>
      </sheetData>
      <sheetData sheetId="974">
        <row r="1">
          <cell r="J1">
            <v>1.7453292519943295E-2</v>
          </cell>
        </row>
      </sheetData>
      <sheetData sheetId="975">
        <row r="1">
          <cell r="J1">
            <v>1.7453292519943295E-2</v>
          </cell>
        </row>
      </sheetData>
      <sheetData sheetId="976">
        <row r="1">
          <cell r="J1">
            <v>1.7453292519943295E-2</v>
          </cell>
        </row>
      </sheetData>
      <sheetData sheetId="977">
        <row r="1">
          <cell r="J1">
            <v>1.7453292519943295E-2</v>
          </cell>
        </row>
      </sheetData>
      <sheetData sheetId="978">
        <row r="1">
          <cell r="J1">
            <v>1.7453292519943295E-2</v>
          </cell>
        </row>
      </sheetData>
      <sheetData sheetId="979">
        <row r="1">
          <cell r="J1">
            <v>1.7453292519943295E-2</v>
          </cell>
        </row>
      </sheetData>
      <sheetData sheetId="980">
        <row r="1">
          <cell r="J1">
            <v>1.7453292519943295E-2</v>
          </cell>
        </row>
      </sheetData>
      <sheetData sheetId="981">
        <row r="1">
          <cell r="J1">
            <v>1.7453292519943295E-2</v>
          </cell>
        </row>
      </sheetData>
      <sheetData sheetId="982">
        <row r="1">
          <cell r="J1">
            <v>1.7453292519943295E-2</v>
          </cell>
        </row>
      </sheetData>
      <sheetData sheetId="983">
        <row r="1">
          <cell r="J1">
            <v>1.7453292519943295E-2</v>
          </cell>
        </row>
      </sheetData>
      <sheetData sheetId="984">
        <row r="1">
          <cell r="J1">
            <v>1.7453292519943295E-2</v>
          </cell>
        </row>
      </sheetData>
      <sheetData sheetId="985">
        <row r="1">
          <cell r="J1">
            <v>1.7453292519943295E-2</v>
          </cell>
        </row>
      </sheetData>
      <sheetData sheetId="986">
        <row r="1">
          <cell r="J1">
            <v>1.7453292519943295E-2</v>
          </cell>
        </row>
      </sheetData>
      <sheetData sheetId="987">
        <row r="1">
          <cell r="J1">
            <v>1.7453292519943295E-2</v>
          </cell>
        </row>
      </sheetData>
      <sheetData sheetId="988">
        <row r="1">
          <cell r="J1">
            <v>1.7453292519943295E-2</v>
          </cell>
        </row>
      </sheetData>
      <sheetData sheetId="989">
        <row r="1">
          <cell r="J1">
            <v>1.7453292519943295E-2</v>
          </cell>
        </row>
      </sheetData>
      <sheetData sheetId="990">
        <row r="1">
          <cell r="J1">
            <v>1.7453292519943295E-2</v>
          </cell>
        </row>
      </sheetData>
      <sheetData sheetId="991">
        <row r="1">
          <cell r="J1">
            <v>1.7453292519943295E-2</v>
          </cell>
        </row>
      </sheetData>
      <sheetData sheetId="992">
        <row r="1">
          <cell r="J1">
            <v>1.7453292519943295E-2</v>
          </cell>
        </row>
      </sheetData>
      <sheetData sheetId="993">
        <row r="1">
          <cell r="J1">
            <v>1.7453292519943295E-2</v>
          </cell>
        </row>
      </sheetData>
      <sheetData sheetId="994">
        <row r="1">
          <cell r="J1">
            <v>1.7453292519943295E-2</v>
          </cell>
        </row>
      </sheetData>
      <sheetData sheetId="995">
        <row r="1">
          <cell r="J1">
            <v>1.7453292519943295E-2</v>
          </cell>
        </row>
      </sheetData>
      <sheetData sheetId="996">
        <row r="1">
          <cell r="J1">
            <v>1.7453292519943295E-2</v>
          </cell>
        </row>
      </sheetData>
      <sheetData sheetId="997">
        <row r="1">
          <cell r="J1">
            <v>1.7453292519943295E-2</v>
          </cell>
        </row>
      </sheetData>
      <sheetData sheetId="998">
        <row r="1">
          <cell r="J1">
            <v>1.7453292519943295E-2</v>
          </cell>
        </row>
      </sheetData>
      <sheetData sheetId="999">
        <row r="1">
          <cell r="J1">
            <v>1.7453292519943295E-2</v>
          </cell>
        </row>
      </sheetData>
      <sheetData sheetId="1000">
        <row r="1">
          <cell r="J1">
            <v>1.7453292519943295E-2</v>
          </cell>
        </row>
      </sheetData>
      <sheetData sheetId="1001">
        <row r="1">
          <cell r="J1">
            <v>1.7453292519943295E-2</v>
          </cell>
        </row>
      </sheetData>
      <sheetData sheetId="1002">
        <row r="1">
          <cell r="J1">
            <v>1.7453292519943295E-2</v>
          </cell>
        </row>
      </sheetData>
      <sheetData sheetId="1003">
        <row r="1">
          <cell r="J1">
            <v>1.7453292519943295E-2</v>
          </cell>
        </row>
      </sheetData>
      <sheetData sheetId="1004">
        <row r="1">
          <cell r="J1">
            <v>1.7453292519943295E-2</v>
          </cell>
        </row>
      </sheetData>
      <sheetData sheetId="1005">
        <row r="1">
          <cell r="J1">
            <v>1.7453292519943295E-2</v>
          </cell>
        </row>
      </sheetData>
      <sheetData sheetId="1006">
        <row r="1">
          <cell r="J1">
            <v>1.7453292519943295E-2</v>
          </cell>
        </row>
      </sheetData>
      <sheetData sheetId="1007">
        <row r="1">
          <cell r="J1">
            <v>1.7453292519943295E-2</v>
          </cell>
        </row>
      </sheetData>
      <sheetData sheetId="1008">
        <row r="1">
          <cell r="J1">
            <v>1.7453292519943295E-2</v>
          </cell>
        </row>
      </sheetData>
      <sheetData sheetId="1009">
        <row r="1">
          <cell r="J1">
            <v>1.7453292519943295E-2</v>
          </cell>
        </row>
      </sheetData>
      <sheetData sheetId="1010">
        <row r="1">
          <cell r="J1">
            <v>1.7453292519943295E-2</v>
          </cell>
        </row>
      </sheetData>
      <sheetData sheetId="1011">
        <row r="1">
          <cell r="J1">
            <v>1.7453292519943295E-2</v>
          </cell>
        </row>
      </sheetData>
      <sheetData sheetId="1012">
        <row r="1">
          <cell r="J1">
            <v>1.7453292519943295E-2</v>
          </cell>
        </row>
      </sheetData>
      <sheetData sheetId="1013">
        <row r="1">
          <cell r="J1">
            <v>1.7453292519943295E-2</v>
          </cell>
        </row>
      </sheetData>
      <sheetData sheetId="1014">
        <row r="1">
          <cell r="J1">
            <v>1.7453292519943295E-2</v>
          </cell>
        </row>
      </sheetData>
      <sheetData sheetId="1015">
        <row r="1">
          <cell r="J1">
            <v>1.7453292519943295E-2</v>
          </cell>
        </row>
      </sheetData>
      <sheetData sheetId="1016">
        <row r="1">
          <cell r="J1">
            <v>1.7453292519943295E-2</v>
          </cell>
        </row>
      </sheetData>
      <sheetData sheetId="1017">
        <row r="1">
          <cell r="J1">
            <v>1.7453292519943295E-2</v>
          </cell>
        </row>
      </sheetData>
      <sheetData sheetId="1018">
        <row r="1">
          <cell r="J1">
            <v>1.7453292519943295E-2</v>
          </cell>
        </row>
      </sheetData>
      <sheetData sheetId="1019">
        <row r="1">
          <cell r="J1">
            <v>1.7453292519943295E-2</v>
          </cell>
        </row>
      </sheetData>
      <sheetData sheetId="1020">
        <row r="1">
          <cell r="J1">
            <v>1.7453292519943295E-2</v>
          </cell>
        </row>
      </sheetData>
      <sheetData sheetId="1021">
        <row r="1">
          <cell r="J1">
            <v>1.7453292519943295E-2</v>
          </cell>
        </row>
      </sheetData>
      <sheetData sheetId="1022">
        <row r="1">
          <cell r="J1">
            <v>1.7453292519943295E-2</v>
          </cell>
        </row>
      </sheetData>
      <sheetData sheetId="1023">
        <row r="1">
          <cell r="J1">
            <v>1.7453292519943295E-2</v>
          </cell>
        </row>
      </sheetData>
      <sheetData sheetId="1024">
        <row r="1">
          <cell r="J1">
            <v>1.7453292519943295E-2</v>
          </cell>
        </row>
      </sheetData>
      <sheetData sheetId="1025">
        <row r="1">
          <cell r="J1">
            <v>1.7453292519943295E-2</v>
          </cell>
        </row>
      </sheetData>
      <sheetData sheetId="1026">
        <row r="1">
          <cell r="J1">
            <v>1.7453292519943295E-2</v>
          </cell>
        </row>
      </sheetData>
      <sheetData sheetId="1027">
        <row r="1">
          <cell r="J1">
            <v>1.7453292519943295E-2</v>
          </cell>
        </row>
      </sheetData>
      <sheetData sheetId="1028">
        <row r="1">
          <cell r="J1">
            <v>1.7453292519943295E-2</v>
          </cell>
        </row>
      </sheetData>
      <sheetData sheetId="1029">
        <row r="1">
          <cell r="J1">
            <v>1.7453292519943295E-2</v>
          </cell>
        </row>
      </sheetData>
      <sheetData sheetId="1030">
        <row r="1">
          <cell r="J1">
            <v>1.7453292519943295E-2</v>
          </cell>
        </row>
      </sheetData>
      <sheetData sheetId="1031">
        <row r="1">
          <cell r="J1">
            <v>1.7453292519943295E-2</v>
          </cell>
        </row>
      </sheetData>
      <sheetData sheetId="1032">
        <row r="1">
          <cell r="J1">
            <v>1.7453292519943295E-2</v>
          </cell>
        </row>
      </sheetData>
      <sheetData sheetId="1033">
        <row r="1">
          <cell r="J1">
            <v>1.7453292519943295E-2</v>
          </cell>
        </row>
      </sheetData>
      <sheetData sheetId="1034">
        <row r="1">
          <cell r="J1">
            <v>1.7453292519943295E-2</v>
          </cell>
        </row>
      </sheetData>
      <sheetData sheetId="1035">
        <row r="1">
          <cell r="J1">
            <v>1.7453292519943295E-2</v>
          </cell>
        </row>
      </sheetData>
      <sheetData sheetId="1036">
        <row r="1">
          <cell r="J1">
            <v>1.7453292519943295E-2</v>
          </cell>
        </row>
      </sheetData>
      <sheetData sheetId="1037">
        <row r="1">
          <cell r="J1">
            <v>1.7453292519943295E-2</v>
          </cell>
        </row>
      </sheetData>
      <sheetData sheetId="1038">
        <row r="1">
          <cell r="J1">
            <v>1.7453292519943295E-2</v>
          </cell>
        </row>
      </sheetData>
      <sheetData sheetId="1039">
        <row r="1">
          <cell r="J1">
            <v>1.7453292519943295E-2</v>
          </cell>
        </row>
      </sheetData>
      <sheetData sheetId="1040">
        <row r="1">
          <cell r="J1">
            <v>1.7453292519943295E-2</v>
          </cell>
        </row>
      </sheetData>
      <sheetData sheetId="1041">
        <row r="1">
          <cell r="J1">
            <v>1.7453292519943295E-2</v>
          </cell>
        </row>
      </sheetData>
      <sheetData sheetId="1042">
        <row r="1">
          <cell r="J1">
            <v>1.7453292519943295E-2</v>
          </cell>
        </row>
      </sheetData>
      <sheetData sheetId="1043">
        <row r="1">
          <cell r="J1">
            <v>1.7453292519943295E-2</v>
          </cell>
        </row>
      </sheetData>
      <sheetData sheetId="1044">
        <row r="1">
          <cell r="J1">
            <v>1.7453292519943295E-2</v>
          </cell>
        </row>
      </sheetData>
      <sheetData sheetId="1045">
        <row r="1">
          <cell r="J1">
            <v>1.7453292519943295E-2</v>
          </cell>
        </row>
      </sheetData>
      <sheetData sheetId="1046">
        <row r="1">
          <cell r="J1">
            <v>1.7453292519943295E-2</v>
          </cell>
        </row>
      </sheetData>
      <sheetData sheetId="1047">
        <row r="1">
          <cell r="J1">
            <v>1.7453292519943295E-2</v>
          </cell>
        </row>
      </sheetData>
      <sheetData sheetId="1048">
        <row r="1">
          <cell r="J1">
            <v>1.7453292519943295E-2</v>
          </cell>
        </row>
      </sheetData>
      <sheetData sheetId="1049">
        <row r="1">
          <cell r="J1">
            <v>1.7453292519943295E-2</v>
          </cell>
        </row>
      </sheetData>
      <sheetData sheetId="1050">
        <row r="1">
          <cell r="J1">
            <v>1.7453292519943295E-2</v>
          </cell>
        </row>
      </sheetData>
      <sheetData sheetId="1051">
        <row r="1">
          <cell r="J1">
            <v>1.7453292519943295E-2</v>
          </cell>
        </row>
      </sheetData>
      <sheetData sheetId="1052">
        <row r="1">
          <cell r="J1">
            <v>1.7453292519943295E-2</v>
          </cell>
        </row>
      </sheetData>
      <sheetData sheetId="1053">
        <row r="1">
          <cell r="J1">
            <v>1.7453292519943295E-2</v>
          </cell>
        </row>
      </sheetData>
      <sheetData sheetId="1054">
        <row r="1">
          <cell r="J1">
            <v>1.7453292519943295E-2</v>
          </cell>
        </row>
      </sheetData>
      <sheetData sheetId="1055">
        <row r="1">
          <cell r="J1">
            <v>1.7453292519943295E-2</v>
          </cell>
        </row>
      </sheetData>
      <sheetData sheetId="1056">
        <row r="1">
          <cell r="J1">
            <v>1.7453292519943295E-2</v>
          </cell>
        </row>
      </sheetData>
      <sheetData sheetId="1057">
        <row r="1">
          <cell r="J1">
            <v>1.7453292519943295E-2</v>
          </cell>
        </row>
      </sheetData>
      <sheetData sheetId="1058">
        <row r="1">
          <cell r="J1">
            <v>1.7453292519943295E-2</v>
          </cell>
        </row>
      </sheetData>
      <sheetData sheetId="1059">
        <row r="1">
          <cell r="J1">
            <v>1.7453292519943295E-2</v>
          </cell>
        </row>
      </sheetData>
      <sheetData sheetId="1060">
        <row r="1">
          <cell r="J1">
            <v>1.7453292519943295E-2</v>
          </cell>
        </row>
      </sheetData>
      <sheetData sheetId="1061">
        <row r="1">
          <cell r="J1">
            <v>1.7453292519943295E-2</v>
          </cell>
        </row>
      </sheetData>
      <sheetData sheetId="1062">
        <row r="1">
          <cell r="J1">
            <v>1.7453292519943295E-2</v>
          </cell>
        </row>
      </sheetData>
      <sheetData sheetId="1063">
        <row r="1">
          <cell r="J1">
            <v>1.7453292519943295E-2</v>
          </cell>
        </row>
      </sheetData>
      <sheetData sheetId="1064">
        <row r="1">
          <cell r="J1">
            <v>1.7453292519943295E-2</v>
          </cell>
        </row>
      </sheetData>
      <sheetData sheetId="1065">
        <row r="1">
          <cell r="J1">
            <v>1.7453292519943295E-2</v>
          </cell>
        </row>
      </sheetData>
      <sheetData sheetId="1066">
        <row r="1">
          <cell r="J1">
            <v>1.7453292519943295E-2</v>
          </cell>
        </row>
      </sheetData>
      <sheetData sheetId="1067">
        <row r="1">
          <cell r="J1">
            <v>1.7453292519943295E-2</v>
          </cell>
        </row>
      </sheetData>
      <sheetData sheetId="1068">
        <row r="1">
          <cell r="J1">
            <v>1.7453292519943295E-2</v>
          </cell>
        </row>
      </sheetData>
      <sheetData sheetId="1069">
        <row r="1">
          <cell r="J1">
            <v>1.7453292519943295E-2</v>
          </cell>
        </row>
      </sheetData>
      <sheetData sheetId="1070">
        <row r="1">
          <cell r="J1">
            <v>1.7453292519943295E-2</v>
          </cell>
        </row>
      </sheetData>
      <sheetData sheetId="1071">
        <row r="1">
          <cell r="J1">
            <v>1.7453292519943295E-2</v>
          </cell>
        </row>
      </sheetData>
      <sheetData sheetId="1072">
        <row r="1">
          <cell r="J1">
            <v>1.7453292519943295E-2</v>
          </cell>
        </row>
      </sheetData>
      <sheetData sheetId="1073">
        <row r="1">
          <cell r="J1">
            <v>1.7453292519943295E-2</v>
          </cell>
        </row>
      </sheetData>
      <sheetData sheetId="1074">
        <row r="1">
          <cell r="J1">
            <v>1.7453292519943295E-2</v>
          </cell>
        </row>
      </sheetData>
      <sheetData sheetId="1075">
        <row r="1">
          <cell r="J1">
            <v>1.7453292519943295E-2</v>
          </cell>
        </row>
      </sheetData>
      <sheetData sheetId="1076">
        <row r="1">
          <cell r="J1">
            <v>1.7453292519943295E-2</v>
          </cell>
        </row>
      </sheetData>
      <sheetData sheetId="1077">
        <row r="1">
          <cell r="J1">
            <v>1.7453292519943295E-2</v>
          </cell>
        </row>
      </sheetData>
      <sheetData sheetId="1078">
        <row r="1">
          <cell r="J1">
            <v>1.7453292519943295E-2</v>
          </cell>
        </row>
      </sheetData>
      <sheetData sheetId="1079">
        <row r="1">
          <cell r="J1">
            <v>1.7453292519943295E-2</v>
          </cell>
        </row>
      </sheetData>
      <sheetData sheetId="1080">
        <row r="1">
          <cell r="J1">
            <v>1.7453292519943295E-2</v>
          </cell>
        </row>
      </sheetData>
      <sheetData sheetId="1081">
        <row r="1">
          <cell r="J1">
            <v>1.7453292519943295E-2</v>
          </cell>
        </row>
      </sheetData>
      <sheetData sheetId="1082">
        <row r="1">
          <cell r="J1">
            <v>1.7453292519943295E-2</v>
          </cell>
        </row>
      </sheetData>
      <sheetData sheetId="1083">
        <row r="1">
          <cell r="J1">
            <v>1.7453292519943295E-2</v>
          </cell>
        </row>
      </sheetData>
      <sheetData sheetId="1084">
        <row r="1">
          <cell r="J1">
            <v>1.7453292519943295E-2</v>
          </cell>
        </row>
      </sheetData>
      <sheetData sheetId="1085">
        <row r="1">
          <cell r="J1">
            <v>1.7453292519943295E-2</v>
          </cell>
        </row>
      </sheetData>
      <sheetData sheetId="1086">
        <row r="1">
          <cell r="J1">
            <v>1.7453292519943295E-2</v>
          </cell>
        </row>
      </sheetData>
      <sheetData sheetId="1087">
        <row r="1">
          <cell r="J1">
            <v>1.7453292519943295E-2</v>
          </cell>
        </row>
      </sheetData>
      <sheetData sheetId="1088">
        <row r="1">
          <cell r="J1">
            <v>1.7453292519943295E-2</v>
          </cell>
        </row>
      </sheetData>
      <sheetData sheetId="1089">
        <row r="1">
          <cell r="J1">
            <v>1.7453292519943295E-2</v>
          </cell>
        </row>
      </sheetData>
      <sheetData sheetId="1090">
        <row r="1">
          <cell r="J1">
            <v>1.7453292519943295E-2</v>
          </cell>
        </row>
      </sheetData>
      <sheetData sheetId="1091">
        <row r="1">
          <cell r="J1">
            <v>1.7453292519943295E-2</v>
          </cell>
        </row>
      </sheetData>
      <sheetData sheetId="1092">
        <row r="1">
          <cell r="J1">
            <v>1.7453292519943295E-2</v>
          </cell>
        </row>
      </sheetData>
      <sheetData sheetId="1093">
        <row r="1">
          <cell r="J1">
            <v>1.7453292519943295E-2</v>
          </cell>
        </row>
      </sheetData>
      <sheetData sheetId="1094">
        <row r="1">
          <cell r="J1">
            <v>1.7453292519943295E-2</v>
          </cell>
        </row>
      </sheetData>
      <sheetData sheetId="1095">
        <row r="1">
          <cell r="J1">
            <v>1.7453292519943295E-2</v>
          </cell>
        </row>
      </sheetData>
      <sheetData sheetId="1096">
        <row r="1">
          <cell r="J1">
            <v>1.7453292519943295E-2</v>
          </cell>
        </row>
      </sheetData>
      <sheetData sheetId="1097">
        <row r="1">
          <cell r="J1">
            <v>1.7453292519943295E-2</v>
          </cell>
        </row>
      </sheetData>
      <sheetData sheetId="1098">
        <row r="1">
          <cell r="J1">
            <v>1.7453292519943295E-2</v>
          </cell>
        </row>
      </sheetData>
      <sheetData sheetId="1099">
        <row r="1">
          <cell r="J1">
            <v>1.7453292519943295E-2</v>
          </cell>
        </row>
      </sheetData>
      <sheetData sheetId="1100">
        <row r="1">
          <cell r="J1">
            <v>1.7453292519943295E-2</v>
          </cell>
        </row>
      </sheetData>
      <sheetData sheetId="1101">
        <row r="1">
          <cell r="J1">
            <v>1.7453292519943295E-2</v>
          </cell>
        </row>
      </sheetData>
      <sheetData sheetId="1102">
        <row r="1">
          <cell r="J1">
            <v>1.7453292519943295E-2</v>
          </cell>
        </row>
      </sheetData>
      <sheetData sheetId="1103">
        <row r="1">
          <cell r="J1">
            <v>1.7453292519943295E-2</v>
          </cell>
        </row>
      </sheetData>
      <sheetData sheetId="1104">
        <row r="1">
          <cell r="J1">
            <v>1.7453292519943295E-2</v>
          </cell>
        </row>
      </sheetData>
      <sheetData sheetId="1105">
        <row r="1">
          <cell r="J1">
            <v>1.7453292519943295E-2</v>
          </cell>
        </row>
      </sheetData>
      <sheetData sheetId="1106">
        <row r="1">
          <cell r="J1">
            <v>1.7453292519943295E-2</v>
          </cell>
        </row>
      </sheetData>
      <sheetData sheetId="1107">
        <row r="1">
          <cell r="J1">
            <v>1.7453292519943295E-2</v>
          </cell>
        </row>
      </sheetData>
      <sheetData sheetId="1108">
        <row r="1">
          <cell r="J1">
            <v>1.7453292519943295E-2</v>
          </cell>
        </row>
      </sheetData>
      <sheetData sheetId="1109">
        <row r="1">
          <cell r="J1">
            <v>1.7453292519943295E-2</v>
          </cell>
        </row>
      </sheetData>
      <sheetData sheetId="1110">
        <row r="1">
          <cell r="J1">
            <v>1.7453292519943295E-2</v>
          </cell>
        </row>
      </sheetData>
      <sheetData sheetId="1111">
        <row r="1">
          <cell r="J1">
            <v>1.7453292519943295E-2</v>
          </cell>
        </row>
      </sheetData>
      <sheetData sheetId="1112">
        <row r="1">
          <cell r="J1">
            <v>1.7453292519943295E-2</v>
          </cell>
        </row>
      </sheetData>
      <sheetData sheetId="1113">
        <row r="1">
          <cell r="J1">
            <v>1.7453292519943295E-2</v>
          </cell>
        </row>
      </sheetData>
      <sheetData sheetId="1114">
        <row r="1">
          <cell r="J1">
            <v>1.7453292519943295E-2</v>
          </cell>
        </row>
      </sheetData>
      <sheetData sheetId="1115">
        <row r="1">
          <cell r="J1">
            <v>1.7453292519943295E-2</v>
          </cell>
        </row>
      </sheetData>
      <sheetData sheetId="1116">
        <row r="1">
          <cell r="J1">
            <v>1.7453292519943295E-2</v>
          </cell>
        </row>
      </sheetData>
      <sheetData sheetId="1117">
        <row r="1">
          <cell r="J1">
            <v>1.7453292519943295E-2</v>
          </cell>
        </row>
      </sheetData>
      <sheetData sheetId="1118">
        <row r="1">
          <cell r="J1">
            <v>1.7453292519943295E-2</v>
          </cell>
        </row>
      </sheetData>
      <sheetData sheetId="1119">
        <row r="1">
          <cell r="J1">
            <v>1.7453292519943295E-2</v>
          </cell>
        </row>
      </sheetData>
      <sheetData sheetId="1120">
        <row r="1">
          <cell r="J1">
            <v>1.7453292519943295E-2</v>
          </cell>
        </row>
      </sheetData>
      <sheetData sheetId="1121">
        <row r="1">
          <cell r="J1">
            <v>1.7453292519943295E-2</v>
          </cell>
        </row>
      </sheetData>
      <sheetData sheetId="1122">
        <row r="1">
          <cell r="J1">
            <v>1.7453292519943295E-2</v>
          </cell>
        </row>
      </sheetData>
      <sheetData sheetId="1123">
        <row r="1">
          <cell r="J1">
            <v>1.7453292519943295E-2</v>
          </cell>
        </row>
      </sheetData>
      <sheetData sheetId="1124">
        <row r="1">
          <cell r="J1">
            <v>1.7453292519943295E-2</v>
          </cell>
        </row>
      </sheetData>
      <sheetData sheetId="1125">
        <row r="1">
          <cell r="J1">
            <v>1.7453292519943295E-2</v>
          </cell>
        </row>
      </sheetData>
      <sheetData sheetId="1126">
        <row r="1">
          <cell r="J1">
            <v>1.7453292519943295E-2</v>
          </cell>
        </row>
      </sheetData>
      <sheetData sheetId="1127">
        <row r="1">
          <cell r="J1">
            <v>1.7453292519943295E-2</v>
          </cell>
        </row>
      </sheetData>
      <sheetData sheetId="1128">
        <row r="1">
          <cell r="J1">
            <v>1.7453292519943295E-2</v>
          </cell>
        </row>
      </sheetData>
      <sheetData sheetId="1129">
        <row r="1">
          <cell r="J1">
            <v>1.7453292519943295E-2</v>
          </cell>
        </row>
      </sheetData>
      <sheetData sheetId="1130">
        <row r="1">
          <cell r="J1">
            <v>1.7453292519943295E-2</v>
          </cell>
        </row>
      </sheetData>
      <sheetData sheetId="1131">
        <row r="1">
          <cell r="J1">
            <v>1.7453292519943295E-2</v>
          </cell>
        </row>
      </sheetData>
      <sheetData sheetId="1132">
        <row r="1">
          <cell r="J1">
            <v>1.7453292519943295E-2</v>
          </cell>
        </row>
      </sheetData>
      <sheetData sheetId="1133">
        <row r="1">
          <cell r="J1">
            <v>1.7453292519943295E-2</v>
          </cell>
        </row>
      </sheetData>
      <sheetData sheetId="1134">
        <row r="1">
          <cell r="J1">
            <v>1.7453292519943295E-2</v>
          </cell>
        </row>
      </sheetData>
      <sheetData sheetId="1135">
        <row r="1">
          <cell r="J1">
            <v>1.7453292519943295E-2</v>
          </cell>
        </row>
      </sheetData>
      <sheetData sheetId="1136">
        <row r="1">
          <cell r="J1">
            <v>1.7453292519943295E-2</v>
          </cell>
        </row>
      </sheetData>
      <sheetData sheetId="1137">
        <row r="1">
          <cell r="J1">
            <v>1.7453292519943295E-2</v>
          </cell>
        </row>
      </sheetData>
      <sheetData sheetId="1138">
        <row r="1">
          <cell r="J1">
            <v>1.7453292519943295E-2</v>
          </cell>
        </row>
      </sheetData>
      <sheetData sheetId="1139">
        <row r="1">
          <cell r="J1">
            <v>1.7453292519943295E-2</v>
          </cell>
        </row>
      </sheetData>
      <sheetData sheetId="1140">
        <row r="1">
          <cell r="J1">
            <v>1.7453292519943295E-2</v>
          </cell>
        </row>
      </sheetData>
      <sheetData sheetId="1141">
        <row r="1">
          <cell r="J1">
            <v>1.7453292519943295E-2</v>
          </cell>
        </row>
      </sheetData>
      <sheetData sheetId="1142">
        <row r="1">
          <cell r="J1">
            <v>1.7453292519943295E-2</v>
          </cell>
        </row>
      </sheetData>
      <sheetData sheetId="1143">
        <row r="1">
          <cell r="J1">
            <v>1.7453292519943295E-2</v>
          </cell>
        </row>
      </sheetData>
      <sheetData sheetId="1144">
        <row r="1">
          <cell r="J1">
            <v>1.7453292519943295E-2</v>
          </cell>
        </row>
      </sheetData>
      <sheetData sheetId="1145">
        <row r="1">
          <cell r="J1">
            <v>1.7453292519943295E-2</v>
          </cell>
        </row>
      </sheetData>
      <sheetData sheetId="1146">
        <row r="1">
          <cell r="J1">
            <v>1.7453292519943295E-2</v>
          </cell>
        </row>
      </sheetData>
      <sheetData sheetId="1147">
        <row r="1">
          <cell r="J1">
            <v>1.7453292519943295E-2</v>
          </cell>
        </row>
      </sheetData>
      <sheetData sheetId="1148">
        <row r="1">
          <cell r="J1">
            <v>1.7453292519943295E-2</v>
          </cell>
        </row>
      </sheetData>
      <sheetData sheetId="1149">
        <row r="1">
          <cell r="J1">
            <v>1.7453292519943295E-2</v>
          </cell>
        </row>
      </sheetData>
      <sheetData sheetId="1150">
        <row r="1">
          <cell r="J1">
            <v>1.7453292519943295E-2</v>
          </cell>
        </row>
      </sheetData>
      <sheetData sheetId="1151">
        <row r="1">
          <cell r="J1">
            <v>1.7453292519943295E-2</v>
          </cell>
        </row>
      </sheetData>
      <sheetData sheetId="1152">
        <row r="1">
          <cell r="J1">
            <v>1.7453292519943295E-2</v>
          </cell>
        </row>
      </sheetData>
      <sheetData sheetId="1153">
        <row r="1">
          <cell r="J1">
            <v>1.7453292519943295E-2</v>
          </cell>
        </row>
      </sheetData>
      <sheetData sheetId="1154">
        <row r="1">
          <cell r="J1">
            <v>1.7453292519943295E-2</v>
          </cell>
        </row>
      </sheetData>
      <sheetData sheetId="1155">
        <row r="1">
          <cell r="J1">
            <v>1.7453292519943295E-2</v>
          </cell>
        </row>
      </sheetData>
      <sheetData sheetId="1156">
        <row r="1">
          <cell r="J1">
            <v>1.7453292519943295E-2</v>
          </cell>
        </row>
      </sheetData>
      <sheetData sheetId="1157">
        <row r="1">
          <cell r="J1">
            <v>1.7453292519943295E-2</v>
          </cell>
        </row>
      </sheetData>
      <sheetData sheetId="1158">
        <row r="1">
          <cell r="J1">
            <v>1.7453292519943295E-2</v>
          </cell>
        </row>
      </sheetData>
      <sheetData sheetId="1159">
        <row r="1">
          <cell r="J1">
            <v>1.7453292519943295E-2</v>
          </cell>
        </row>
      </sheetData>
      <sheetData sheetId="1160">
        <row r="1">
          <cell r="J1">
            <v>1.7453292519943295E-2</v>
          </cell>
        </row>
      </sheetData>
      <sheetData sheetId="1161">
        <row r="1">
          <cell r="J1">
            <v>1.7453292519943295E-2</v>
          </cell>
        </row>
      </sheetData>
      <sheetData sheetId="1162">
        <row r="1">
          <cell r="J1">
            <v>1.7453292519943295E-2</v>
          </cell>
        </row>
      </sheetData>
      <sheetData sheetId="1163">
        <row r="1">
          <cell r="J1">
            <v>1.7453292519943295E-2</v>
          </cell>
        </row>
      </sheetData>
      <sheetData sheetId="1164">
        <row r="1">
          <cell r="J1">
            <v>1.7453292519943295E-2</v>
          </cell>
        </row>
      </sheetData>
      <sheetData sheetId="1165">
        <row r="1">
          <cell r="J1">
            <v>1.7453292519943295E-2</v>
          </cell>
        </row>
      </sheetData>
      <sheetData sheetId="1166">
        <row r="1">
          <cell r="J1">
            <v>1.7453292519943295E-2</v>
          </cell>
        </row>
      </sheetData>
      <sheetData sheetId="1167">
        <row r="1">
          <cell r="J1">
            <v>1.7453292519943295E-2</v>
          </cell>
        </row>
      </sheetData>
      <sheetData sheetId="1168">
        <row r="1">
          <cell r="J1">
            <v>1.7453292519943295E-2</v>
          </cell>
        </row>
      </sheetData>
      <sheetData sheetId="1169">
        <row r="1">
          <cell r="J1">
            <v>1.7453292519943295E-2</v>
          </cell>
        </row>
      </sheetData>
      <sheetData sheetId="1170">
        <row r="1">
          <cell r="J1">
            <v>1.7453292519943295E-2</v>
          </cell>
        </row>
      </sheetData>
      <sheetData sheetId="1171">
        <row r="1">
          <cell r="J1">
            <v>1.7453292519943295E-2</v>
          </cell>
        </row>
      </sheetData>
      <sheetData sheetId="1172">
        <row r="1">
          <cell r="J1">
            <v>1.7453292519943295E-2</v>
          </cell>
        </row>
      </sheetData>
      <sheetData sheetId="1173">
        <row r="1">
          <cell r="J1">
            <v>1.7453292519943295E-2</v>
          </cell>
        </row>
      </sheetData>
      <sheetData sheetId="1174">
        <row r="1">
          <cell r="J1">
            <v>1.7453292519943295E-2</v>
          </cell>
        </row>
      </sheetData>
      <sheetData sheetId="1175">
        <row r="1">
          <cell r="J1">
            <v>1.7453292519943295E-2</v>
          </cell>
        </row>
      </sheetData>
      <sheetData sheetId="1176">
        <row r="1">
          <cell r="J1">
            <v>1.7453292519943295E-2</v>
          </cell>
        </row>
      </sheetData>
      <sheetData sheetId="1177">
        <row r="1">
          <cell r="J1">
            <v>1.7453292519943295E-2</v>
          </cell>
        </row>
      </sheetData>
      <sheetData sheetId="1178">
        <row r="1">
          <cell r="J1">
            <v>1.7453292519943295E-2</v>
          </cell>
        </row>
      </sheetData>
      <sheetData sheetId="1179">
        <row r="1">
          <cell r="J1">
            <v>1.7453292519943295E-2</v>
          </cell>
        </row>
      </sheetData>
      <sheetData sheetId="1180">
        <row r="1">
          <cell r="J1">
            <v>1.7453292519943295E-2</v>
          </cell>
        </row>
      </sheetData>
      <sheetData sheetId="1181">
        <row r="1">
          <cell r="J1">
            <v>1.7453292519943295E-2</v>
          </cell>
        </row>
      </sheetData>
      <sheetData sheetId="1182">
        <row r="1">
          <cell r="J1">
            <v>1.7453292519943295E-2</v>
          </cell>
        </row>
      </sheetData>
      <sheetData sheetId="1183">
        <row r="1">
          <cell r="J1">
            <v>1.7453292519943295E-2</v>
          </cell>
        </row>
      </sheetData>
      <sheetData sheetId="1184">
        <row r="1">
          <cell r="J1">
            <v>1.7453292519943295E-2</v>
          </cell>
        </row>
      </sheetData>
      <sheetData sheetId="1185">
        <row r="1">
          <cell r="J1">
            <v>1.7453292519943295E-2</v>
          </cell>
        </row>
      </sheetData>
      <sheetData sheetId="1186">
        <row r="1">
          <cell r="J1">
            <v>1.7453292519943295E-2</v>
          </cell>
        </row>
      </sheetData>
      <sheetData sheetId="1187">
        <row r="1">
          <cell r="J1">
            <v>1.7453292519943295E-2</v>
          </cell>
        </row>
      </sheetData>
      <sheetData sheetId="1188">
        <row r="1">
          <cell r="J1">
            <v>1.7453292519943295E-2</v>
          </cell>
        </row>
      </sheetData>
      <sheetData sheetId="1189">
        <row r="1">
          <cell r="J1">
            <v>1.7453292519943295E-2</v>
          </cell>
        </row>
      </sheetData>
      <sheetData sheetId="1190">
        <row r="1">
          <cell r="J1">
            <v>1.7453292519943295E-2</v>
          </cell>
        </row>
      </sheetData>
      <sheetData sheetId="1191">
        <row r="1">
          <cell r="J1">
            <v>1.7453292519943295E-2</v>
          </cell>
        </row>
      </sheetData>
      <sheetData sheetId="1192">
        <row r="1">
          <cell r="J1">
            <v>1.7453292519943295E-2</v>
          </cell>
        </row>
      </sheetData>
      <sheetData sheetId="1193">
        <row r="1">
          <cell r="J1">
            <v>1.7453292519943295E-2</v>
          </cell>
        </row>
      </sheetData>
      <sheetData sheetId="1194">
        <row r="1">
          <cell r="J1">
            <v>1.7453292519943295E-2</v>
          </cell>
        </row>
      </sheetData>
      <sheetData sheetId="1195">
        <row r="1">
          <cell r="J1">
            <v>1.7453292519943295E-2</v>
          </cell>
        </row>
      </sheetData>
      <sheetData sheetId="1196">
        <row r="1">
          <cell r="J1">
            <v>1.7453292519943295E-2</v>
          </cell>
        </row>
      </sheetData>
      <sheetData sheetId="1197">
        <row r="1">
          <cell r="J1">
            <v>1.7453292519943295E-2</v>
          </cell>
        </row>
      </sheetData>
      <sheetData sheetId="1198">
        <row r="1">
          <cell r="J1">
            <v>1.7453292519943295E-2</v>
          </cell>
        </row>
      </sheetData>
      <sheetData sheetId="1199">
        <row r="1">
          <cell r="J1">
            <v>1.7453292519943295E-2</v>
          </cell>
        </row>
      </sheetData>
      <sheetData sheetId="1200">
        <row r="1">
          <cell r="J1">
            <v>1.7453292519943295E-2</v>
          </cell>
        </row>
      </sheetData>
      <sheetData sheetId="1201">
        <row r="1">
          <cell r="J1">
            <v>1.7453292519943295E-2</v>
          </cell>
        </row>
      </sheetData>
      <sheetData sheetId="1202">
        <row r="1">
          <cell r="J1">
            <v>1.7453292519943295E-2</v>
          </cell>
        </row>
      </sheetData>
      <sheetData sheetId="1203">
        <row r="1">
          <cell r="J1">
            <v>1.7453292519943295E-2</v>
          </cell>
        </row>
      </sheetData>
      <sheetData sheetId="1204">
        <row r="1">
          <cell r="J1">
            <v>1.7453292519943295E-2</v>
          </cell>
        </row>
      </sheetData>
      <sheetData sheetId="1205">
        <row r="1">
          <cell r="J1">
            <v>1.7453292519943295E-2</v>
          </cell>
        </row>
      </sheetData>
      <sheetData sheetId="1206">
        <row r="1">
          <cell r="J1">
            <v>1.7453292519943295E-2</v>
          </cell>
        </row>
      </sheetData>
      <sheetData sheetId="1207">
        <row r="1">
          <cell r="J1">
            <v>1.7453292519943295E-2</v>
          </cell>
        </row>
      </sheetData>
      <sheetData sheetId="1208">
        <row r="1">
          <cell r="J1">
            <v>1.7453292519943295E-2</v>
          </cell>
        </row>
      </sheetData>
      <sheetData sheetId="1209">
        <row r="1">
          <cell r="J1">
            <v>1.7453292519943295E-2</v>
          </cell>
        </row>
      </sheetData>
      <sheetData sheetId="1210">
        <row r="1">
          <cell r="J1">
            <v>1.7453292519943295E-2</v>
          </cell>
        </row>
      </sheetData>
      <sheetData sheetId="1211">
        <row r="1">
          <cell r="J1">
            <v>1.7453292519943295E-2</v>
          </cell>
        </row>
      </sheetData>
      <sheetData sheetId="1212">
        <row r="1">
          <cell r="J1">
            <v>1.7453292519943295E-2</v>
          </cell>
        </row>
      </sheetData>
      <sheetData sheetId="1213">
        <row r="1">
          <cell r="J1">
            <v>1.7453292519943295E-2</v>
          </cell>
        </row>
      </sheetData>
      <sheetData sheetId="1214">
        <row r="1">
          <cell r="J1">
            <v>1.7453292519943295E-2</v>
          </cell>
        </row>
      </sheetData>
      <sheetData sheetId="1215">
        <row r="1">
          <cell r="J1">
            <v>1.7453292519943295E-2</v>
          </cell>
        </row>
      </sheetData>
      <sheetData sheetId="1216">
        <row r="1">
          <cell r="J1">
            <v>1.7453292519943295E-2</v>
          </cell>
        </row>
      </sheetData>
      <sheetData sheetId="1217">
        <row r="1">
          <cell r="J1">
            <v>1.7453292519943295E-2</v>
          </cell>
        </row>
      </sheetData>
      <sheetData sheetId="1218">
        <row r="1">
          <cell r="J1">
            <v>1.7453292519943295E-2</v>
          </cell>
        </row>
      </sheetData>
      <sheetData sheetId="1219">
        <row r="1">
          <cell r="J1">
            <v>1.7453292519943295E-2</v>
          </cell>
        </row>
      </sheetData>
      <sheetData sheetId="1220">
        <row r="1">
          <cell r="J1">
            <v>1.7453292519943295E-2</v>
          </cell>
        </row>
      </sheetData>
      <sheetData sheetId="1221">
        <row r="1">
          <cell r="J1">
            <v>1.7453292519943295E-2</v>
          </cell>
        </row>
      </sheetData>
      <sheetData sheetId="1222">
        <row r="1">
          <cell r="J1">
            <v>1.7453292519943295E-2</v>
          </cell>
        </row>
      </sheetData>
      <sheetData sheetId="1223">
        <row r="1">
          <cell r="J1">
            <v>1.7453292519943295E-2</v>
          </cell>
        </row>
      </sheetData>
      <sheetData sheetId="1224">
        <row r="1">
          <cell r="J1">
            <v>1.7453292519943295E-2</v>
          </cell>
        </row>
      </sheetData>
      <sheetData sheetId="1225">
        <row r="1">
          <cell r="J1">
            <v>1.7453292519943295E-2</v>
          </cell>
        </row>
      </sheetData>
      <sheetData sheetId="1226">
        <row r="1">
          <cell r="J1">
            <v>1.7453292519943295E-2</v>
          </cell>
        </row>
      </sheetData>
      <sheetData sheetId="1227">
        <row r="1">
          <cell r="J1">
            <v>1.7453292519943295E-2</v>
          </cell>
        </row>
      </sheetData>
      <sheetData sheetId="1228">
        <row r="1">
          <cell r="J1">
            <v>1.7453292519943295E-2</v>
          </cell>
        </row>
      </sheetData>
      <sheetData sheetId="1229">
        <row r="1">
          <cell r="J1">
            <v>1.7453292519943295E-2</v>
          </cell>
        </row>
      </sheetData>
      <sheetData sheetId="1230">
        <row r="1">
          <cell r="J1">
            <v>1.7453292519943295E-2</v>
          </cell>
        </row>
      </sheetData>
      <sheetData sheetId="1231">
        <row r="1">
          <cell r="J1">
            <v>1.7453292519943295E-2</v>
          </cell>
        </row>
      </sheetData>
      <sheetData sheetId="1232">
        <row r="1">
          <cell r="J1">
            <v>1.7453292519943295E-2</v>
          </cell>
        </row>
      </sheetData>
      <sheetData sheetId="1233">
        <row r="1">
          <cell r="J1">
            <v>1.7453292519943295E-2</v>
          </cell>
        </row>
      </sheetData>
      <sheetData sheetId="1234">
        <row r="1">
          <cell r="J1">
            <v>1.7453292519943295E-2</v>
          </cell>
        </row>
      </sheetData>
      <sheetData sheetId="1235">
        <row r="1">
          <cell r="J1">
            <v>1.7453292519943295E-2</v>
          </cell>
        </row>
      </sheetData>
      <sheetData sheetId="1236">
        <row r="1">
          <cell r="J1">
            <v>1.7453292519943295E-2</v>
          </cell>
        </row>
      </sheetData>
      <sheetData sheetId="1237">
        <row r="1">
          <cell r="J1">
            <v>1.7453292519943295E-2</v>
          </cell>
        </row>
      </sheetData>
      <sheetData sheetId="1238">
        <row r="1">
          <cell r="J1">
            <v>1.7453292519943295E-2</v>
          </cell>
        </row>
      </sheetData>
      <sheetData sheetId="1239">
        <row r="1">
          <cell r="J1">
            <v>1.7453292519943295E-2</v>
          </cell>
        </row>
      </sheetData>
      <sheetData sheetId="1240">
        <row r="1">
          <cell r="J1">
            <v>1.7453292519943295E-2</v>
          </cell>
        </row>
      </sheetData>
      <sheetData sheetId="1241">
        <row r="1">
          <cell r="J1">
            <v>1.7453292519943295E-2</v>
          </cell>
        </row>
      </sheetData>
      <sheetData sheetId="1242">
        <row r="1">
          <cell r="J1">
            <v>1.7453292519943295E-2</v>
          </cell>
        </row>
      </sheetData>
      <sheetData sheetId="1243">
        <row r="1">
          <cell r="J1">
            <v>1.7453292519943295E-2</v>
          </cell>
        </row>
      </sheetData>
      <sheetData sheetId="1244">
        <row r="1">
          <cell r="J1">
            <v>1.7453292519943295E-2</v>
          </cell>
        </row>
      </sheetData>
      <sheetData sheetId="1245">
        <row r="1">
          <cell r="J1">
            <v>1.7453292519943295E-2</v>
          </cell>
        </row>
      </sheetData>
      <sheetData sheetId="1246">
        <row r="1">
          <cell r="J1">
            <v>1.7453292519943295E-2</v>
          </cell>
        </row>
      </sheetData>
      <sheetData sheetId="1247">
        <row r="1">
          <cell r="J1">
            <v>1.7453292519943295E-2</v>
          </cell>
        </row>
      </sheetData>
      <sheetData sheetId="1248">
        <row r="1">
          <cell r="J1">
            <v>1.7453292519943295E-2</v>
          </cell>
        </row>
      </sheetData>
      <sheetData sheetId="1249">
        <row r="1">
          <cell r="J1">
            <v>1.7453292519943295E-2</v>
          </cell>
        </row>
      </sheetData>
      <sheetData sheetId="1250">
        <row r="1">
          <cell r="J1">
            <v>1.7453292519943295E-2</v>
          </cell>
        </row>
      </sheetData>
      <sheetData sheetId="1251">
        <row r="1">
          <cell r="J1">
            <v>1.7453292519943295E-2</v>
          </cell>
        </row>
      </sheetData>
      <sheetData sheetId="1252">
        <row r="1">
          <cell r="J1">
            <v>1.7453292519943295E-2</v>
          </cell>
        </row>
      </sheetData>
      <sheetData sheetId="1253">
        <row r="1">
          <cell r="J1">
            <v>1.7453292519943295E-2</v>
          </cell>
        </row>
      </sheetData>
      <sheetData sheetId="1254">
        <row r="1">
          <cell r="J1">
            <v>1.7453292519943295E-2</v>
          </cell>
        </row>
      </sheetData>
      <sheetData sheetId="1255">
        <row r="1">
          <cell r="J1">
            <v>1.7453292519943295E-2</v>
          </cell>
        </row>
      </sheetData>
      <sheetData sheetId="1256">
        <row r="1">
          <cell r="J1">
            <v>1.7453292519943295E-2</v>
          </cell>
        </row>
      </sheetData>
      <sheetData sheetId="1257">
        <row r="1">
          <cell r="J1">
            <v>1.7453292519943295E-2</v>
          </cell>
        </row>
      </sheetData>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ow r="1">
          <cell r="J1">
            <v>1.7453292519943295E-2</v>
          </cell>
        </row>
      </sheetData>
      <sheetData sheetId="1271">
        <row r="1">
          <cell r="J1">
            <v>1.7453292519943295E-2</v>
          </cell>
        </row>
      </sheetData>
      <sheetData sheetId="1272">
        <row r="1">
          <cell r="J1">
            <v>1.7453292519943295E-2</v>
          </cell>
        </row>
      </sheetData>
      <sheetData sheetId="1273">
        <row r="1">
          <cell r="J1">
            <v>1.7453292519943295E-2</v>
          </cell>
        </row>
      </sheetData>
      <sheetData sheetId="1274">
        <row r="1">
          <cell r="J1">
            <v>1.7453292519943295E-2</v>
          </cell>
        </row>
      </sheetData>
      <sheetData sheetId="1275">
        <row r="1">
          <cell r="J1">
            <v>1.7453292519943295E-2</v>
          </cell>
        </row>
      </sheetData>
      <sheetData sheetId="1276">
        <row r="1">
          <cell r="J1">
            <v>1.7453292519943295E-2</v>
          </cell>
        </row>
      </sheetData>
      <sheetData sheetId="1277">
        <row r="1">
          <cell r="J1">
            <v>1.7453292519943295E-2</v>
          </cell>
        </row>
      </sheetData>
      <sheetData sheetId="1278">
        <row r="1">
          <cell r="J1">
            <v>1.7453292519943295E-2</v>
          </cell>
        </row>
      </sheetData>
      <sheetData sheetId="1279">
        <row r="1">
          <cell r="J1">
            <v>1.7453292519943295E-2</v>
          </cell>
        </row>
      </sheetData>
      <sheetData sheetId="1280">
        <row r="1">
          <cell r="J1">
            <v>1.7453292519943295E-2</v>
          </cell>
        </row>
      </sheetData>
      <sheetData sheetId="1281">
        <row r="1">
          <cell r="J1">
            <v>1.7453292519943295E-2</v>
          </cell>
        </row>
      </sheetData>
      <sheetData sheetId="1282">
        <row r="1">
          <cell r="J1">
            <v>1.7453292519943295E-2</v>
          </cell>
        </row>
      </sheetData>
      <sheetData sheetId="1283">
        <row r="1">
          <cell r="J1">
            <v>1.7453292519943295E-2</v>
          </cell>
        </row>
      </sheetData>
      <sheetData sheetId="1284">
        <row r="1">
          <cell r="J1">
            <v>1.7453292519943295E-2</v>
          </cell>
        </row>
      </sheetData>
      <sheetData sheetId="1285">
        <row r="1">
          <cell r="J1">
            <v>1.7453292519943295E-2</v>
          </cell>
        </row>
      </sheetData>
      <sheetData sheetId="1286">
        <row r="1">
          <cell r="J1">
            <v>1.7453292519943295E-2</v>
          </cell>
        </row>
      </sheetData>
      <sheetData sheetId="1287">
        <row r="1">
          <cell r="J1">
            <v>1.7453292519943295E-2</v>
          </cell>
        </row>
      </sheetData>
      <sheetData sheetId="1288">
        <row r="1">
          <cell r="J1">
            <v>1.7453292519943295E-2</v>
          </cell>
        </row>
      </sheetData>
      <sheetData sheetId="1289">
        <row r="1">
          <cell r="J1">
            <v>1.7453292519943295E-2</v>
          </cell>
        </row>
      </sheetData>
      <sheetData sheetId="1290">
        <row r="1">
          <cell r="J1">
            <v>1.7453292519943295E-2</v>
          </cell>
        </row>
      </sheetData>
      <sheetData sheetId="1291">
        <row r="1">
          <cell r="J1">
            <v>1.7453292519943295E-2</v>
          </cell>
        </row>
      </sheetData>
      <sheetData sheetId="1292">
        <row r="1">
          <cell r="J1">
            <v>1.7453292519943295E-2</v>
          </cell>
        </row>
      </sheetData>
      <sheetData sheetId="1293">
        <row r="1">
          <cell r="J1">
            <v>1.7453292519943295E-2</v>
          </cell>
        </row>
      </sheetData>
      <sheetData sheetId="1294">
        <row r="1">
          <cell r="J1">
            <v>1.7453292519943295E-2</v>
          </cell>
        </row>
      </sheetData>
      <sheetData sheetId="1295">
        <row r="1">
          <cell r="J1">
            <v>1.7453292519943295E-2</v>
          </cell>
        </row>
      </sheetData>
      <sheetData sheetId="1296">
        <row r="1">
          <cell r="J1">
            <v>1.7453292519943295E-2</v>
          </cell>
        </row>
      </sheetData>
      <sheetData sheetId="1297">
        <row r="1">
          <cell r="J1">
            <v>1.7453292519943295E-2</v>
          </cell>
        </row>
      </sheetData>
      <sheetData sheetId="1298">
        <row r="1">
          <cell r="J1">
            <v>1.7453292519943295E-2</v>
          </cell>
        </row>
      </sheetData>
      <sheetData sheetId="1299">
        <row r="1">
          <cell r="J1">
            <v>1.7453292519943295E-2</v>
          </cell>
        </row>
      </sheetData>
      <sheetData sheetId="1300">
        <row r="1">
          <cell r="J1">
            <v>1.7453292519943295E-2</v>
          </cell>
        </row>
      </sheetData>
      <sheetData sheetId="1301">
        <row r="1">
          <cell r="J1">
            <v>1.7453292519943295E-2</v>
          </cell>
        </row>
      </sheetData>
      <sheetData sheetId="1302">
        <row r="1">
          <cell r="J1">
            <v>1.7453292519943295E-2</v>
          </cell>
        </row>
      </sheetData>
      <sheetData sheetId="1303">
        <row r="1">
          <cell r="J1">
            <v>1.7453292519943295E-2</v>
          </cell>
        </row>
      </sheetData>
      <sheetData sheetId="1304">
        <row r="1">
          <cell r="J1">
            <v>1.7453292519943295E-2</v>
          </cell>
        </row>
      </sheetData>
      <sheetData sheetId="1305">
        <row r="1">
          <cell r="J1">
            <v>1.7453292519943295E-2</v>
          </cell>
        </row>
      </sheetData>
      <sheetData sheetId="1306">
        <row r="1">
          <cell r="J1">
            <v>1.7453292519943295E-2</v>
          </cell>
        </row>
      </sheetData>
      <sheetData sheetId="1307">
        <row r="1">
          <cell r="J1">
            <v>1.7453292519943295E-2</v>
          </cell>
        </row>
      </sheetData>
      <sheetData sheetId="1308">
        <row r="1">
          <cell r="J1">
            <v>1.7453292519943295E-2</v>
          </cell>
        </row>
      </sheetData>
      <sheetData sheetId="1309">
        <row r="1">
          <cell r="J1">
            <v>1.7453292519943295E-2</v>
          </cell>
        </row>
      </sheetData>
      <sheetData sheetId="1310">
        <row r="1">
          <cell r="J1">
            <v>1.7453292519943295E-2</v>
          </cell>
        </row>
      </sheetData>
      <sheetData sheetId="1311">
        <row r="1">
          <cell r="J1">
            <v>1.7453292519943295E-2</v>
          </cell>
        </row>
      </sheetData>
      <sheetData sheetId="1312">
        <row r="1">
          <cell r="J1">
            <v>1.7453292519943295E-2</v>
          </cell>
        </row>
      </sheetData>
      <sheetData sheetId="1313">
        <row r="1">
          <cell r="J1">
            <v>1.7453292519943295E-2</v>
          </cell>
        </row>
      </sheetData>
      <sheetData sheetId="1314">
        <row r="1">
          <cell r="J1">
            <v>1.7453292519943295E-2</v>
          </cell>
        </row>
      </sheetData>
      <sheetData sheetId="1315">
        <row r="1">
          <cell r="J1">
            <v>1.7453292519943295E-2</v>
          </cell>
        </row>
      </sheetData>
      <sheetData sheetId="1316">
        <row r="1">
          <cell r="J1">
            <v>1.7453292519943295E-2</v>
          </cell>
        </row>
      </sheetData>
      <sheetData sheetId="1317">
        <row r="1">
          <cell r="J1">
            <v>1.7453292519943295E-2</v>
          </cell>
        </row>
      </sheetData>
      <sheetData sheetId="1318">
        <row r="1">
          <cell r="J1">
            <v>1.7453292519943295E-2</v>
          </cell>
        </row>
      </sheetData>
      <sheetData sheetId="1319">
        <row r="1">
          <cell r="J1">
            <v>1.7453292519943295E-2</v>
          </cell>
        </row>
      </sheetData>
      <sheetData sheetId="1320">
        <row r="1">
          <cell r="J1">
            <v>1.7453292519943295E-2</v>
          </cell>
        </row>
      </sheetData>
      <sheetData sheetId="1321">
        <row r="1">
          <cell r="J1">
            <v>1.7453292519943295E-2</v>
          </cell>
        </row>
      </sheetData>
      <sheetData sheetId="1322">
        <row r="1">
          <cell r="J1">
            <v>1.7453292519943295E-2</v>
          </cell>
        </row>
      </sheetData>
      <sheetData sheetId="1323">
        <row r="1">
          <cell r="J1">
            <v>1.7453292519943295E-2</v>
          </cell>
        </row>
      </sheetData>
      <sheetData sheetId="1324">
        <row r="1">
          <cell r="J1">
            <v>1.7453292519943295E-2</v>
          </cell>
        </row>
      </sheetData>
      <sheetData sheetId="1325">
        <row r="1">
          <cell r="J1">
            <v>1.7453292519943295E-2</v>
          </cell>
        </row>
      </sheetData>
      <sheetData sheetId="1326">
        <row r="1">
          <cell r="J1">
            <v>1.7453292519943295E-2</v>
          </cell>
        </row>
      </sheetData>
      <sheetData sheetId="1327">
        <row r="1">
          <cell r="J1">
            <v>1.7453292519943295E-2</v>
          </cell>
        </row>
      </sheetData>
      <sheetData sheetId="1328">
        <row r="1">
          <cell r="J1">
            <v>1.7453292519943295E-2</v>
          </cell>
        </row>
      </sheetData>
      <sheetData sheetId="1329">
        <row r="1">
          <cell r="J1">
            <v>1.7453292519943295E-2</v>
          </cell>
        </row>
      </sheetData>
      <sheetData sheetId="1330">
        <row r="1">
          <cell r="J1">
            <v>1.7453292519943295E-2</v>
          </cell>
        </row>
      </sheetData>
      <sheetData sheetId="1331">
        <row r="1">
          <cell r="J1">
            <v>1.7453292519943295E-2</v>
          </cell>
        </row>
      </sheetData>
      <sheetData sheetId="1332">
        <row r="1">
          <cell r="J1">
            <v>1.7453292519943295E-2</v>
          </cell>
        </row>
      </sheetData>
      <sheetData sheetId="1333">
        <row r="1">
          <cell r="J1">
            <v>1.7453292519943295E-2</v>
          </cell>
        </row>
      </sheetData>
      <sheetData sheetId="1334">
        <row r="1">
          <cell r="J1">
            <v>1.7453292519943295E-2</v>
          </cell>
        </row>
      </sheetData>
      <sheetData sheetId="1335">
        <row r="1">
          <cell r="J1">
            <v>1.7453292519943295E-2</v>
          </cell>
        </row>
      </sheetData>
      <sheetData sheetId="1336">
        <row r="1">
          <cell r="J1">
            <v>1.7453292519943295E-2</v>
          </cell>
        </row>
      </sheetData>
      <sheetData sheetId="1337">
        <row r="1">
          <cell r="J1">
            <v>1.7453292519943295E-2</v>
          </cell>
        </row>
      </sheetData>
      <sheetData sheetId="1338">
        <row r="1">
          <cell r="J1">
            <v>1.7453292519943295E-2</v>
          </cell>
        </row>
      </sheetData>
      <sheetData sheetId="1339">
        <row r="1">
          <cell r="J1">
            <v>1.7453292519943295E-2</v>
          </cell>
        </row>
      </sheetData>
      <sheetData sheetId="1340">
        <row r="1">
          <cell r="J1">
            <v>1.7453292519943295E-2</v>
          </cell>
        </row>
      </sheetData>
      <sheetData sheetId="1341">
        <row r="1">
          <cell r="J1">
            <v>1.7453292519943295E-2</v>
          </cell>
        </row>
      </sheetData>
      <sheetData sheetId="1342">
        <row r="1">
          <cell r="J1">
            <v>1.7453292519943295E-2</v>
          </cell>
        </row>
      </sheetData>
      <sheetData sheetId="1343">
        <row r="1">
          <cell r="J1">
            <v>1.7453292519943295E-2</v>
          </cell>
        </row>
      </sheetData>
      <sheetData sheetId="1344">
        <row r="1">
          <cell r="J1">
            <v>1.7453292519943295E-2</v>
          </cell>
        </row>
      </sheetData>
      <sheetData sheetId="1345">
        <row r="1">
          <cell r="J1">
            <v>1.7453292519943295E-2</v>
          </cell>
        </row>
      </sheetData>
      <sheetData sheetId="1346">
        <row r="1">
          <cell r="J1">
            <v>1.7453292519943295E-2</v>
          </cell>
        </row>
      </sheetData>
      <sheetData sheetId="1347">
        <row r="1">
          <cell r="J1">
            <v>1.7453292519943295E-2</v>
          </cell>
        </row>
      </sheetData>
      <sheetData sheetId="1348">
        <row r="1">
          <cell r="J1">
            <v>1.7453292519943295E-2</v>
          </cell>
        </row>
      </sheetData>
      <sheetData sheetId="1349">
        <row r="1">
          <cell r="J1">
            <v>1.7453292519943295E-2</v>
          </cell>
        </row>
      </sheetData>
      <sheetData sheetId="1350">
        <row r="1">
          <cell r="J1">
            <v>1.7453292519943295E-2</v>
          </cell>
        </row>
      </sheetData>
      <sheetData sheetId="1351">
        <row r="1">
          <cell r="J1">
            <v>1.7453292519943295E-2</v>
          </cell>
        </row>
      </sheetData>
      <sheetData sheetId="1352">
        <row r="1">
          <cell r="J1">
            <v>1.7453292519943295E-2</v>
          </cell>
        </row>
      </sheetData>
      <sheetData sheetId="1353">
        <row r="1">
          <cell r="J1">
            <v>1.7453292519943295E-2</v>
          </cell>
        </row>
      </sheetData>
      <sheetData sheetId="1354">
        <row r="1">
          <cell r="J1">
            <v>1.7453292519943295E-2</v>
          </cell>
        </row>
      </sheetData>
      <sheetData sheetId="1355">
        <row r="1">
          <cell r="J1">
            <v>1.7453292519943295E-2</v>
          </cell>
        </row>
      </sheetData>
      <sheetData sheetId="1356">
        <row r="1">
          <cell r="J1">
            <v>1.7453292519943295E-2</v>
          </cell>
        </row>
      </sheetData>
      <sheetData sheetId="1357">
        <row r="1">
          <cell r="J1">
            <v>1.7453292519943295E-2</v>
          </cell>
        </row>
      </sheetData>
      <sheetData sheetId="1358">
        <row r="1">
          <cell r="J1">
            <v>1.7453292519943295E-2</v>
          </cell>
        </row>
      </sheetData>
      <sheetData sheetId="1359">
        <row r="1">
          <cell r="J1">
            <v>1.7453292519943295E-2</v>
          </cell>
        </row>
      </sheetData>
      <sheetData sheetId="1360">
        <row r="1">
          <cell r="J1">
            <v>1.7453292519943295E-2</v>
          </cell>
        </row>
      </sheetData>
      <sheetData sheetId="1361">
        <row r="1">
          <cell r="J1">
            <v>1.7453292519943295E-2</v>
          </cell>
        </row>
      </sheetData>
      <sheetData sheetId="1362">
        <row r="1">
          <cell r="J1">
            <v>1.7453292519943295E-2</v>
          </cell>
        </row>
      </sheetData>
      <sheetData sheetId="1363">
        <row r="1">
          <cell r="J1">
            <v>1.7453292519943295E-2</v>
          </cell>
        </row>
      </sheetData>
      <sheetData sheetId="1364">
        <row r="1">
          <cell r="J1">
            <v>1.7453292519943295E-2</v>
          </cell>
        </row>
      </sheetData>
      <sheetData sheetId="1365">
        <row r="1">
          <cell r="J1">
            <v>1.7453292519943295E-2</v>
          </cell>
        </row>
      </sheetData>
      <sheetData sheetId="1366">
        <row r="1">
          <cell r="J1">
            <v>1.7453292519943295E-2</v>
          </cell>
        </row>
      </sheetData>
      <sheetData sheetId="1367">
        <row r="1">
          <cell r="J1">
            <v>1.7453292519943295E-2</v>
          </cell>
        </row>
      </sheetData>
      <sheetData sheetId="1368">
        <row r="1">
          <cell r="J1">
            <v>1.7453292519943295E-2</v>
          </cell>
        </row>
      </sheetData>
      <sheetData sheetId="1369">
        <row r="1">
          <cell r="J1">
            <v>1.7453292519943295E-2</v>
          </cell>
        </row>
      </sheetData>
      <sheetData sheetId="1370">
        <row r="1">
          <cell r="J1">
            <v>1.7453292519943295E-2</v>
          </cell>
        </row>
      </sheetData>
      <sheetData sheetId="1371">
        <row r="1">
          <cell r="J1">
            <v>1.7453292519943295E-2</v>
          </cell>
        </row>
      </sheetData>
      <sheetData sheetId="1372">
        <row r="1">
          <cell r="J1">
            <v>1.7453292519943295E-2</v>
          </cell>
        </row>
      </sheetData>
      <sheetData sheetId="1373">
        <row r="1">
          <cell r="J1">
            <v>1.7453292519943295E-2</v>
          </cell>
        </row>
      </sheetData>
      <sheetData sheetId="1374">
        <row r="1">
          <cell r="J1">
            <v>1.7453292519943295E-2</v>
          </cell>
        </row>
      </sheetData>
      <sheetData sheetId="1375">
        <row r="1">
          <cell r="J1">
            <v>1.7453292519943295E-2</v>
          </cell>
        </row>
      </sheetData>
      <sheetData sheetId="1376">
        <row r="1">
          <cell r="J1">
            <v>1.7453292519943295E-2</v>
          </cell>
        </row>
      </sheetData>
      <sheetData sheetId="1377">
        <row r="1">
          <cell r="J1">
            <v>1.7453292519943295E-2</v>
          </cell>
        </row>
      </sheetData>
      <sheetData sheetId="1378">
        <row r="1">
          <cell r="J1">
            <v>1.7453292519943295E-2</v>
          </cell>
        </row>
      </sheetData>
      <sheetData sheetId="1379">
        <row r="1">
          <cell r="J1">
            <v>1.7453292519943295E-2</v>
          </cell>
        </row>
      </sheetData>
      <sheetData sheetId="1380">
        <row r="1">
          <cell r="J1">
            <v>1.7453292519943295E-2</v>
          </cell>
        </row>
      </sheetData>
      <sheetData sheetId="1381">
        <row r="1">
          <cell r="J1">
            <v>1.7453292519943295E-2</v>
          </cell>
        </row>
      </sheetData>
      <sheetData sheetId="1382">
        <row r="1">
          <cell r="J1">
            <v>1.7453292519943295E-2</v>
          </cell>
        </row>
      </sheetData>
      <sheetData sheetId="1383">
        <row r="1">
          <cell r="J1">
            <v>1.7453292519943295E-2</v>
          </cell>
        </row>
      </sheetData>
      <sheetData sheetId="1384">
        <row r="1">
          <cell r="J1">
            <v>1.7453292519943295E-2</v>
          </cell>
        </row>
      </sheetData>
      <sheetData sheetId="1385">
        <row r="1">
          <cell r="J1">
            <v>1.7453292519943295E-2</v>
          </cell>
        </row>
      </sheetData>
      <sheetData sheetId="1386">
        <row r="1">
          <cell r="J1">
            <v>1.7453292519943295E-2</v>
          </cell>
        </row>
      </sheetData>
      <sheetData sheetId="1387">
        <row r="1">
          <cell r="J1">
            <v>1.7453292519943295E-2</v>
          </cell>
        </row>
      </sheetData>
      <sheetData sheetId="1388">
        <row r="1">
          <cell r="J1">
            <v>1.7453292519943295E-2</v>
          </cell>
        </row>
      </sheetData>
      <sheetData sheetId="1389">
        <row r="1">
          <cell r="J1">
            <v>1.7453292519943295E-2</v>
          </cell>
        </row>
      </sheetData>
      <sheetData sheetId="1390">
        <row r="1">
          <cell r="J1">
            <v>1.7453292519943295E-2</v>
          </cell>
        </row>
      </sheetData>
      <sheetData sheetId="1391">
        <row r="1">
          <cell r="J1">
            <v>1.7453292519943295E-2</v>
          </cell>
        </row>
      </sheetData>
      <sheetData sheetId="1392">
        <row r="1">
          <cell r="J1">
            <v>1.7453292519943295E-2</v>
          </cell>
        </row>
      </sheetData>
      <sheetData sheetId="1393">
        <row r="1">
          <cell r="J1">
            <v>1.7453292519943295E-2</v>
          </cell>
        </row>
      </sheetData>
      <sheetData sheetId="1394">
        <row r="1">
          <cell r="J1">
            <v>1.7453292519943295E-2</v>
          </cell>
        </row>
      </sheetData>
      <sheetData sheetId="1395">
        <row r="1">
          <cell r="J1">
            <v>1.7453292519943295E-2</v>
          </cell>
        </row>
      </sheetData>
      <sheetData sheetId="1396">
        <row r="1">
          <cell r="J1">
            <v>1.7453292519943295E-2</v>
          </cell>
        </row>
      </sheetData>
      <sheetData sheetId="1397">
        <row r="1">
          <cell r="J1">
            <v>1.7453292519943295E-2</v>
          </cell>
        </row>
      </sheetData>
      <sheetData sheetId="1398">
        <row r="1">
          <cell r="J1">
            <v>1.7453292519943295E-2</v>
          </cell>
        </row>
      </sheetData>
      <sheetData sheetId="1399">
        <row r="1">
          <cell r="J1">
            <v>1.7453292519943295E-2</v>
          </cell>
        </row>
      </sheetData>
      <sheetData sheetId="1400">
        <row r="1">
          <cell r="J1">
            <v>1.7453292519943295E-2</v>
          </cell>
        </row>
      </sheetData>
      <sheetData sheetId="1401">
        <row r="1">
          <cell r="J1">
            <v>1.7453292519943295E-2</v>
          </cell>
        </row>
      </sheetData>
      <sheetData sheetId="1402">
        <row r="1">
          <cell r="J1">
            <v>1.7453292519943295E-2</v>
          </cell>
        </row>
      </sheetData>
      <sheetData sheetId="1403">
        <row r="1">
          <cell r="J1">
            <v>1.7453292519943295E-2</v>
          </cell>
        </row>
      </sheetData>
      <sheetData sheetId="1404">
        <row r="1">
          <cell r="J1">
            <v>1.7453292519943295E-2</v>
          </cell>
        </row>
      </sheetData>
      <sheetData sheetId="1405">
        <row r="1">
          <cell r="J1">
            <v>1.7453292519943295E-2</v>
          </cell>
        </row>
      </sheetData>
      <sheetData sheetId="1406">
        <row r="1">
          <cell r="J1">
            <v>1.7453292519943295E-2</v>
          </cell>
        </row>
      </sheetData>
      <sheetData sheetId="1407">
        <row r="1">
          <cell r="J1">
            <v>1.7453292519943295E-2</v>
          </cell>
        </row>
      </sheetData>
      <sheetData sheetId="1408">
        <row r="1">
          <cell r="J1">
            <v>1.7453292519943295E-2</v>
          </cell>
        </row>
      </sheetData>
      <sheetData sheetId="1409">
        <row r="1">
          <cell r="J1">
            <v>1.7453292519943295E-2</v>
          </cell>
        </row>
      </sheetData>
      <sheetData sheetId="1410">
        <row r="1">
          <cell r="J1">
            <v>1.7453292519943295E-2</v>
          </cell>
        </row>
      </sheetData>
      <sheetData sheetId="1411">
        <row r="1">
          <cell r="J1">
            <v>1.7453292519943295E-2</v>
          </cell>
        </row>
      </sheetData>
      <sheetData sheetId="1412">
        <row r="1">
          <cell r="J1">
            <v>1.7453292519943295E-2</v>
          </cell>
        </row>
      </sheetData>
      <sheetData sheetId="1413">
        <row r="1">
          <cell r="J1">
            <v>1.7453292519943295E-2</v>
          </cell>
        </row>
      </sheetData>
      <sheetData sheetId="1414">
        <row r="1">
          <cell r="J1">
            <v>1.7453292519943295E-2</v>
          </cell>
        </row>
      </sheetData>
      <sheetData sheetId="1415">
        <row r="1">
          <cell r="J1">
            <v>1.7453292519943295E-2</v>
          </cell>
        </row>
      </sheetData>
      <sheetData sheetId="1416">
        <row r="1">
          <cell r="J1">
            <v>1.7453292519943295E-2</v>
          </cell>
        </row>
      </sheetData>
      <sheetData sheetId="1417">
        <row r="1">
          <cell r="J1">
            <v>1.7453292519943295E-2</v>
          </cell>
        </row>
      </sheetData>
      <sheetData sheetId="1418">
        <row r="1">
          <cell r="J1">
            <v>1.7453292519943295E-2</v>
          </cell>
        </row>
      </sheetData>
      <sheetData sheetId="1419">
        <row r="1">
          <cell r="J1">
            <v>1.7453292519943295E-2</v>
          </cell>
        </row>
      </sheetData>
      <sheetData sheetId="1420">
        <row r="1">
          <cell r="J1">
            <v>1.7453292519943295E-2</v>
          </cell>
        </row>
      </sheetData>
      <sheetData sheetId="1421">
        <row r="1">
          <cell r="J1">
            <v>1.7453292519943295E-2</v>
          </cell>
        </row>
      </sheetData>
      <sheetData sheetId="1422">
        <row r="1">
          <cell r="J1">
            <v>1.7453292519943295E-2</v>
          </cell>
        </row>
      </sheetData>
      <sheetData sheetId="1423">
        <row r="1">
          <cell r="J1">
            <v>1.7453292519943295E-2</v>
          </cell>
        </row>
      </sheetData>
      <sheetData sheetId="1424">
        <row r="1">
          <cell r="J1">
            <v>1.7453292519943295E-2</v>
          </cell>
        </row>
      </sheetData>
      <sheetData sheetId="1425">
        <row r="1">
          <cell r="J1">
            <v>1.7453292519943295E-2</v>
          </cell>
        </row>
      </sheetData>
      <sheetData sheetId="1426">
        <row r="1">
          <cell r="J1">
            <v>1.7453292519943295E-2</v>
          </cell>
        </row>
      </sheetData>
      <sheetData sheetId="1427">
        <row r="1">
          <cell r="J1">
            <v>1.7453292519943295E-2</v>
          </cell>
        </row>
      </sheetData>
      <sheetData sheetId="1428">
        <row r="1">
          <cell r="J1">
            <v>1.7453292519943295E-2</v>
          </cell>
        </row>
      </sheetData>
      <sheetData sheetId="1429">
        <row r="1">
          <cell r="J1">
            <v>1.7453292519943295E-2</v>
          </cell>
        </row>
      </sheetData>
      <sheetData sheetId="1430">
        <row r="1">
          <cell r="J1">
            <v>1.7453292519943295E-2</v>
          </cell>
        </row>
      </sheetData>
      <sheetData sheetId="1431">
        <row r="1">
          <cell r="J1">
            <v>1.7453292519943295E-2</v>
          </cell>
        </row>
      </sheetData>
      <sheetData sheetId="1432">
        <row r="1">
          <cell r="J1">
            <v>1.7453292519943295E-2</v>
          </cell>
        </row>
      </sheetData>
      <sheetData sheetId="1433">
        <row r="1">
          <cell r="J1">
            <v>1.7453292519943295E-2</v>
          </cell>
        </row>
      </sheetData>
      <sheetData sheetId="1434">
        <row r="1">
          <cell r="J1">
            <v>1.7453292519943295E-2</v>
          </cell>
        </row>
      </sheetData>
      <sheetData sheetId="1435">
        <row r="1">
          <cell r="J1">
            <v>1.7453292519943295E-2</v>
          </cell>
        </row>
      </sheetData>
      <sheetData sheetId="1436">
        <row r="1">
          <cell r="J1">
            <v>1.7453292519943295E-2</v>
          </cell>
        </row>
      </sheetData>
      <sheetData sheetId="1437">
        <row r="1">
          <cell r="J1">
            <v>1.7453292519943295E-2</v>
          </cell>
        </row>
      </sheetData>
      <sheetData sheetId="1438">
        <row r="1">
          <cell r="J1">
            <v>1.7453292519943295E-2</v>
          </cell>
        </row>
      </sheetData>
      <sheetData sheetId="1439">
        <row r="1">
          <cell r="J1">
            <v>1.7453292519943295E-2</v>
          </cell>
        </row>
      </sheetData>
      <sheetData sheetId="1440">
        <row r="1">
          <cell r="J1">
            <v>1.7453292519943295E-2</v>
          </cell>
        </row>
      </sheetData>
      <sheetData sheetId="1441">
        <row r="1">
          <cell r="J1">
            <v>1.7453292519943295E-2</v>
          </cell>
        </row>
      </sheetData>
      <sheetData sheetId="1442">
        <row r="1">
          <cell r="J1">
            <v>1.7453292519943295E-2</v>
          </cell>
        </row>
      </sheetData>
      <sheetData sheetId="1443">
        <row r="1">
          <cell r="J1">
            <v>1.7453292519943295E-2</v>
          </cell>
        </row>
      </sheetData>
      <sheetData sheetId="1444">
        <row r="1">
          <cell r="J1">
            <v>1.7453292519943295E-2</v>
          </cell>
        </row>
      </sheetData>
      <sheetData sheetId="1445">
        <row r="1">
          <cell r="J1">
            <v>1.7453292519943295E-2</v>
          </cell>
        </row>
      </sheetData>
      <sheetData sheetId="1446">
        <row r="1">
          <cell r="J1">
            <v>1.7453292519943295E-2</v>
          </cell>
        </row>
      </sheetData>
      <sheetData sheetId="1447">
        <row r="1">
          <cell r="J1">
            <v>1.7453292519943295E-2</v>
          </cell>
        </row>
      </sheetData>
      <sheetData sheetId="1448">
        <row r="1">
          <cell r="J1">
            <v>1.7453292519943295E-2</v>
          </cell>
        </row>
      </sheetData>
      <sheetData sheetId="1449">
        <row r="1">
          <cell r="J1">
            <v>1.7453292519943295E-2</v>
          </cell>
        </row>
      </sheetData>
      <sheetData sheetId="1450">
        <row r="1">
          <cell r="J1">
            <v>1.7453292519943295E-2</v>
          </cell>
        </row>
      </sheetData>
      <sheetData sheetId="1451">
        <row r="1">
          <cell r="J1">
            <v>1.7453292519943295E-2</v>
          </cell>
        </row>
      </sheetData>
      <sheetData sheetId="1452">
        <row r="1">
          <cell r="J1">
            <v>1.7453292519943295E-2</v>
          </cell>
        </row>
      </sheetData>
      <sheetData sheetId="1453">
        <row r="1">
          <cell r="J1">
            <v>1.7453292519943295E-2</v>
          </cell>
        </row>
      </sheetData>
      <sheetData sheetId="1454">
        <row r="1">
          <cell r="J1">
            <v>1.7453292519943295E-2</v>
          </cell>
        </row>
      </sheetData>
      <sheetData sheetId="1455">
        <row r="1">
          <cell r="J1">
            <v>1.7453292519943295E-2</v>
          </cell>
        </row>
      </sheetData>
      <sheetData sheetId="1456">
        <row r="1">
          <cell r="J1">
            <v>1.7453292519943295E-2</v>
          </cell>
        </row>
      </sheetData>
      <sheetData sheetId="1457">
        <row r="1">
          <cell r="J1">
            <v>1.7453292519943295E-2</v>
          </cell>
        </row>
      </sheetData>
      <sheetData sheetId="1458">
        <row r="1">
          <cell r="J1">
            <v>1.7453292519943295E-2</v>
          </cell>
        </row>
      </sheetData>
      <sheetData sheetId="1459">
        <row r="1">
          <cell r="J1">
            <v>1.7453292519943295E-2</v>
          </cell>
        </row>
      </sheetData>
      <sheetData sheetId="1460">
        <row r="1">
          <cell r="J1">
            <v>1.7453292519943295E-2</v>
          </cell>
        </row>
      </sheetData>
      <sheetData sheetId="1461">
        <row r="1">
          <cell r="J1">
            <v>1.7453292519943295E-2</v>
          </cell>
        </row>
      </sheetData>
      <sheetData sheetId="1462">
        <row r="1">
          <cell r="J1">
            <v>1.7453292519943295E-2</v>
          </cell>
        </row>
      </sheetData>
      <sheetData sheetId="1463">
        <row r="1">
          <cell r="J1">
            <v>1.7453292519943295E-2</v>
          </cell>
        </row>
      </sheetData>
      <sheetData sheetId="1464">
        <row r="1">
          <cell r="J1">
            <v>1.7453292519943295E-2</v>
          </cell>
        </row>
      </sheetData>
      <sheetData sheetId="1465">
        <row r="1">
          <cell r="J1">
            <v>1.7453292519943295E-2</v>
          </cell>
        </row>
      </sheetData>
      <sheetData sheetId="1466">
        <row r="1">
          <cell r="J1">
            <v>1.7453292519943295E-2</v>
          </cell>
        </row>
      </sheetData>
      <sheetData sheetId="1467">
        <row r="1">
          <cell r="J1">
            <v>1.7453292519943295E-2</v>
          </cell>
        </row>
      </sheetData>
      <sheetData sheetId="1468">
        <row r="1">
          <cell r="J1">
            <v>1.7453292519943295E-2</v>
          </cell>
        </row>
      </sheetData>
      <sheetData sheetId="1469">
        <row r="1">
          <cell r="J1">
            <v>1.7453292519943295E-2</v>
          </cell>
        </row>
      </sheetData>
      <sheetData sheetId="1470">
        <row r="1">
          <cell r="J1">
            <v>1.7453292519943295E-2</v>
          </cell>
        </row>
      </sheetData>
      <sheetData sheetId="1471">
        <row r="1">
          <cell r="J1">
            <v>1.7453292519943295E-2</v>
          </cell>
        </row>
      </sheetData>
      <sheetData sheetId="1472">
        <row r="1">
          <cell r="J1">
            <v>1.7453292519943295E-2</v>
          </cell>
        </row>
      </sheetData>
      <sheetData sheetId="1473">
        <row r="1">
          <cell r="J1">
            <v>1.7453292519943295E-2</v>
          </cell>
        </row>
      </sheetData>
      <sheetData sheetId="1474">
        <row r="1">
          <cell r="J1">
            <v>1.7453292519943295E-2</v>
          </cell>
        </row>
      </sheetData>
      <sheetData sheetId="1475">
        <row r="1">
          <cell r="J1">
            <v>1.7453292519943295E-2</v>
          </cell>
        </row>
      </sheetData>
      <sheetData sheetId="1476">
        <row r="1">
          <cell r="J1">
            <v>1.7453292519943295E-2</v>
          </cell>
        </row>
      </sheetData>
      <sheetData sheetId="1477">
        <row r="1">
          <cell r="J1">
            <v>1.7453292519943295E-2</v>
          </cell>
        </row>
      </sheetData>
      <sheetData sheetId="1478">
        <row r="1">
          <cell r="J1">
            <v>1.7453292519943295E-2</v>
          </cell>
        </row>
      </sheetData>
      <sheetData sheetId="1479">
        <row r="1">
          <cell r="J1">
            <v>1.7453292519943295E-2</v>
          </cell>
        </row>
      </sheetData>
      <sheetData sheetId="1480">
        <row r="1">
          <cell r="J1">
            <v>1.7453292519943295E-2</v>
          </cell>
        </row>
      </sheetData>
      <sheetData sheetId="1481">
        <row r="1">
          <cell r="J1">
            <v>1.7453292519943295E-2</v>
          </cell>
        </row>
      </sheetData>
      <sheetData sheetId="1482">
        <row r="1">
          <cell r="J1">
            <v>1.7453292519943295E-2</v>
          </cell>
        </row>
      </sheetData>
      <sheetData sheetId="1483">
        <row r="1">
          <cell r="J1">
            <v>1.7453292519943295E-2</v>
          </cell>
        </row>
      </sheetData>
      <sheetData sheetId="1484">
        <row r="1">
          <cell r="J1">
            <v>1.7453292519943295E-2</v>
          </cell>
        </row>
      </sheetData>
      <sheetData sheetId="1485">
        <row r="1">
          <cell r="J1">
            <v>1.7453292519943295E-2</v>
          </cell>
        </row>
      </sheetData>
      <sheetData sheetId="1486">
        <row r="1">
          <cell r="J1">
            <v>1.7453292519943295E-2</v>
          </cell>
        </row>
      </sheetData>
      <sheetData sheetId="1487">
        <row r="1">
          <cell r="J1">
            <v>1.7453292519943295E-2</v>
          </cell>
        </row>
      </sheetData>
      <sheetData sheetId="1488">
        <row r="1">
          <cell r="J1">
            <v>1.7453292519943295E-2</v>
          </cell>
        </row>
      </sheetData>
      <sheetData sheetId="1489">
        <row r="1">
          <cell r="J1">
            <v>1.7453292519943295E-2</v>
          </cell>
        </row>
      </sheetData>
      <sheetData sheetId="1490">
        <row r="1">
          <cell r="J1">
            <v>1.7453292519943295E-2</v>
          </cell>
        </row>
      </sheetData>
      <sheetData sheetId="1491">
        <row r="1">
          <cell r="J1">
            <v>1.7453292519943295E-2</v>
          </cell>
        </row>
      </sheetData>
      <sheetData sheetId="1492">
        <row r="1">
          <cell r="J1">
            <v>1.7453292519943295E-2</v>
          </cell>
        </row>
      </sheetData>
      <sheetData sheetId="1493">
        <row r="1">
          <cell r="J1">
            <v>1.7453292519943295E-2</v>
          </cell>
        </row>
      </sheetData>
      <sheetData sheetId="1494">
        <row r="1">
          <cell r="J1">
            <v>1.7453292519943295E-2</v>
          </cell>
        </row>
      </sheetData>
      <sheetData sheetId="1495">
        <row r="1">
          <cell r="J1">
            <v>1.7453292519943295E-2</v>
          </cell>
        </row>
      </sheetData>
      <sheetData sheetId="1496">
        <row r="1">
          <cell r="J1">
            <v>1.7453292519943295E-2</v>
          </cell>
        </row>
      </sheetData>
      <sheetData sheetId="1497">
        <row r="1">
          <cell r="J1">
            <v>1.7453292519943295E-2</v>
          </cell>
        </row>
      </sheetData>
      <sheetData sheetId="1498">
        <row r="1">
          <cell r="J1">
            <v>1.7453292519943295E-2</v>
          </cell>
        </row>
      </sheetData>
      <sheetData sheetId="1499">
        <row r="1">
          <cell r="J1">
            <v>1.7453292519943295E-2</v>
          </cell>
        </row>
      </sheetData>
      <sheetData sheetId="1500">
        <row r="1">
          <cell r="J1">
            <v>1.7453292519943295E-2</v>
          </cell>
        </row>
      </sheetData>
      <sheetData sheetId="1501">
        <row r="1">
          <cell r="J1">
            <v>1.7453292519943295E-2</v>
          </cell>
        </row>
      </sheetData>
      <sheetData sheetId="1502">
        <row r="1">
          <cell r="J1">
            <v>1.7453292519943295E-2</v>
          </cell>
        </row>
      </sheetData>
      <sheetData sheetId="1503">
        <row r="1">
          <cell r="J1">
            <v>1.7453292519943295E-2</v>
          </cell>
        </row>
      </sheetData>
      <sheetData sheetId="1504">
        <row r="1">
          <cell r="J1">
            <v>1.7453292519943295E-2</v>
          </cell>
        </row>
      </sheetData>
      <sheetData sheetId="1505">
        <row r="1">
          <cell r="J1">
            <v>1.7453292519943295E-2</v>
          </cell>
        </row>
      </sheetData>
      <sheetData sheetId="1506">
        <row r="1">
          <cell r="J1">
            <v>1.7453292519943295E-2</v>
          </cell>
        </row>
      </sheetData>
      <sheetData sheetId="1507">
        <row r="1">
          <cell r="J1">
            <v>1.7453292519943295E-2</v>
          </cell>
        </row>
      </sheetData>
      <sheetData sheetId="1508">
        <row r="1">
          <cell r="J1">
            <v>1.7453292519943295E-2</v>
          </cell>
        </row>
      </sheetData>
      <sheetData sheetId="1509">
        <row r="1">
          <cell r="J1">
            <v>1.7453292519943295E-2</v>
          </cell>
        </row>
      </sheetData>
      <sheetData sheetId="1510">
        <row r="1">
          <cell r="J1">
            <v>1.7453292519943295E-2</v>
          </cell>
        </row>
      </sheetData>
      <sheetData sheetId="1511">
        <row r="1">
          <cell r="J1">
            <v>1.7453292519943295E-2</v>
          </cell>
        </row>
      </sheetData>
      <sheetData sheetId="1512">
        <row r="1">
          <cell r="J1">
            <v>1.7453292519943295E-2</v>
          </cell>
        </row>
      </sheetData>
      <sheetData sheetId="1513">
        <row r="1">
          <cell r="J1">
            <v>1.7453292519943295E-2</v>
          </cell>
        </row>
      </sheetData>
      <sheetData sheetId="1514">
        <row r="1">
          <cell r="J1">
            <v>1.7453292519943295E-2</v>
          </cell>
        </row>
      </sheetData>
      <sheetData sheetId="1515">
        <row r="1">
          <cell r="J1">
            <v>1.7453292519943295E-2</v>
          </cell>
        </row>
      </sheetData>
      <sheetData sheetId="1516">
        <row r="1">
          <cell r="J1">
            <v>1.7453292519943295E-2</v>
          </cell>
        </row>
      </sheetData>
      <sheetData sheetId="1517">
        <row r="1">
          <cell r="J1">
            <v>1.7453292519943295E-2</v>
          </cell>
        </row>
      </sheetData>
      <sheetData sheetId="1518">
        <row r="1">
          <cell r="J1">
            <v>1.7453292519943295E-2</v>
          </cell>
        </row>
      </sheetData>
      <sheetData sheetId="1519">
        <row r="1">
          <cell r="J1">
            <v>1.7453292519943295E-2</v>
          </cell>
        </row>
      </sheetData>
      <sheetData sheetId="1520">
        <row r="1">
          <cell r="J1">
            <v>1.7453292519943295E-2</v>
          </cell>
        </row>
      </sheetData>
      <sheetData sheetId="1521">
        <row r="1">
          <cell r="J1">
            <v>1.7453292519943295E-2</v>
          </cell>
        </row>
      </sheetData>
      <sheetData sheetId="1522">
        <row r="1">
          <cell r="J1">
            <v>1.7453292519943295E-2</v>
          </cell>
        </row>
      </sheetData>
      <sheetData sheetId="1523">
        <row r="1">
          <cell r="J1">
            <v>1.7453292519943295E-2</v>
          </cell>
        </row>
      </sheetData>
      <sheetData sheetId="1524">
        <row r="1">
          <cell r="J1">
            <v>1.7453292519943295E-2</v>
          </cell>
        </row>
      </sheetData>
      <sheetData sheetId="1525">
        <row r="1">
          <cell r="J1">
            <v>1.7453292519943295E-2</v>
          </cell>
        </row>
      </sheetData>
      <sheetData sheetId="1526">
        <row r="1">
          <cell r="J1">
            <v>1.7453292519943295E-2</v>
          </cell>
        </row>
      </sheetData>
      <sheetData sheetId="1527">
        <row r="1">
          <cell r="J1">
            <v>1.7453292519943295E-2</v>
          </cell>
        </row>
      </sheetData>
      <sheetData sheetId="1528">
        <row r="1">
          <cell r="J1">
            <v>1.7453292519943295E-2</v>
          </cell>
        </row>
      </sheetData>
      <sheetData sheetId="1529">
        <row r="1">
          <cell r="J1">
            <v>1.7453292519943295E-2</v>
          </cell>
        </row>
      </sheetData>
      <sheetData sheetId="1530">
        <row r="1">
          <cell r="J1">
            <v>1.7453292519943295E-2</v>
          </cell>
        </row>
      </sheetData>
      <sheetData sheetId="1531">
        <row r="1">
          <cell r="J1">
            <v>1.7453292519943295E-2</v>
          </cell>
        </row>
      </sheetData>
      <sheetData sheetId="1532">
        <row r="1">
          <cell r="J1">
            <v>1.7453292519943295E-2</v>
          </cell>
        </row>
      </sheetData>
      <sheetData sheetId="1533">
        <row r="1">
          <cell r="J1">
            <v>1.7453292519943295E-2</v>
          </cell>
        </row>
      </sheetData>
      <sheetData sheetId="1534">
        <row r="1">
          <cell r="J1">
            <v>1.7453292519943295E-2</v>
          </cell>
        </row>
      </sheetData>
      <sheetData sheetId="1535">
        <row r="1">
          <cell r="J1">
            <v>1.7453292519943295E-2</v>
          </cell>
        </row>
      </sheetData>
      <sheetData sheetId="1536">
        <row r="1">
          <cell r="J1">
            <v>1.7453292519943295E-2</v>
          </cell>
        </row>
      </sheetData>
      <sheetData sheetId="1537">
        <row r="1">
          <cell r="J1">
            <v>1.7453292519943295E-2</v>
          </cell>
        </row>
      </sheetData>
      <sheetData sheetId="1538">
        <row r="1">
          <cell r="J1">
            <v>1.7453292519943295E-2</v>
          </cell>
        </row>
      </sheetData>
      <sheetData sheetId="1539">
        <row r="1">
          <cell r="J1">
            <v>1.7453292519943295E-2</v>
          </cell>
        </row>
      </sheetData>
      <sheetData sheetId="1540">
        <row r="1">
          <cell r="J1">
            <v>1.7453292519943295E-2</v>
          </cell>
        </row>
      </sheetData>
      <sheetData sheetId="1541">
        <row r="1">
          <cell r="J1">
            <v>1.7453292519943295E-2</v>
          </cell>
        </row>
      </sheetData>
      <sheetData sheetId="1542">
        <row r="1">
          <cell r="J1">
            <v>1.7453292519943295E-2</v>
          </cell>
        </row>
      </sheetData>
      <sheetData sheetId="1543">
        <row r="1">
          <cell r="J1">
            <v>1.7453292519943295E-2</v>
          </cell>
        </row>
      </sheetData>
      <sheetData sheetId="1544">
        <row r="1">
          <cell r="J1">
            <v>1.7453292519943295E-2</v>
          </cell>
        </row>
      </sheetData>
      <sheetData sheetId="1545">
        <row r="1">
          <cell r="J1">
            <v>1.7453292519943295E-2</v>
          </cell>
        </row>
      </sheetData>
      <sheetData sheetId="1546">
        <row r="1">
          <cell r="J1">
            <v>1.7453292519943295E-2</v>
          </cell>
        </row>
      </sheetData>
      <sheetData sheetId="1547">
        <row r="1">
          <cell r="J1">
            <v>1.7453292519943295E-2</v>
          </cell>
        </row>
      </sheetData>
      <sheetData sheetId="1548">
        <row r="1">
          <cell r="J1">
            <v>1.7453292519943295E-2</v>
          </cell>
        </row>
      </sheetData>
      <sheetData sheetId="1549">
        <row r="1">
          <cell r="J1">
            <v>1.7453292519943295E-2</v>
          </cell>
        </row>
      </sheetData>
      <sheetData sheetId="1550">
        <row r="1">
          <cell r="J1">
            <v>1.7453292519943295E-2</v>
          </cell>
        </row>
      </sheetData>
      <sheetData sheetId="1551">
        <row r="1">
          <cell r="J1">
            <v>1.7453292519943295E-2</v>
          </cell>
        </row>
      </sheetData>
      <sheetData sheetId="1552">
        <row r="1">
          <cell r="J1">
            <v>1.7453292519943295E-2</v>
          </cell>
        </row>
      </sheetData>
      <sheetData sheetId="1553">
        <row r="1">
          <cell r="J1">
            <v>1.7453292519943295E-2</v>
          </cell>
        </row>
      </sheetData>
      <sheetData sheetId="1554">
        <row r="1">
          <cell r="J1">
            <v>1.7453292519943295E-2</v>
          </cell>
        </row>
      </sheetData>
      <sheetData sheetId="1555">
        <row r="1">
          <cell r="J1">
            <v>1.7453292519943295E-2</v>
          </cell>
        </row>
      </sheetData>
      <sheetData sheetId="1556">
        <row r="1">
          <cell r="J1">
            <v>1.7453292519943295E-2</v>
          </cell>
        </row>
      </sheetData>
      <sheetData sheetId="1557">
        <row r="1">
          <cell r="J1">
            <v>1.7453292519943295E-2</v>
          </cell>
        </row>
      </sheetData>
      <sheetData sheetId="1558">
        <row r="1">
          <cell r="J1">
            <v>1.7453292519943295E-2</v>
          </cell>
        </row>
      </sheetData>
      <sheetData sheetId="1559">
        <row r="1">
          <cell r="J1">
            <v>1.7453292519943295E-2</v>
          </cell>
        </row>
      </sheetData>
      <sheetData sheetId="1560">
        <row r="1">
          <cell r="J1">
            <v>1.7453292519943295E-2</v>
          </cell>
        </row>
      </sheetData>
      <sheetData sheetId="1561">
        <row r="1">
          <cell r="J1">
            <v>1.7453292519943295E-2</v>
          </cell>
        </row>
      </sheetData>
      <sheetData sheetId="1562">
        <row r="1">
          <cell r="J1">
            <v>1.7453292519943295E-2</v>
          </cell>
        </row>
      </sheetData>
      <sheetData sheetId="1563">
        <row r="1">
          <cell r="J1">
            <v>1.7453292519943295E-2</v>
          </cell>
        </row>
      </sheetData>
      <sheetData sheetId="1564">
        <row r="1">
          <cell r="J1">
            <v>1.7453292519943295E-2</v>
          </cell>
        </row>
      </sheetData>
      <sheetData sheetId="1565">
        <row r="1">
          <cell r="J1">
            <v>1.7453292519943295E-2</v>
          </cell>
        </row>
      </sheetData>
      <sheetData sheetId="1566">
        <row r="1">
          <cell r="J1">
            <v>1.7453292519943295E-2</v>
          </cell>
        </row>
      </sheetData>
      <sheetData sheetId="1567">
        <row r="1">
          <cell r="J1">
            <v>1.7453292519943295E-2</v>
          </cell>
        </row>
      </sheetData>
      <sheetData sheetId="1568">
        <row r="1">
          <cell r="J1">
            <v>1.7453292519943295E-2</v>
          </cell>
        </row>
      </sheetData>
      <sheetData sheetId="1569">
        <row r="1">
          <cell r="J1">
            <v>1.7453292519943295E-2</v>
          </cell>
        </row>
      </sheetData>
      <sheetData sheetId="1570">
        <row r="1">
          <cell r="J1">
            <v>1.7453292519943295E-2</v>
          </cell>
        </row>
      </sheetData>
      <sheetData sheetId="1571">
        <row r="1">
          <cell r="J1">
            <v>1.7453292519943295E-2</v>
          </cell>
        </row>
      </sheetData>
      <sheetData sheetId="1572">
        <row r="1">
          <cell r="J1">
            <v>1.7453292519943295E-2</v>
          </cell>
        </row>
      </sheetData>
      <sheetData sheetId="1573">
        <row r="1">
          <cell r="J1">
            <v>1.7453292519943295E-2</v>
          </cell>
        </row>
      </sheetData>
      <sheetData sheetId="1574">
        <row r="1">
          <cell r="J1">
            <v>1.7453292519943295E-2</v>
          </cell>
        </row>
      </sheetData>
      <sheetData sheetId="1575">
        <row r="1">
          <cell r="J1">
            <v>1.7453292519943295E-2</v>
          </cell>
        </row>
      </sheetData>
      <sheetData sheetId="1576">
        <row r="1">
          <cell r="J1">
            <v>1.7453292519943295E-2</v>
          </cell>
        </row>
      </sheetData>
      <sheetData sheetId="1577">
        <row r="1">
          <cell r="J1">
            <v>1.7453292519943295E-2</v>
          </cell>
        </row>
      </sheetData>
      <sheetData sheetId="1578">
        <row r="1">
          <cell r="J1">
            <v>1.7453292519943295E-2</v>
          </cell>
        </row>
      </sheetData>
      <sheetData sheetId="1579">
        <row r="1">
          <cell r="J1">
            <v>1.7453292519943295E-2</v>
          </cell>
        </row>
      </sheetData>
      <sheetData sheetId="1580">
        <row r="1">
          <cell r="J1">
            <v>1.7453292519943295E-2</v>
          </cell>
        </row>
      </sheetData>
      <sheetData sheetId="1581">
        <row r="1">
          <cell r="J1">
            <v>1.7453292519943295E-2</v>
          </cell>
        </row>
      </sheetData>
      <sheetData sheetId="1582">
        <row r="1">
          <cell r="J1">
            <v>1.7453292519943295E-2</v>
          </cell>
        </row>
      </sheetData>
      <sheetData sheetId="1583">
        <row r="1">
          <cell r="J1">
            <v>1.7453292519943295E-2</v>
          </cell>
        </row>
      </sheetData>
      <sheetData sheetId="1584">
        <row r="1">
          <cell r="J1">
            <v>1.7453292519943295E-2</v>
          </cell>
        </row>
      </sheetData>
      <sheetData sheetId="1585">
        <row r="1">
          <cell r="J1">
            <v>1.7453292519943295E-2</v>
          </cell>
        </row>
      </sheetData>
      <sheetData sheetId="1586">
        <row r="1">
          <cell r="J1">
            <v>1.7453292519943295E-2</v>
          </cell>
        </row>
      </sheetData>
      <sheetData sheetId="1587">
        <row r="1">
          <cell r="J1">
            <v>1.7453292519943295E-2</v>
          </cell>
        </row>
      </sheetData>
      <sheetData sheetId="1588">
        <row r="1">
          <cell r="J1">
            <v>1.7453292519943295E-2</v>
          </cell>
        </row>
      </sheetData>
      <sheetData sheetId="1589">
        <row r="1">
          <cell r="J1">
            <v>1.7453292519943295E-2</v>
          </cell>
        </row>
      </sheetData>
      <sheetData sheetId="1590">
        <row r="1">
          <cell r="J1">
            <v>1.7453292519943295E-2</v>
          </cell>
        </row>
      </sheetData>
      <sheetData sheetId="1591">
        <row r="1">
          <cell r="J1">
            <v>1.7453292519943295E-2</v>
          </cell>
        </row>
      </sheetData>
      <sheetData sheetId="1592">
        <row r="1">
          <cell r="J1">
            <v>1.7453292519943295E-2</v>
          </cell>
        </row>
      </sheetData>
      <sheetData sheetId="1593">
        <row r="1">
          <cell r="J1">
            <v>1.7453292519943295E-2</v>
          </cell>
        </row>
      </sheetData>
      <sheetData sheetId="1594">
        <row r="1">
          <cell r="J1">
            <v>1.7453292519943295E-2</v>
          </cell>
        </row>
      </sheetData>
      <sheetData sheetId="1595">
        <row r="1">
          <cell r="J1">
            <v>1.7453292519943295E-2</v>
          </cell>
        </row>
      </sheetData>
      <sheetData sheetId="1596">
        <row r="1">
          <cell r="J1">
            <v>1.7453292519943295E-2</v>
          </cell>
        </row>
      </sheetData>
      <sheetData sheetId="1597">
        <row r="1">
          <cell r="J1">
            <v>1.7453292519943295E-2</v>
          </cell>
        </row>
      </sheetData>
      <sheetData sheetId="1598">
        <row r="1">
          <cell r="J1">
            <v>1.7453292519943295E-2</v>
          </cell>
        </row>
      </sheetData>
      <sheetData sheetId="1599">
        <row r="1">
          <cell r="J1">
            <v>1.7453292519943295E-2</v>
          </cell>
        </row>
      </sheetData>
      <sheetData sheetId="1600">
        <row r="1">
          <cell r="J1">
            <v>1.7453292519943295E-2</v>
          </cell>
        </row>
      </sheetData>
      <sheetData sheetId="1601">
        <row r="1">
          <cell r="J1">
            <v>1.7453292519943295E-2</v>
          </cell>
        </row>
      </sheetData>
      <sheetData sheetId="1602">
        <row r="1">
          <cell r="J1">
            <v>1.7453292519943295E-2</v>
          </cell>
        </row>
      </sheetData>
      <sheetData sheetId="1603">
        <row r="1">
          <cell r="J1">
            <v>1.7453292519943295E-2</v>
          </cell>
        </row>
      </sheetData>
      <sheetData sheetId="1604">
        <row r="1">
          <cell r="J1">
            <v>1.7453292519943295E-2</v>
          </cell>
        </row>
      </sheetData>
      <sheetData sheetId="1605">
        <row r="1">
          <cell r="J1">
            <v>1.7453292519943295E-2</v>
          </cell>
        </row>
      </sheetData>
      <sheetData sheetId="1606">
        <row r="1">
          <cell r="J1">
            <v>1.7453292519943295E-2</v>
          </cell>
        </row>
      </sheetData>
      <sheetData sheetId="1607">
        <row r="1">
          <cell r="J1">
            <v>1.7453292519943295E-2</v>
          </cell>
        </row>
      </sheetData>
      <sheetData sheetId="1608">
        <row r="1">
          <cell r="J1">
            <v>1.7453292519943295E-2</v>
          </cell>
        </row>
      </sheetData>
      <sheetData sheetId="1609">
        <row r="1">
          <cell r="J1">
            <v>1.7453292519943295E-2</v>
          </cell>
        </row>
      </sheetData>
      <sheetData sheetId="1610">
        <row r="1">
          <cell r="J1">
            <v>1.7453292519943295E-2</v>
          </cell>
        </row>
      </sheetData>
      <sheetData sheetId="1611">
        <row r="1">
          <cell r="J1">
            <v>1.7453292519943295E-2</v>
          </cell>
        </row>
      </sheetData>
      <sheetData sheetId="1612">
        <row r="1">
          <cell r="J1">
            <v>1.7453292519943295E-2</v>
          </cell>
        </row>
      </sheetData>
      <sheetData sheetId="1613">
        <row r="1">
          <cell r="J1">
            <v>1.7453292519943295E-2</v>
          </cell>
        </row>
      </sheetData>
      <sheetData sheetId="1614">
        <row r="1">
          <cell r="J1">
            <v>1.7453292519943295E-2</v>
          </cell>
        </row>
      </sheetData>
      <sheetData sheetId="1615">
        <row r="1">
          <cell r="J1">
            <v>1.7453292519943295E-2</v>
          </cell>
        </row>
      </sheetData>
      <sheetData sheetId="1616">
        <row r="1">
          <cell r="J1">
            <v>1.7453292519943295E-2</v>
          </cell>
        </row>
      </sheetData>
      <sheetData sheetId="1617">
        <row r="1">
          <cell r="J1">
            <v>1.7453292519943295E-2</v>
          </cell>
        </row>
      </sheetData>
      <sheetData sheetId="1618">
        <row r="1">
          <cell r="J1">
            <v>1.7453292519943295E-2</v>
          </cell>
        </row>
      </sheetData>
      <sheetData sheetId="1619">
        <row r="1">
          <cell r="J1">
            <v>1.7453292519943295E-2</v>
          </cell>
        </row>
      </sheetData>
      <sheetData sheetId="1620">
        <row r="1">
          <cell r="J1">
            <v>1.7453292519943295E-2</v>
          </cell>
        </row>
      </sheetData>
      <sheetData sheetId="1621">
        <row r="1">
          <cell r="J1">
            <v>1.7453292519943295E-2</v>
          </cell>
        </row>
      </sheetData>
      <sheetData sheetId="1622">
        <row r="1">
          <cell r="J1">
            <v>1.7453292519943295E-2</v>
          </cell>
        </row>
      </sheetData>
      <sheetData sheetId="1623">
        <row r="1">
          <cell r="J1">
            <v>1.7453292519943295E-2</v>
          </cell>
        </row>
      </sheetData>
      <sheetData sheetId="1624">
        <row r="1">
          <cell r="J1">
            <v>1.7453292519943295E-2</v>
          </cell>
        </row>
      </sheetData>
      <sheetData sheetId="1625">
        <row r="1">
          <cell r="J1">
            <v>1.7453292519943295E-2</v>
          </cell>
        </row>
      </sheetData>
      <sheetData sheetId="1626">
        <row r="1">
          <cell r="J1">
            <v>1.7453292519943295E-2</v>
          </cell>
        </row>
      </sheetData>
      <sheetData sheetId="1627">
        <row r="1">
          <cell r="J1">
            <v>1.7453292519943295E-2</v>
          </cell>
        </row>
      </sheetData>
      <sheetData sheetId="1628">
        <row r="1">
          <cell r="J1">
            <v>1.7453292519943295E-2</v>
          </cell>
        </row>
      </sheetData>
      <sheetData sheetId="1629">
        <row r="1">
          <cell r="J1">
            <v>1.7453292519943295E-2</v>
          </cell>
        </row>
      </sheetData>
      <sheetData sheetId="1630">
        <row r="1">
          <cell r="J1">
            <v>1.7453292519943295E-2</v>
          </cell>
        </row>
      </sheetData>
      <sheetData sheetId="1631">
        <row r="1">
          <cell r="J1">
            <v>1.7453292519943295E-2</v>
          </cell>
        </row>
      </sheetData>
      <sheetData sheetId="1632">
        <row r="1">
          <cell r="J1">
            <v>1.7453292519943295E-2</v>
          </cell>
        </row>
      </sheetData>
      <sheetData sheetId="1633">
        <row r="1">
          <cell r="J1">
            <v>1.7453292519943295E-2</v>
          </cell>
        </row>
      </sheetData>
      <sheetData sheetId="1634">
        <row r="1">
          <cell r="J1">
            <v>1.7453292519943295E-2</v>
          </cell>
        </row>
      </sheetData>
      <sheetData sheetId="1635">
        <row r="1">
          <cell r="J1">
            <v>1.7453292519943295E-2</v>
          </cell>
        </row>
      </sheetData>
      <sheetData sheetId="1636">
        <row r="1">
          <cell r="J1">
            <v>1.7453292519943295E-2</v>
          </cell>
        </row>
      </sheetData>
      <sheetData sheetId="1637">
        <row r="1">
          <cell r="J1">
            <v>1.7453292519943295E-2</v>
          </cell>
        </row>
      </sheetData>
      <sheetData sheetId="1638">
        <row r="1">
          <cell r="J1">
            <v>1.7453292519943295E-2</v>
          </cell>
        </row>
      </sheetData>
      <sheetData sheetId="1639">
        <row r="1">
          <cell r="J1">
            <v>1.7453292519943295E-2</v>
          </cell>
        </row>
      </sheetData>
      <sheetData sheetId="1640">
        <row r="1">
          <cell r="J1">
            <v>1.7453292519943295E-2</v>
          </cell>
        </row>
      </sheetData>
      <sheetData sheetId="1641">
        <row r="1">
          <cell r="J1">
            <v>1.7453292519943295E-2</v>
          </cell>
        </row>
      </sheetData>
      <sheetData sheetId="1642">
        <row r="1">
          <cell r="J1">
            <v>1.7453292519943295E-2</v>
          </cell>
        </row>
      </sheetData>
      <sheetData sheetId="1643">
        <row r="1">
          <cell r="J1">
            <v>1.7453292519943295E-2</v>
          </cell>
        </row>
      </sheetData>
      <sheetData sheetId="1644">
        <row r="1">
          <cell r="J1">
            <v>1.7453292519943295E-2</v>
          </cell>
        </row>
      </sheetData>
      <sheetData sheetId="1645">
        <row r="1">
          <cell r="J1">
            <v>1.7453292519943295E-2</v>
          </cell>
        </row>
      </sheetData>
      <sheetData sheetId="1646">
        <row r="1">
          <cell r="J1">
            <v>1.7453292519943295E-2</v>
          </cell>
        </row>
      </sheetData>
      <sheetData sheetId="1647">
        <row r="1">
          <cell r="J1">
            <v>1.7453292519943295E-2</v>
          </cell>
        </row>
      </sheetData>
      <sheetData sheetId="1648">
        <row r="1">
          <cell r="J1">
            <v>1.7453292519943295E-2</v>
          </cell>
        </row>
      </sheetData>
      <sheetData sheetId="1649">
        <row r="1">
          <cell r="J1">
            <v>1.7453292519943295E-2</v>
          </cell>
        </row>
      </sheetData>
      <sheetData sheetId="1650">
        <row r="1">
          <cell r="J1">
            <v>1.7453292519943295E-2</v>
          </cell>
        </row>
      </sheetData>
      <sheetData sheetId="1651">
        <row r="1">
          <cell r="J1">
            <v>1.7453292519943295E-2</v>
          </cell>
        </row>
      </sheetData>
      <sheetData sheetId="1652">
        <row r="1">
          <cell r="J1">
            <v>1.7453292519943295E-2</v>
          </cell>
        </row>
      </sheetData>
      <sheetData sheetId="1653">
        <row r="1">
          <cell r="J1">
            <v>1.7453292519943295E-2</v>
          </cell>
        </row>
      </sheetData>
      <sheetData sheetId="1654">
        <row r="1">
          <cell r="J1">
            <v>1.7453292519943295E-2</v>
          </cell>
        </row>
      </sheetData>
      <sheetData sheetId="1655">
        <row r="1">
          <cell r="J1">
            <v>1.7453292519943295E-2</v>
          </cell>
        </row>
      </sheetData>
      <sheetData sheetId="1656">
        <row r="1">
          <cell r="J1">
            <v>1.7453292519943295E-2</v>
          </cell>
        </row>
      </sheetData>
      <sheetData sheetId="1657">
        <row r="1">
          <cell r="J1">
            <v>1.7453292519943295E-2</v>
          </cell>
        </row>
      </sheetData>
      <sheetData sheetId="1658">
        <row r="1">
          <cell r="J1">
            <v>1.7453292519943295E-2</v>
          </cell>
        </row>
      </sheetData>
      <sheetData sheetId="1659">
        <row r="1">
          <cell r="J1">
            <v>1.7453292519943295E-2</v>
          </cell>
        </row>
      </sheetData>
      <sheetData sheetId="1660">
        <row r="1">
          <cell r="J1">
            <v>1.7453292519943295E-2</v>
          </cell>
        </row>
      </sheetData>
      <sheetData sheetId="1661">
        <row r="1">
          <cell r="J1">
            <v>1.7453292519943295E-2</v>
          </cell>
        </row>
      </sheetData>
      <sheetData sheetId="1662">
        <row r="1">
          <cell r="J1">
            <v>1.7453292519943295E-2</v>
          </cell>
        </row>
      </sheetData>
      <sheetData sheetId="1663">
        <row r="1">
          <cell r="J1">
            <v>1.7453292519943295E-2</v>
          </cell>
        </row>
      </sheetData>
      <sheetData sheetId="1664">
        <row r="1">
          <cell r="J1">
            <v>1.7453292519943295E-2</v>
          </cell>
        </row>
      </sheetData>
      <sheetData sheetId="1665">
        <row r="1">
          <cell r="J1">
            <v>1.7453292519943295E-2</v>
          </cell>
        </row>
      </sheetData>
      <sheetData sheetId="1666">
        <row r="1">
          <cell r="J1">
            <v>1.7453292519943295E-2</v>
          </cell>
        </row>
      </sheetData>
      <sheetData sheetId="1667">
        <row r="1">
          <cell r="J1">
            <v>1.7453292519943295E-2</v>
          </cell>
        </row>
      </sheetData>
      <sheetData sheetId="1668">
        <row r="1">
          <cell r="J1">
            <v>1.7453292519943295E-2</v>
          </cell>
        </row>
      </sheetData>
      <sheetData sheetId="1669">
        <row r="1">
          <cell r="J1">
            <v>1.7453292519943295E-2</v>
          </cell>
        </row>
      </sheetData>
      <sheetData sheetId="1670">
        <row r="1">
          <cell r="J1">
            <v>1.7453292519943295E-2</v>
          </cell>
        </row>
      </sheetData>
      <sheetData sheetId="1671">
        <row r="1">
          <cell r="J1">
            <v>1.7453292519943295E-2</v>
          </cell>
        </row>
      </sheetData>
      <sheetData sheetId="1672">
        <row r="1">
          <cell r="J1">
            <v>1.7453292519943295E-2</v>
          </cell>
        </row>
      </sheetData>
      <sheetData sheetId="1673">
        <row r="1">
          <cell r="J1">
            <v>1.7453292519943295E-2</v>
          </cell>
        </row>
      </sheetData>
      <sheetData sheetId="1674">
        <row r="1">
          <cell r="J1">
            <v>1.7453292519943295E-2</v>
          </cell>
        </row>
      </sheetData>
      <sheetData sheetId="1675">
        <row r="1">
          <cell r="J1">
            <v>1.7453292519943295E-2</v>
          </cell>
        </row>
      </sheetData>
      <sheetData sheetId="1676">
        <row r="1">
          <cell r="J1">
            <v>1.7453292519943295E-2</v>
          </cell>
        </row>
      </sheetData>
      <sheetData sheetId="1677">
        <row r="1">
          <cell r="J1">
            <v>1.7453292519943295E-2</v>
          </cell>
        </row>
      </sheetData>
      <sheetData sheetId="1678">
        <row r="1">
          <cell r="J1">
            <v>1.7453292519943295E-2</v>
          </cell>
        </row>
      </sheetData>
      <sheetData sheetId="1679">
        <row r="1">
          <cell r="J1">
            <v>1.7453292519943295E-2</v>
          </cell>
        </row>
      </sheetData>
      <sheetData sheetId="1680">
        <row r="1">
          <cell r="J1">
            <v>1.7453292519943295E-2</v>
          </cell>
        </row>
      </sheetData>
      <sheetData sheetId="1681">
        <row r="1">
          <cell r="J1">
            <v>1.7453292519943295E-2</v>
          </cell>
        </row>
      </sheetData>
      <sheetData sheetId="1682">
        <row r="1">
          <cell r="J1">
            <v>1.7453292519943295E-2</v>
          </cell>
        </row>
      </sheetData>
      <sheetData sheetId="1683">
        <row r="1">
          <cell r="J1">
            <v>1.7453292519943295E-2</v>
          </cell>
        </row>
      </sheetData>
      <sheetData sheetId="1684">
        <row r="1">
          <cell r="J1">
            <v>1.7453292519943295E-2</v>
          </cell>
        </row>
      </sheetData>
      <sheetData sheetId="1685">
        <row r="1">
          <cell r="J1">
            <v>1.7453292519943295E-2</v>
          </cell>
        </row>
      </sheetData>
      <sheetData sheetId="1686">
        <row r="1">
          <cell r="J1">
            <v>1.7453292519943295E-2</v>
          </cell>
        </row>
      </sheetData>
      <sheetData sheetId="1687">
        <row r="1">
          <cell r="J1">
            <v>1.7453292519943295E-2</v>
          </cell>
        </row>
      </sheetData>
      <sheetData sheetId="1688">
        <row r="1">
          <cell r="J1">
            <v>1.7453292519943295E-2</v>
          </cell>
        </row>
      </sheetData>
      <sheetData sheetId="1689">
        <row r="1">
          <cell r="J1">
            <v>1.7453292519943295E-2</v>
          </cell>
        </row>
      </sheetData>
      <sheetData sheetId="1690">
        <row r="1">
          <cell r="J1">
            <v>1.7453292519943295E-2</v>
          </cell>
        </row>
      </sheetData>
      <sheetData sheetId="1691">
        <row r="1">
          <cell r="J1">
            <v>1.7453292519943295E-2</v>
          </cell>
        </row>
      </sheetData>
      <sheetData sheetId="1692">
        <row r="1">
          <cell r="J1">
            <v>1.7453292519943295E-2</v>
          </cell>
        </row>
      </sheetData>
      <sheetData sheetId="1693">
        <row r="1">
          <cell r="J1">
            <v>1.7453292519943295E-2</v>
          </cell>
        </row>
      </sheetData>
      <sheetData sheetId="1694">
        <row r="1">
          <cell r="J1">
            <v>1.7453292519943295E-2</v>
          </cell>
        </row>
      </sheetData>
      <sheetData sheetId="1695">
        <row r="1">
          <cell r="J1">
            <v>1.7453292519943295E-2</v>
          </cell>
        </row>
      </sheetData>
      <sheetData sheetId="1696">
        <row r="1">
          <cell r="J1">
            <v>1.7453292519943295E-2</v>
          </cell>
        </row>
      </sheetData>
      <sheetData sheetId="1697">
        <row r="1">
          <cell r="J1">
            <v>1.7453292519943295E-2</v>
          </cell>
        </row>
      </sheetData>
      <sheetData sheetId="1698">
        <row r="1">
          <cell r="J1">
            <v>1.7453292519943295E-2</v>
          </cell>
        </row>
      </sheetData>
      <sheetData sheetId="1699">
        <row r="1">
          <cell r="J1">
            <v>1.7453292519943295E-2</v>
          </cell>
        </row>
      </sheetData>
      <sheetData sheetId="1700">
        <row r="1">
          <cell r="J1">
            <v>1.7453292519943295E-2</v>
          </cell>
        </row>
      </sheetData>
      <sheetData sheetId="1701">
        <row r="1">
          <cell r="J1">
            <v>1.7453292519943295E-2</v>
          </cell>
        </row>
      </sheetData>
      <sheetData sheetId="1702">
        <row r="1">
          <cell r="J1">
            <v>1.7453292519943295E-2</v>
          </cell>
        </row>
      </sheetData>
      <sheetData sheetId="1703">
        <row r="1">
          <cell r="J1">
            <v>1.7453292519943295E-2</v>
          </cell>
        </row>
      </sheetData>
      <sheetData sheetId="1704">
        <row r="1">
          <cell r="J1">
            <v>1.7453292519943295E-2</v>
          </cell>
        </row>
      </sheetData>
      <sheetData sheetId="1705">
        <row r="1">
          <cell r="J1">
            <v>1.7453292519943295E-2</v>
          </cell>
        </row>
      </sheetData>
      <sheetData sheetId="1706">
        <row r="1">
          <cell r="J1">
            <v>1.7453292519943295E-2</v>
          </cell>
        </row>
      </sheetData>
      <sheetData sheetId="1707">
        <row r="1">
          <cell r="J1">
            <v>1.7453292519943295E-2</v>
          </cell>
        </row>
      </sheetData>
      <sheetData sheetId="1708">
        <row r="1">
          <cell r="J1">
            <v>1.7453292519943295E-2</v>
          </cell>
        </row>
      </sheetData>
      <sheetData sheetId="1709">
        <row r="1">
          <cell r="J1">
            <v>1.7453292519943295E-2</v>
          </cell>
        </row>
      </sheetData>
      <sheetData sheetId="1710">
        <row r="1">
          <cell r="J1">
            <v>1.7453292519943295E-2</v>
          </cell>
        </row>
      </sheetData>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ow r="1">
          <cell r="J1">
            <v>1.7453292519943295E-2</v>
          </cell>
        </row>
      </sheetData>
      <sheetData sheetId="1803">
        <row r="1">
          <cell r="J1">
            <v>1.7453292519943295E-2</v>
          </cell>
        </row>
      </sheetData>
      <sheetData sheetId="1804">
        <row r="1">
          <cell r="J1">
            <v>1.7453292519943295E-2</v>
          </cell>
        </row>
      </sheetData>
      <sheetData sheetId="1805">
        <row r="1">
          <cell r="J1">
            <v>1.7453292519943295E-2</v>
          </cell>
        </row>
      </sheetData>
      <sheetData sheetId="1806">
        <row r="1">
          <cell r="J1">
            <v>1.7453292519943295E-2</v>
          </cell>
        </row>
      </sheetData>
      <sheetData sheetId="1807">
        <row r="1">
          <cell r="J1">
            <v>1.7453292519943295E-2</v>
          </cell>
        </row>
      </sheetData>
      <sheetData sheetId="1808">
        <row r="1">
          <cell r="J1">
            <v>1.7453292519943295E-2</v>
          </cell>
        </row>
      </sheetData>
      <sheetData sheetId="1809">
        <row r="1">
          <cell r="J1">
            <v>1.7453292519943295E-2</v>
          </cell>
        </row>
      </sheetData>
      <sheetData sheetId="1810">
        <row r="1">
          <cell r="J1">
            <v>1.7453292519943295E-2</v>
          </cell>
        </row>
      </sheetData>
      <sheetData sheetId="1811">
        <row r="1">
          <cell r="J1">
            <v>1.7453292519943295E-2</v>
          </cell>
        </row>
      </sheetData>
      <sheetData sheetId="1812">
        <row r="1">
          <cell r="J1">
            <v>1.7453292519943295E-2</v>
          </cell>
        </row>
      </sheetData>
      <sheetData sheetId="1813">
        <row r="1">
          <cell r="J1">
            <v>1.7453292519943295E-2</v>
          </cell>
        </row>
      </sheetData>
      <sheetData sheetId="1814">
        <row r="1">
          <cell r="J1">
            <v>1.7453292519943295E-2</v>
          </cell>
        </row>
      </sheetData>
      <sheetData sheetId="1815">
        <row r="1">
          <cell r="J1">
            <v>1.7453292519943295E-2</v>
          </cell>
        </row>
      </sheetData>
      <sheetData sheetId="1816">
        <row r="1">
          <cell r="J1">
            <v>1.7453292519943295E-2</v>
          </cell>
        </row>
      </sheetData>
      <sheetData sheetId="1817">
        <row r="1">
          <cell r="J1">
            <v>1.7453292519943295E-2</v>
          </cell>
        </row>
      </sheetData>
      <sheetData sheetId="1818">
        <row r="1">
          <cell r="J1">
            <v>1.7453292519943295E-2</v>
          </cell>
        </row>
      </sheetData>
      <sheetData sheetId="1819">
        <row r="1">
          <cell r="J1">
            <v>1.7453292519943295E-2</v>
          </cell>
        </row>
      </sheetData>
      <sheetData sheetId="1820">
        <row r="1">
          <cell r="J1">
            <v>1.7453292519943295E-2</v>
          </cell>
        </row>
      </sheetData>
      <sheetData sheetId="1821">
        <row r="1">
          <cell r="J1">
            <v>1.7453292519943295E-2</v>
          </cell>
        </row>
      </sheetData>
      <sheetData sheetId="1822">
        <row r="1">
          <cell r="J1">
            <v>1.7453292519943295E-2</v>
          </cell>
        </row>
      </sheetData>
      <sheetData sheetId="1823">
        <row r="1">
          <cell r="J1">
            <v>1.7453292519943295E-2</v>
          </cell>
        </row>
      </sheetData>
      <sheetData sheetId="1824">
        <row r="1">
          <cell r="J1">
            <v>1.7453292519943295E-2</v>
          </cell>
        </row>
      </sheetData>
      <sheetData sheetId="1825">
        <row r="1">
          <cell r="J1">
            <v>1.7453292519943295E-2</v>
          </cell>
        </row>
      </sheetData>
      <sheetData sheetId="1826">
        <row r="1">
          <cell r="J1">
            <v>1.7453292519943295E-2</v>
          </cell>
        </row>
      </sheetData>
      <sheetData sheetId="1827">
        <row r="1">
          <cell r="J1">
            <v>1.7453292519943295E-2</v>
          </cell>
        </row>
      </sheetData>
      <sheetData sheetId="1828">
        <row r="1">
          <cell r="J1">
            <v>1.7453292519943295E-2</v>
          </cell>
        </row>
      </sheetData>
      <sheetData sheetId="1829">
        <row r="1">
          <cell r="J1">
            <v>1.7453292519943295E-2</v>
          </cell>
        </row>
      </sheetData>
      <sheetData sheetId="1830">
        <row r="1">
          <cell r="J1">
            <v>1.7453292519943295E-2</v>
          </cell>
        </row>
      </sheetData>
      <sheetData sheetId="1831">
        <row r="1">
          <cell r="J1">
            <v>1.7453292519943295E-2</v>
          </cell>
        </row>
      </sheetData>
      <sheetData sheetId="1832">
        <row r="1">
          <cell r="J1">
            <v>1.7453292519943295E-2</v>
          </cell>
        </row>
      </sheetData>
      <sheetData sheetId="1833">
        <row r="1">
          <cell r="J1">
            <v>1.7453292519943295E-2</v>
          </cell>
        </row>
      </sheetData>
      <sheetData sheetId="1834">
        <row r="1">
          <cell r="J1">
            <v>1.7453292519943295E-2</v>
          </cell>
        </row>
      </sheetData>
      <sheetData sheetId="1835">
        <row r="1">
          <cell r="J1">
            <v>1.7453292519943295E-2</v>
          </cell>
        </row>
      </sheetData>
      <sheetData sheetId="1836">
        <row r="1">
          <cell r="J1">
            <v>1.7453292519943295E-2</v>
          </cell>
        </row>
      </sheetData>
      <sheetData sheetId="1837">
        <row r="1">
          <cell r="J1">
            <v>1.7453292519943295E-2</v>
          </cell>
        </row>
      </sheetData>
      <sheetData sheetId="1838">
        <row r="1">
          <cell r="J1">
            <v>1.7453292519943295E-2</v>
          </cell>
        </row>
      </sheetData>
      <sheetData sheetId="1839">
        <row r="1">
          <cell r="J1">
            <v>1.7453292519943295E-2</v>
          </cell>
        </row>
      </sheetData>
      <sheetData sheetId="1840">
        <row r="1">
          <cell r="J1">
            <v>1.7453292519943295E-2</v>
          </cell>
        </row>
      </sheetData>
      <sheetData sheetId="1841">
        <row r="1">
          <cell r="J1">
            <v>1.7453292519943295E-2</v>
          </cell>
        </row>
      </sheetData>
      <sheetData sheetId="1842">
        <row r="1">
          <cell r="J1">
            <v>1.7453292519943295E-2</v>
          </cell>
        </row>
      </sheetData>
      <sheetData sheetId="1843">
        <row r="1">
          <cell r="J1">
            <v>1.7453292519943295E-2</v>
          </cell>
        </row>
      </sheetData>
      <sheetData sheetId="1844">
        <row r="1">
          <cell r="J1">
            <v>1.7453292519943295E-2</v>
          </cell>
        </row>
      </sheetData>
      <sheetData sheetId="1845">
        <row r="1">
          <cell r="J1">
            <v>1.7453292519943295E-2</v>
          </cell>
        </row>
      </sheetData>
      <sheetData sheetId="1846">
        <row r="1">
          <cell r="J1">
            <v>1.7453292519943295E-2</v>
          </cell>
        </row>
      </sheetData>
      <sheetData sheetId="1847">
        <row r="1">
          <cell r="J1">
            <v>1.7453292519943295E-2</v>
          </cell>
        </row>
      </sheetData>
      <sheetData sheetId="1848">
        <row r="1">
          <cell r="J1">
            <v>1.7453292519943295E-2</v>
          </cell>
        </row>
      </sheetData>
      <sheetData sheetId="1849">
        <row r="1">
          <cell r="J1">
            <v>1.7453292519943295E-2</v>
          </cell>
        </row>
      </sheetData>
      <sheetData sheetId="1850">
        <row r="1">
          <cell r="J1">
            <v>1.7453292519943295E-2</v>
          </cell>
        </row>
      </sheetData>
      <sheetData sheetId="1851">
        <row r="1">
          <cell r="J1">
            <v>1.7453292519943295E-2</v>
          </cell>
        </row>
      </sheetData>
      <sheetData sheetId="1852">
        <row r="1">
          <cell r="J1">
            <v>1.7453292519943295E-2</v>
          </cell>
        </row>
      </sheetData>
      <sheetData sheetId="1853">
        <row r="1">
          <cell r="J1">
            <v>1.7453292519943295E-2</v>
          </cell>
        </row>
      </sheetData>
      <sheetData sheetId="1854">
        <row r="1">
          <cell r="J1">
            <v>1.7453292519943295E-2</v>
          </cell>
        </row>
      </sheetData>
      <sheetData sheetId="1855">
        <row r="1">
          <cell r="J1">
            <v>1.7453292519943295E-2</v>
          </cell>
        </row>
      </sheetData>
      <sheetData sheetId="1856">
        <row r="1">
          <cell r="J1">
            <v>1.7453292519943295E-2</v>
          </cell>
        </row>
      </sheetData>
      <sheetData sheetId="1857">
        <row r="1">
          <cell r="J1">
            <v>1.7453292519943295E-2</v>
          </cell>
        </row>
      </sheetData>
      <sheetData sheetId="1858">
        <row r="1">
          <cell r="J1">
            <v>1.7453292519943295E-2</v>
          </cell>
        </row>
      </sheetData>
      <sheetData sheetId="1859">
        <row r="1">
          <cell r="J1">
            <v>1.7453292519943295E-2</v>
          </cell>
        </row>
      </sheetData>
      <sheetData sheetId="1860">
        <row r="1">
          <cell r="J1">
            <v>1.7453292519943295E-2</v>
          </cell>
        </row>
      </sheetData>
      <sheetData sheetId="1861">
        <row r="1">
          <cell r="J1">
            <v>1.7453292519943295E-2</v>
          </cell>
        </row>
      </sheetData>
      <sheetData sheetId="1862">
        <row r="1">
          <cell r="J1">
            <v>1.7453292519943295E-2</v>
          </cell>
        </row>
      </sheetData>
      <sheetData sheetId="1863">
        <row r="1">
          <cell r="J1">
            <v>1.7453292519943295E-2</v>
          </cell>
        </row>
      </sheetData>
      <sheetData sheetId="1864">
        <row r="1">
          <cell r="J1">
            <v>1.7453292519943295E-2</v>
          </cell>
        </row>
      </sheetData>
      <sheetData sheetId="1865">
        <row r="1">
          <cell r="J1">
            <v>1.7453292519943295E-2</v>
          </cell>
        </row>
      </sheetData>
      <sheetData sheetId="1866">
        <row r="1">
          <cell r="J1">
            <v>1.7453292519943295E-2</v>
          </cell>
        </row>
      </sheetData>
      <sheetData sheetId="1867">
        <row r="1">
          <cell r="J1">
            <v>1.7453292519943295E-2</v>
          </cell>
        </row>
      </sheetData>
      <sheetData sheetId="1868">
        <row r="1">
          <cell r="J1">
            <v>1.7453292519943295E-2</v>
          </cell>
        </row>
      </sheetData>
      <sheetData sheetId="1869">
        <row r="1">
          <cell r="J1">
            <v>1.7453292519943295E-2</v>
          </cell>
        </row>
      </sheetData>
      <sheetData sheetId="1870">
        <row r="1">
          <cell r="J1">
            <v>1.7453292519943295E-2</v>
          </cell>
        </row>
      </sheetData>
      <sheetData sheetId="1871">
        <row r="1">
          <cell r="J1">
            <v>1.7453292519943295E-2</v>
          </cell>
        </row>
      </sheetData>
      <sheetData sheetId="1872">
        <row r="1">
          <cell r="J1">
            <v>1.7453292519943295E-2</v>
          </cell>
        </row>
      </sheetData>
      <sheetData sheetId="1873">
        <row r="1">
          <cell r="J1">
            <v>1.7453292519943295E-2</v>
          </cell>
        </row>
      </sheetData>
      <sheetData sheetId="1874">
        <row r="1">
          <cell r="J1">
            <v>1.7453292519943295E-2</v>
          </cell>
        </row>
      </sheetData>
      <sheetData sheetId="1875">
        <row r="1">
          <cell r="J1">
            <v>1.7453292519943295E-2</v>
          </cell>
        </row>
      </sheetData>
      <sheetData sheetId="1876">
        <row r="1">
          <cell r="J1">
            <v>1.7453292519943295E-2</v>
          </cell>
        </row>
      </sheetData>
      <sheetData sheetId="1877">
        <row r="1">
          <cell r="J1">
            <v>1.7453292519943295E-2</v>
          </cell>
        </row>
      </sheetData>
      <sheetData sheetId="1878">
        <row r="1">
          <cell r="J1">
            <v>1.7453292519943295E-2</v>
          </cell>
        </row>
      </sheetData>
      <sheetData sheetId="1879">
        <row r="1">
          <cell r="J1">
            <v>1.7453292519943295E-2</v>
          </cell>
        </row>
      </sheetData>
      <sheetData sheetId="1880">
        <row r="1">
          <cell r="J1">
            <v>1.7453292519943295E-2</v>
          </cell>
        </row>
      </sheetData>
      <sheetData sheetId="1881">
        <row r="1">
          <cell r="J1">
            <v>1.7453292519943295E-2</v>
          </cell>
        </row>
      </sheetData>
      <sheetData sheetId="1882">
        <row r="1">
          <cell r="J1">
            <v>1.7453292519943295E-2</v>
          </cell>
        </row>
      </sheetData>
      <sheetData sheetId="1883">
        <row r="1">
          <cell r="J1">
            <v>1.7453292519943295E-2</v>
          </cell>
        </row>
      </sheetData>
      <sheetData sheetId="1884">
        <row r="1">
          <cell r="J1">
            <v>1.7453292519943295E-2</v>
          </cell>
        </row>
      </sheetData>
      <sheetData sheetId="1885">
        <row r="1">
          <cell r="J1">
            <v>1.7453292519943295E-2</v>
          </cell>
        </row>
      </sheetData>
      <sheetData sheetId="1886">
        <row r="1">
          <cell r="J1">
            <v>1.7453292519943295E-2</v>
          </cell>
        </row>
      </sheetData>
      <sheetData sheetId="1887">
        <row r="1">
          <cell r="J1">
            <v>1.7453292519943295E-2</v>
          </cell>
        </row>
      </sheetData>
      <sheetData sheetId="1888">
        <row r="1">
          <cell r="J1">
            <v>1.7453292519943295E-2</v>
          </cell>
        </row>
      </sheetData>
      <sheetData sheetId="1889">
        <row r="1">
          <cell r="J1">
            <v>1.7453292519943295E-2</v>
          </cell>
        </row>
      </sheetData>
      <sheetData sheetId="1890">
        <row r="1">
          <cell r="J1">
            <v>1.7453292519943295E-2</v>
          </cell>
        </row>
      </sheetData>
      <sheetData sheetId="1891">
        <row r="1">
          <cell r="J1">
            <v>1.7453292519943295E-2</v>
          </cell>
        </row>
      </sheetData>
      <sheetData sheetId="1892">
        <row r="1">
          <cell r="J1">
            <v>1.7453292519943295E-2</v>
          </cell>
        </row>
      </sheetData>
      <sheetData sheetId="1893">
        <row r="1">
          <cell r="J1">
            <v>1.7453292519943295E-2</v>
          </cell>
        </row>
      </sheetData>
      <sheetData sheetId="1894">
        <row r="1">
          <cell r="J1">
            <v>1.7453292519943295E-2</v>
          </cell>
        </row>
      </sheetData>
      <sheetData sheetId="1895">
        <row r="1">
          <cell r="J1">
            <v>1.7453292519943295E-2</v>
          </cell>
        </row>
      </sheetData>
      <sheetData sheetId="1896">
        <row r="1">
          <cell r="J1">
            <v>1.7453292519943295E-2</v>
          </cell>
        </row>
      </sheetData>
      <sheetData sheetId="1897">
        <row r="1">
          <cell r="J1">
            <v>1.7453292519943295E-2</v>
          </cell>
        </row>
      </sheetData>
      <sheetData sheetId="1898">
        <row r="1">
          <cell r="J1">
            <v>1.7453292519943295E-2</v>
          </cell>
        </row>
      </sheetData>
      <sheetData sheetId="1899">
        <row r="1">
          <cell r="J1">
            <v>1.7453292519943295E-2</v>
          </cell>
        </row>
      </sheetData>
      <sheetData sheetId="1900">
        <row r="1">
          <cell r="J1">
            <v>1.7453292519943295E-2</v>
          </cell>
        </row>
      </sheetData>
      <sheetData sheetId="1901">
        <row r="1">
          <cell r="J1">
            <v>1.7453292519943295E-2</v>
          </cell>
        </row>
      </sheetData>
      <sheetData sheetId="1902">
        <row r="1">
          <cell r="J1">
            <v>1.7453292519943295E-2</v>
          </cell>
        </row>
      </sheetData>
      <sheetData sheetId="1903">
        <row r="1">
          <cell r="J1">
            <v>1.7453292519943295E-2</v>
          </cell>
        </row>
      </sheetData>
      <sheetData sheetId="1904">
        <row r="1">
          <cell r="J1">
            <v>1.7453292519943295E-2</v>
          </cell>
        </row>
      </sheetData>
      <sheetData sheetId="1905">
        <row r="1">
          <cell r="J1">
            <v>1.7453292519943295E-2</v>
          </cell>
        </row>
      </sheetData>
      <sheetData sheetId="1906">
        <row r="1">
          <cell r="J1">
            <v>1.7453292519943295E-2</v>
          </cell>
        </row>
      </sheetData>
      <sheetData sheetId="1907">
        <row r="1">
          <cell r="J1">
            <v>1.7453292519943295E-2</v>
          </cell>
        </row>
      </sheetData>
      <sheetData sheetId="1908">
        <row r="1">
          <cell r="J1">
            <v>1.7453292519943295E-2</v>
          </cell>
        </row>
      </sheetData>
      <sheetData sheetId="1909">
        <row r="1">
          <cell r="J1">
            <v>1.7453292519943295E-2</v>
          </cell>
        </row>
      </sheetData>
      <sheetData sheetId="1910">
        <row r="1">
          <cell r="J1">
            <v>1.7453292519943295E-2</v>
          </cell>
        </row>
      </sheetData>
      <sheetData sheetId="1911">
        <row r="1">
          <cell r="J1">
            <v>1.7453292519943295E-2</v>
          </cell>
        </row>
      </sheetData>
      <sheetData sheetId="1912">
        <row r="1">
          <cell r="J1">
            <v>1.7453292519943295E-2</v>
          </cell>
        </row>
      </sheetData>
      <sheetData sheetId="1913">
        <row r="1">
          <cell r="J1">
            <v>1.7453292519943295E-2</v>
          </cell>
        </row>
      </sheetData>
      <sheetData sheetId="1914">
        <row r="1">
          <cell r="J1">
            <v>1.7453292519943295E-2</v>
          </cell>
        </row>
      </sheetData>
      <sheetData sheetId="1915">
        <row r="1">
          <cell r="J1">
            <v>1.7453292519943295E-2</v>
          </cell>
        </row>
      </sheetData>
      <sheetData sheetId="1916">
        <row r="1">
          <cell r="J1">
            <v>1.7453292519943295E-2</v>
          </cell>
        </row>
      </sheetData>
      <sheetData sheetId="1917">
        <row r="1">
          <cell r="J1">
            <v>1.7453292519943295E-2</v>
          </cell>
        </row>
      </sheetData>
      <sheetData sheetId="1918">
        <row r="1">
          <cell r="J1">
            <v>1.7453292519943295E-2</v>
          </cell>
        </row>
      </sheetData>
      <sheetData sheetId="1919">
        <row r="1">
          <cell r="J1">
            <v>1.7453292519943295E-2</v>
          </cell>
        </row>
      </sheetData>
      <sheetData sheetId="1920">
        <row r="1">
          <cell r="J1">
            <v>1.7453292519943295E-2</v>
          </cell>
        </row>
      </sheetData>
      <sheetData sheetId="1921">
        <row r="1">
          <cell r="J1">
            <v>1.7453292519943295E-2</v>
          </cell>
        </row>
      </sheetData>
      <sheetData sheetId="1922">
        <row r="1">
          <cell r="J1">
            <v>1.7453292519943295E-2</v>
          </cell>
        </row>
      </sheetData>
      <sheetData sheetId="1923">
        <row r="1">
          <cell r="J1">
            <v>1.7453292519943295E-2</v>
          </cell>
        </row>
      </sheetData>
      <sheetData sheetId="1924">
        <row r="1">
          <cell r="J1">
            <v>1.7453292519943295E-2</v>
          </cell>
        </row>
      </sheetData>
      <sheetData sheetId="1925">
        <row r="1">
          <cell r="J1">
            <v>1.7453292519943295E-2</v>
          </cell>
        </row>
      </sheetData>
      <sheetData sheetId="1926">
        <row r="1">
          <cell r="J1">
            <v>1.7453292519943295E-2</v>
          </cell>
        </row>
      </sheetData>
      <sheetData sheetId="1927">
        <row r="1">
          <cell r="J1">
            <v>1.7453292519943295E-2</v>
          </cell>
        </row>
      </sheetData>
      <sheetData sheetId="1928">
        <row r="1">
          <cell r="J1">
            <v>1.7453292519943295E-2</v>
          </cell>
        </row>
      </sheetData>
      <sheetData sheetId="1929">
        <row r="1">
          <cell r="J1">
            <v>1.7453292519943295E-2</v>
          </cell>
        </row>
      </sheetData>
      <sheetData sheetId="1930">
        <row r="1">
          <cell r="J1">
            <v>1.7453292519943295E-2</v>
          </cell>
        </row>
      </sheetData>
      <sheetData sheetId="1931">
        <row r="1">
          <cell r="J1">
            <v>1.7453292519943295E-2</v>
          </cell>
        </row>
      </sheetData>
      <sheetData sheetId="1932">
        <row r="1">
          <cell r="J1">
            <v>1.7453292519943295E-2</v>
          </cell>
        </row>
      </sheetData>
      <sheetData sheetId="1933">
        <row r="1">
          <cell r="J1">
            <v>1.7453292519943295E-2</v>
          </cell>
        </row>
      </sheetData>
      <sheetData sheetId="1934">
        <row r="1">
          <cell r="J1">
            <v>1.7453292519943295E-2</v>
          </cell>
        </row>
      </sheetData>
      <sheetData sheetId="1935">
        <row r="1">
          <cell r="J1">
            <v>1.7453292519943295E-2</v>
          </cell>
        </row>
      </sheetData>
      <sheetData sheetId="1936">
        <row r="1">
          <cell r="J1">
            <v>1.7453292519943295E-2</v>
          </cell>
        </row>
      </sheetData>
      <sheetData sheetId="1937">
        <row r="1">
          <cell r="J1">
            <v>1.7453292519943295E-2</v>
          </cell>
        </row>
      </sheetData>
      <sheetData sheetId="1938">
        <row r="1">
          <cell r="J1">
            <v>1.7453292519943295E-2</v>
          </cell>
        </row>
      </sheetData>
      <sheetData sheetId="1939">
        <row r="1">
          <cell r="J1">
            <v>1.7453292519943295E-2</v>
          </cell>
        </row>
      </sheetData>
      <sheetData sheetId="1940">
        <row r="1">
          <cell r="J1">
            <v>1.7453292519943295E-2</v>
          </cell>
        </row>
      </sheetData>
      <sheetData sheetId="1941">
        <row r="1">
          <cell r="J1">
            <v>1.7453292519943295E-2</v>
          </cell>
        </row>
      </sheetData>
      <sheetData sheetId="1942">
        <row r="1">
          <cell r="J1">
            <v>1.7453292519943295E-2</v>
          </cell>
        </row>
      </sheetData>
      <sheetData sheetId="1943">
        <row r="1">
          <cell r="J1">
            <v>1.7453292519943295E-2</v>
          </cell>
        </row>
      </sheetData>
      <sheetData sheetId="1944">
        <row r="1">
          <cell r="J1">
            <v>1.7453292519943295E-2</v>
          </cell>
        </row>
      </sheetData>
      <sheetData sheetId="1945">
        <row r="1">
          <cell r="J1">
            <v>1.7453292519943295E-2</v>
          </cell>
        </row>
      </sheetData>
      <sheetData sheetId="1946">
        <row r="1">
          <cell r="J1">
            <v>1.7453292519943295E-2</v>
          </cell>
        </row>
      </sheetData>
      <sheetData sheetId="1947">
        <row r="1">
          <cell r="J1">
            <v>1.7453292519943295E-2</v>
          </cell>
        </row>
      </sheetData>
      <sheetData sheetId="1948">
        <row r="1">
          <cell r="J1">
            <v>1.7453292519943295E-2</v>
          </cell>
        </row>
      </sheetData>
      <sheetData sheetId="1949">
        <row r="1">
          <cell r="J1">
            <v>1.7453292519943295E-2</v>
          </cell>
        </row>
      </sheetData>
      <sheetData sheetId="1950">
        <row r="1">
          <cell r="J1">
            <v>1.7453292519943295E-2</v>
          </cell>
        </row>
      </sheetData>
      <sheetData sheetId="1951">
        <row r="1">
          <cell r="J1">
            <v>1.7453292519943295E-2</v>
          </cell>
        </row>
      </sheetData>
      <sheetData sheetId="1952">
        <row r="1">
          <cell r="J1">
            <v>1.7453292519943295E-2</v>
          </cell>
        </row>
      </sheetData>
      <sheetData sheetId="1953">
        <row r="1">
          <cell r="J1">
            <v>1.7453292519943295E-2</v>
          </cell>
        </row>
      </sheetData>
      <sheetData sheetId="1954">
        <row r="1">
          <cell r="J1">
            <v>1.7453292519943295E-2</v>
          </cell>
        </row>
      </sheetData>
      <sheetData sheetId="1955">
        <row r="1">
          <cell r="J1">
            <v>1.7453292519943295E-2</v>
          </cell>
        </row>
      </sheetData>
      <sheetData sheetId="1956">
        <row r="1">
          <cell r="J1">
            <v>1.7453292519943295E-2</v>
          </cell>
        </row>
      </sheetData>
      <sheetData sheetId="1957">
        <row r="1">
          <cell r="J1">
            <v>1.7453292519943295E-2</v>
          </cell>
        </row>
      </sheetData>
      <sheetData sheetId="1958">
        <row r="1">
          <cell r="J1">
            <v>1.7453292519943295E-2</v>
          </cell>
        </row>
      </sheetData>
      <sheetData sheetId="1959">
        <row r="1">
          <cell r="J1">
            <v>1.7453292519943295E-2</v>
          </cell>
        </row>
      </sheetData>
      <sheetData sheetId="1960">
        <row r="1">
          <cell r="J1">
            <v>1.7453292519943295E-2</v>
          </cell>
        </row>
      </sheetData>
      <sheetData sheetId="1961">
        <row r="1">
          <cell r="J1">
            <v>1.7453292519943295E-2</v>
          </cell>
        </row>
      </sheetData>
      <sheetData sheetId="1962">
        <row r="1">
          <cell r="J1">
            <v>1.7453292519943295E-2</v>
          </cell>
        </row>
      </sheetData>
      <sheetData sheetId="1963">
        <row r="1">
          <cell r="J1">
            <v>1.7453292519943295E-2</v>
          </cell>
        </row>
      </sheetData>
      <sheetData sheetId="1964">
        <row r="1">
          <cell r="J1">
            <v>1.7453292519943295E-2</v>
          </cell>
        </row>
      </sheetData>
      <sheetData sheetId="1965">
        <row r="1">
          <cell r="J1">
            <v>1.7453292519943295E-2</v>
          </cell>
        </row>
      </sheetData>
      <sheetData sheetId="1966">
        <row r="1">
          <cell r="J1">
            <v>1.7453292519943295E-2</v>
          </cell>
        </row>
      </sheetData>
      <sheetData sheetId="1967">
        <row r="1">
          <cell r="J1">
            <v>1.7453292519943295E-2</v>
          </cell>
        </row>
      </sheetData>
      <sheetData sheetId="1968">
        <row r="1">
          <cell r="J1">
            <v>1.7453292519943295E-2</v>
          </cell>
        </row>
      </sheetData>
      <sheetData sheetId="1969">
        <row r="1">
          <cell r="J1">
            <v>1.7453292519943295E-2</v>
          </cell>
        </row>
      </sheetData>
      <sheetData sheetId="1970">
        <row r="1">
          <cell r="J1">
            <v>1.7453292519943295E-2</v>
          </cell>
        </row>
      </sheetData>
      <sheetData sheetId="1971">
        <row r="1">
          <cell r="J1">
            <v>1.7453292519943295E-2</v>
          </cell>
        </row>
      </sheetData>
      <sheetData sheetId="1972">
        <row r="1">
          <cell r="J1">
            <v>1.7453292519943295E-2</v>
          </cell>
        </row>
      </sheetData>
      <sheetData sheetId="1973">
        <row r="1">
          <cell r="J1">
            <v>1.7453292519943295E-2</v>
          </cell>
        </row>
      </sheetData>
      <sheetData sheetId="1974">
        <row r="1">
          <cell r="J1">
            <v>1.7453292519943295E-2</v>
          </cell>
        </row>
      </sheetData>
      <sheetData sheetId="1975">
        <row r="1">
          <cell r="J1">
            <v>1.7453292519943295E-2</v>
          </cell>
        </row>
      </sheetData>
      <sheetData sheetId="1976">
        <row r="1">
          <cell r="J1">
            <v>1.7453292519943295E-2</v>
          </cell>
        </row>
      </sheetData>
      <sheetData sheetId="1977">
        <row r="1">
          <cell r="J1">
            <v>1.7453292519943295E-2</v>
          </cell>
        </row>
      </sheetData>
      <sheetData sheetId="1978">
        <row r="1">
          <cell r="J1">
            <v>1.7453292519943295E-2</v>
          </cell>
        </row>
      </sheetData>
      <sheetData sheetId="1979">
        <row r="1">
          <cell r="J1">
            <v>1.7453292519943295E-2</v>
          </cell>
        </row>
      </sheetData>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ow r="1">
          <cell r="J1">
            <v>1.7453292519943295E-2</v>
          </cell>
        </row>
      </sheetData>
      <sheetData sheetId="1997">
        <row r="1">
          <cell r="J1">
            <v>1.7453292519943295E-2</v>
          </cell>
        </row>
      </sheetData>
      <sheetData sheetId="1998">
        <row r="1">
          <cell r="J1">
            <v>1.7453292519943295E-2</v>
          </cell>
        </row>
      </sheetData>
      <sheetData sheetId="1999">
        <row r="1">
          <cell r="J1">
            <v>1.7453292519943295E-2</v>
          </cell>
        </row>
      </sheetData>
      <sheetData sheetId="2000">
        <row r="1">
          <cell r="J1">
            <v>1.7453292519943295E-2</v>
          </cell>
        </row>
      </sheetData>
      <sheetData sheetId="2001">
        <row r="1">
          <cell r="J1">
            <v>1.7453292519943295E-2</v>
          </cell>
        </row>
      </sheetData>
      <sheetData sheetId="2002">
        <row r="1">
          <cell r="J1">
            <v>1.7453292519943295E-2</v>
          </cell>
        </row>
      </sheetData>
      <sheetData sheetId="2003">
        <row r="1">
          <cell r="J1">
            <v>1.7453292519943295E-2</v>
          </cell>
        </row>
      </sheetData>
      <sheetData sheetId="2004">
        <row r="1">
          <cell r="J1">
            <v>1.7453292519943295E-2</v>
          </cell>
        </row>
      </sheetData>
      <sheetData sheetId="2005">
        <row r="1">
          <cell r="J1">
            <v>1.7453292519943295E-2</v>
          </cell>
        </row>
      </sheetData>
      <sheetData sheetId="2006">
        <row r="1">
          <cell r="J1">
            <v>1.7453292519943295E-2</v>
          </cell>
        </row>
      </sheetData>
      <sheetData sheetId="2007">
        <row r="1">
          <cell r="J1">
            <v>1.7453292519943295E-2</v>
          </cell>
        </row>
      </sheetData>
      <sheetData sheetId="2008">
        <row r="1">
          <cell r="J1">
            <v>1.7453292519943295E-2</v>
          </cell>
        </row>
      </sheetData>
      <sheetData sheetId="2009">
        <row r="1">
          <cell r="J1">
            <v>1.7453292519943295E-2</v>
          </cell>
        </row>
      </sheetData>
      <sheetData sheetId="2010">
        <row r="1">
          <cell r="J1">
            <v>1.7453292519943295E-2</v>
          </cell>
        </row>
      </sheetData>
      <sheetData sheetId="2011">
        <row r="1">
          <cell r="J1">
            <v>1.7453292519943295E-2</v>
          </cell>
        </row>
      </sheetData>
      <sheetData sheetId="2012">
        <row r="1">
          <cell r="J1">
            <v>1.7453292519943295E-2</v>
          </cell>
        </row>
      </sheetData>
      <sheetData sheetId="2013">
        <row r="1">
          <cell r="J1">
            <v>1.7453292519943295E-2</v>
          </cell>
        </row>
      </sheetData>
      <sheetData sheetId="2014">
        <row r="1">
          <cell r="J1">
            <v>1.7453292519943295E-2</v>
          </cell>
        </row>
      </sheetData>
      <sheetData sheetId="2015">
        <row r="1">
          <cell r="J1">
            <v>1.7453292519943295E-2</v>
          </cell>
        </row>
      </sheetData>
      <sheetData sheetId="2016">
        <row r="1">
          <cell r="J1">
            <v>1.7453292519943295E-2</v>
          </cell>
        </row>
      </sheetData>
      <sheetData sheetId="2017">
        <row r="1">
          <cell r="J1">
            <v>1.7453292519943295E-2</v>
          </cell>
        </row>
      </sheetData>
      <sheetData sheetId="2018">
        <row r="1">
          <cell r="J1">
            <v>1.7453292519943295E-2</v>
          </cell>
        </row>
      </sheetData>
      <sheetData sheetId="2019">
        <row r="1">
          <cell r="J1">
            <v>1.7453292519943295E-2</v>
          </cell>
        </row>
      </sheetData>
      <sheetData sheetId="2020">
        <row r="1">
          <cell r="J1">
            <v>1.7453292519943295E-2</v>
          </cell>
        </row>
      </sheetData>
      <sheetData sheetId="2021">
        <row r="1">
          <cell r="J1">
            <v>1.7453292519943295E-2</v>
          </cell>
        </row>
      </sheetData>
      <sheetData sheetId="2022">
        <row r="1">
          <cell r="J1">
            <v>1.7453292519943295E-2</v>
          </cell>
        </row>
      </sheetData>
      <sheetData sheetId="2023">
        <row r="1">
          <cell r="J1">
            <v>1.7453292519943295E-2</v>
          </cell>
        </row>
      </sheetData>
      <sheetData sheetId="2024">
        <row r="1">
          <cell r="J1">
            <v>1.7453292519943295E-2</v>
          </cell>
        </row>
      </sheetData>
      <sheetData sheetId="2025">
        <row r="1">
          <cell r="J1">
            <v>1.7453292519943295E-2</v>
          </cell>
        </row>
      </sheetData>
      <sheetData sheetId="2026">
        <row r="1">
          <cell r="J1">
            <v>1.7453292519943295E-2</v>
          </cell>
        </row>
      </sheetData>
      <sheetData sheetId="2027">
        <row r="1">
          <cell r="J1">
            <v>1.7453292519943295E-2</v>
          </cell>
        </row>
      </sheetData>
      <sheetData sheetId="2028">
        <row r="1">
          <cell r="J1">
            <v>1.7453292519943295E-2</v>
          </cell>
        </row>
      </sheetData>
      <sheetData sheetId="2029">
        <row r="1">
          <cell r="J1">
            <v>1.7453292519943295E-2</v>
          </cell>
        </row>
      </sheetData>
      <sheetData sheetId="2030">
        <row r="1">
          <cell r="J1">
            <v>1.7453292519943295E-2</v>
          </cell>
        </row>
      </sheetData>
      <sheetData sheetId="2031">
        <row r="1">
          <cell r="J1">
            <v>1.7453292519943295E-2</v>
          </cell>
        </row>
      </sheetData>
      <sheetData sheetId="2032">
        <row r="1">
          <cell r="J1">
            <v>1.7453292519943295E-2</v>
          </cell>
        </row>
      </sheetData>
      <sheetData sheetId="2033">
        <row r="1">
          <cell r="J1">
            <v>1.7453292519943295E-2</v>
          </cell>
        </row>
      </sheetData>
      <sheetData sheetId="2034">
        <row r="1">
          <cell r="J1">
            <v>1.7453292519943295E-2</v>
          </cell>
        </row>
      </sheetData>
      <sheetData sheetId="2035">
        <row r="1">
          <cell r="J1">
            <v>1.7453292519943295E-2</v>
          </cell>
        </row>
      </sheetData>
      <sheetData sheetId="2036">
        <row r="1">
          <cell r="J1">
            <v>1.7453292519943295E-2</v>
          </cell>
        </row>
      </sheetData>
      <sheetData sheetId="2037">
        <row r="1">
          <cell r="J1">
            <v>1.7453292519943295E-2</v>
          </cell>
        </row>
      </sheetData>
      <sheetData sheetId="2038">
        <row r="1">
          <cell r="J1">
            <v>1.7453292519943295E-2</v>
          </cell>
        </row>
      </sheetData>
      <sheetData sheetId="2039">
        <row r="1">
          <cell r="J1">
            <v>1.7453292519943295E-2</v>
          </cell>
        </row>
      </sheetData>
      <sheetData sheetId="2040">
        <row r="1">
          <cell r="J1">
            <v>1.7453292519943295E-2</v>
          </cell>
        </row>
      </sheetData>
      <sheetData sheetId="2041">
        <row r="1">
          <cell r="J1">
            <v>1.7453292519943295E-2</v>
          </cell>
        </row>
      </sheetData>
      <sheetData sheetId="2042">
        <row r="1">
          <cell r="J1">
            <v>1.7453292519943295E-2</v>
          </cell>
        </row>
      </sheetData>
      <sheetData sheetId="2043">
        <row r="1">
          <cell r="J1">
            <v>1.7453292519943295E-2</v>
          </cell>
        </row>
      </sheetData>
      <sheetData sheetId="2044">
        <row r="1">
          <cell r="J1">
            <v>1.7453292519943295E-2</v>
          </cell>
        </row>
      </sheetData>
      <sheetData sheetId="2045">
        <row r="1">
          <cell r="J1">
            <v>1.7453292519943295E-2</v>
          </cell>
        </row>
      </sheetData>
      <sheetData sheetId="2046">
        <row r="1">
          <cell r="J1">
            <v>1.7453292519943295E-2</v>
          </cell>
        </row>
      </sheetData>
      <sheetData sheetId="2047">
        <row r="1">
          <cell r="J1">
            <v>1.7453292519943295E-2</v>
          </cell>
        </row>
      </sheetData>
      <sheetData sheetId="2048">
        <row r="1">
          <cell r="J1">
            <v>1.7453292519943295E-2</v>
          </cell>
        </row>
      </sheetData>
      <sheetData sheetId="2049">
        <row r="1">
          <cell r="J1">
            <v>1.7453292519943295E-2</v>
          </cell>
        </row>
      </sheetData>
      <sheetData sheetId="2050">
        <row r="1">
          <cell r="J1">
            <v>1.7453292519943295E-2</v>
          </cell>
        </row>
      </sheetData>
      <sheetData sheetId="2051">
        <row r="1">
          <cell r="J1">
            <v>1.7453292519943295E-2</v>
          </cell>
        </row>
      </sheetData>
      <sheetData sheetId="2052">
        <row r="1">
          <cell r="J1">
            <v>1.7453292519943295E-2</v>
          </cell>
        </row>
      </sheetData>
      <sheetData sheetId="2053">
        <row r="1">
          <cell r="J1">
            <v>1.7453292519943295E-2</v>
          </cell>
        </row>
      </sheetData>
      <sheetData sheetId="2054">
        <row r="1">
          <cell r="J1">
            <v>1.7453292519943295E-2</v>
          </cell>
        </row>
      </sheetData>
      <sheetData sheetId="2055">
        <row r="1">
          <cell r="J1">
            <v>1.7453292519943295E-2</v>
          </cell>
        </row>
      </sheetData>
      <sheetData sheetId="2056">
        <row r="1">
          <cell r="J1">
            <v>1.7453292519943295E-2</v>
          </cell>
        </row>
      </sheetData>
      <sheetData sheetId="2057">
        <row r="1">
          <cell r="J1">
            <v>1.7453292519943295E-2</v>
          </cell>
        </row>
      </sheetData>
      <sheetData sheetId="2058">
        <row r="1">
          <cell r="J1">
            <v>1.7453292519943295E-2</v>
          </cell>
        </row>
      </sheetData>
      <sheetData sheetId="2059">
        <row r="1">
          <cell r="J1">
            <v>1.7453292519943295E-2</v>
          </cell>
        </row>
      </sheetData>
      <sheetData sheetId="2060">
        <row r="1">
          <cell r="J1">
            <v>1.7453292519943295E-2</v>
          </cell>
        </row>
      </sheetData>
      <sheetData sheetId="2061">
        <row r="1">
          <cell r="J1">
            <v>1.7453292519943295E-2</v>
          </cell>
        </row>
      </sheetData>
      <sheetData sheetId="2062">
        <row r="1">
          <cell r="J1">
            <v>1.7453292519943295E-2</v>
          </cell>
        </row>
      </sheetData>
      <sheetData sheetId="2063">
        <row r="1">
          <cell r="J1">
            <v>1.7453292519943295E-2</v>
          </cell>
        </row>
      </sheetData>
      <sheetData sheetId="2064">
        <row r="1">
          <cell r="J1">
            <v>1.7453292519943295E-2</v>
          </cell>
        </row>
      </sheetData>
      <sheetData sheetId="2065">
        <row r="1">
          <cell r="J1">
            <v>1.7453292519943295E-2</v>
          </cell>
        </row>
      </sheetData>
      <sheetData sheetId="2066">
        <row r="1">
          <cell r="J1">
            <v>1.7453292519943295E-2</v>
          </cell>
        </row>
      </sheetData>
      <sheetData sheetId="2067">
        <row r="1">
          <cell r="J1">
            <v>1.7453292519943295E-2</v>
          </cell>
        </row>
      </sheetData>
      <sheetData sheetId="2068">
        <row r="1">
          <cell r="J1">
            <v>1.7453292519943295E-2</v>
          </cell>
        </row>
      </sheetData>
      <sheetData sheetId="2069">
        <row r="1">
          <cell r="J1">
            <v>1.7453292519943295E-2</v>
          </cell>
        </row>
      </sheetData>
      <sheetData sheetId="2070">
        <row r="1">
          <cell r="J1">
            <v>1.7453292519943295E-2</v>
          </cell>
        </row>
      </sheetData>
      <sheetData sheetId="2071">
        <row r="1">
          <cell r="J1">
            <v>1.7453292519943295E-2</v>
          </cell>
        </row>
      </sheetData>
      <sheetData sheetId="2072">
        <row r="1">
          <cell r="J1">
            <v>1.7453292519943295E-2</v>
          </cell>
        </row>
      </sheetData>
      <sheetData sheetId="2073">
        <row r="1">
          <cell r="J1">
            <v>1.7453292519943295E-2</v>
          </cell>
        </row>
      </sheetData>
      <sheetData sheetId="2074">
        <row r="1">
          <cell r="J1">
            <v>1.7453292519943295E-2</v>
          </cell>
        </row>
      </sheetData>
      <sheetData sheetId="2075">
        <row r="1">
          <cell r="J1">
            <v>1.7453292519943295E-2</v>
          </cell>
        </row>
      </sheetData>
      <sheetData sheetId="2076">
        <row r="1">
          <cell r="J1">
            <v>1.7453292519943295E-2</v>
          </cell>
        </row>
      </sheetData>
      <sheetData sheetId="2077">
        <row r="1">
          <cell r="J1">
            <v>1.7453292519943295E-2</v>
          </cell>
        </row>
      </sheetData>
      <sheetData sheetId="2078">
        <row r="1">
          <cell r="J1">
            <v>1.7453292519943295E-2</v>
          </cell>
        </row>
      </sheetData>
      <sheetData sheetId="2079">
        <row r="1">
          <cell r="J1">
            <v>1.7453292519943295E-2</v>
          </cell>
        </row>
      </sheetData>
      <sheetData sheetId="2080">
        <row r="1">
          <cell r="J1">
            <v>1.7453292519943295E-2</v>
          </cell>
        </row>
      </sheetData>
      <sheetData sheetId="2081">
        <row r="1">
          <cell r="J1">
            <v>1.7453292519943295E-2</v>
          </cell>
        </row>
      </sheetData>
      <sheetData sheetId="2082">
        <row r="1">
          <cell r="J1">
            <v>1.7453292519943295E-2</v>
          </cell>
        </row>
      </sheetData>
      <sheetData sheetId="2083">
        <row r="1">
          <cell r="J1">
            <v>1.7453292519943295E-2</v>
          </cell>
        </row>
      </sheetData>
      <sheetData sheetId="2084">
        <row r="1">
          <cell r="J1">
            <v>1.7453292519943295E-2</v>
          </cell>
        </row>
      </sheetData>
      <sheetData sheetId="2085">
        <row r="1">
          <cell r="J1">
            <v>1.7453292519943295E-2</v>
          </cell>
        </row>
      </sheetData>
      <sheetData sheetId="2086">
        <row r="1">
          <cell r="J1">
            <v>1.7453292519943295E-2</v>
          </cell>
        </row>
      </sheetData>
      <sheetData sheetId="2087">
        <row r="1">
          <cell r="J1">
            <v>1.7453292519943295E-2</v>
          </cell>
        </row>
      </sheetData>
      <sheetData sheetId="2088">
        <row r="1">
          <cell r="J1">
            <v>1.7453292519943295E-2</v>
          </cell>
        </row>
      </sheetData>
      <sheetData sheetId="2089">
        <row r="1">
          <cell r="J1">
            <v>1.7453292519943295E-2</v>
          </cell>
        </row>
      </sheetData>
      <sheetData sheetId="2090">
        <row r="1">
          <cell r="J1">
            <v>1.7453292519943295E-2</v>
          </cell>
        </row>
      </sheetData>
      <sheetData sheetId="2091">
        <row r="1">
          <cell r="J1">
            <v>1.7453292519943295E-2</v>
          </cell>
        </row>
      </sheetData>
      <sheetData sheetId="2092">
        <row r="1">
          <cell r="J1">
            <v>1.7453292519943295E-2</v>
          </cell>
        </row>
      </sheetData>
      <sheetData sheetId="2093">
        <row r="1">
          <cell r="J1">
            <v>1.7453292519943295E-2</v>
          </cell>
        </row>
      </sheetData>
      <sheetData sheetId="2094">
        <row r="1">
          <cell r="J1">
            <v>1.7453292519943295E-2</v>
          </cell>
        </row>
      </sheetData>
      <sheetData sheetId="2095">
        <row r="1">
          <cell r="J1">
            <v>1.7453292519943295E-2</v>
          </cell>
        </row>
      </sheetData>
      <sheetData sheetId="2096">
        <row r="1">
          <cell r="J1">
            <v>1.7453292519943295E-2</v>
          </cell>
        </row>
      </sheetData>
      <sheetData sheetId="2097">
        <row r="1">
          <cell r="J1">
            <v>1.7453292519943295E-2</v>
          </cell>
        </row>
      </sheetData>
      <sheetData sheetId="2098">
        <row r="1">
          <cell r="J1">
            <v>1.7453292519943295E-2</v>
          </cell>
        </row>
      </sheetData>
      <sheetData sheetId="2099">
        <row r="1">
          <cell r="J1">
            <v>1.7453292519943295E-2</v>
          </cell>
        </row>
      </sheetData>
      <sheetData sheetId="2100">
        <row r="1">
          <cell r="J1">
            <v>1.7453292519943295E-2</v>
          </cell>
        </row>
      </sheetData>
      <sheetData sheetId="2101">
        <row r="1">
          <cell r="J1">
            <v>1.7453292519943295E-2</v>
          </cell>
        </row>
      </sheetData>
      <sheetData sheetId="2102">
        <row r="1">
          <cell r="J1">
            <v>1.7453292519943295E-2</v>
          </cell>
        </row>
      </sheetData>
      <sheetData sheetId="2103">
        <row r="1">
          <cell r="J1">
            <v>1.7453292519943295E-2</v>
          </cell>
        </row>
      </sheetData>
      <sheetData sheetId="2104">
        <row r="1">
          <cell r="J1">
            <v>1.7453292519943295E-2</v>
          </cell>
        </row>
      </sheetData>
      <sheetData sheetId="2105">
        <row r="1">
          <cell r="J1">
            <v>1.7453292519943295E-2</v>
          </cell>
        </row>
      </sheetData>
      <sheetData sheetId="2106">
        <row r="1">
          <cell r="J1">
            <v>1.7453292519943295E-2</v>
          </cell>
        </row>
      </sheetData>
      <sheetData sheetId="2107">
        <row r="1">
          <cell r="J1">
            <v>1.7453292519943295E-2</v>
          </cell>
        </row>
      </sheetData>
      <sheetData sheetId="2108">
        <row r="1">
          <cell r="J1">
            <v>1.7453292519943295E-2</v>
          </cell>
        </row>
      </sheetData>
      <sheetData sheetId="2109">
        <row r="1">
          <cell r="J1">
            <v>1.7453292519943295E-2</v>
          </cell>
        </row>
      </sheetData>
      <sheetData sheetId="2110">
        <row r="1">
          <cell r="J1">
            <v>1.7453292519943295E-2</v>
          </cell>
        </row>
      </sheetData>
      <sheetData sheetId="2111">
        <row r="1">
          <cell r="J1">
            <v>1.7453292519943295E-2</v>
          </cell>
        </row>
      </sheetData>
      <sheetData sheetId="2112">
        <row r="1">
          <cell r="J1">
            <v>1.7453292519943295E-2</v>
          </cell>
        </row>
      </sheetData>
      <sheetData sheetId="2113">
        <row r="1">
          <cell r="J1">
            <v>1.7453292519943295E-2</v>
          </cell>
        </row>
      </sheetData>
      <sheetData sheetId="2114">
        <row r="1">
          <cell r="J1">
            <v>1.7453292519943295E-2</v>
          </cell>
        </row>
      </sheetData>
      <sheetData sheetId="2115">
        <row r="1">
          <cell r="J1">
            <v>1.7453292519943295E-2</v>
          </cell>
        </row>
      </sheetData>
      <sheetData sheetId="2116">
        <row r="1">
          <cell r="J1">
            <v>1.7453292519943295E-2</v>
          </cell>
        </row>
      </sheetData>
      <sheetData sheetId="2117">
        <row r="1">
          <cell r="J1">
            <v>1.7453292519943295E-2</v>
          </cell>
        </row>
      </sheetData>
      <sheetData sheetId="2118">
        <row r="1">
          <cell r="J1">
            <v>1.7453292519943295E-2</v>
          </cell>
        </row>
      </sheetData>
      <sheetData sheetId="2119">
        <row r="1">
          <cell r="J1">
            <v>1.7453292519943295E-2</v>
          </cell>
        </row>
      </sheetData>
      <sheetData sheetId="2120">
        <row r="1">
          <cell r="J1">
            <v>1.7453292519943295E-2</v>
          </cell>
        </row>
      </sheetData>
      <sheetData sheetId="2121">
        <row r="1">
          <cell r="J1">
            <v>1.7453292519943295E-2</v>
          </cell>
        </row>
      </sheetData>
      <sheetData sheetId="2122">
        <row r="1">
          <cell r="J1">
            <v>1.7453292519943295E-2</v>
          </cell>
        </row>
      </sheetData>
      <sheetData sheetId="2123">
        <row r="1">
          <cell r="J1">
            <v>1.7453292519943295E-2</v>
          </cell>
        </row>
      </sheetData>
      <sheetData sheetId="2124">
        <row r="1">
          <cell r="J1">
            <v>1.7453292519943295E-2</v>
          </cell>
        </row>
      </sheetData>
      <sheetData sheetId="2125">
        <row r="1">
          <cell r="J1">
            <v>1.7453292519943295E-2</v>
          </cell>
        </row>
      </sheetData>
      <sheetData sheetId="2126">
        <row r="1">
          <cell r="J1">
            <v>1.7453292519943295E-2</v>
          </cell>
        </row>
      </sheetData>
      <sheetData sheetId="2127">
        <row r="1">
          <cell r="J1">
            <v>1.7453292519943295E-2</v>
          </cell>
        </row>
      </sheetData>
      <sheetData sheetId="2128">
        <row r="1">
          <cell r="J1">
            <v>1.7453292519943295E-2</v>
          </cell>
        </row>
      </sheetData>
      <sheetData sheetId="2129">
        <row r="1">
          <cell r="J1">
            <v>1.7453292519943295E-2</v>
          </cell>
        </row>
      </sheetData>
      <sheetData sheetId="2130">
        <row r="1">
          <cell r="J1">
            <v>1.7453292519943295E-2</v>
          </cell>
        </row>
      </sheetData>
      <sheetData sheetId="2131">
        <row r="1">
          <cell r="J1">
            <v>1.7453292519943295E-2</v>
          </cell>
        </row>
      </sheetData>
      <sheetData sheetId="2132">
        <row r="1">
          <cell r="J1">
            <v>1.7453292519943295E-2</v>
          </cell>
        </row>
      </sheetData>
      <sheetData sheetId="2133">
        <row r="1">
          <cell r="J1">
            <v>1.7453292519943295E-2</v>
          </cell>
        </row>
      </sheetData>
      <sheetData sheetId="2134">
        <row r="1">
          <cell r="J1">
            <v>1.7453292519943295E-2</v>
          </cell>
        </row>
      </sheetData>
      <sheetData sheetId="2135">
        <row r="1">
          <cell r="J1">
            <v>1.7453292519943295E-2</v>
          </cell>
        </row>
      </sheetData>
      <sheetData sheetId="2136">
        <row r="1">
          <cell r="J1">
            <v>1.7453292519943295E-2</v>
          </cell>
        </row>
      </sheetData>
      <sheetData sheetId="2137">
        <row r="1">
          <cell r="J1">
            <v>1.7453292519943295E-2</v>
          </cell>
        </row>
      </sheetData>
      <sheetData sheetId="2138">
        <row r="1">
          <cell r="J1">
            <v>1.7453292519943295E-2</v>
          </cell>
        </row>
      </sheetData>
      <sheetData sheetId="2139">
        <row r="1">
          <cell r="J1">
            <v>1.7453292519943295E-2</v>
          </cell>
        </row>
      </sheetData>
      <sheetData sheetId="2140">
        <row r="1">
          <cell r="J1">
            <v>1.7453292519943295E-2</v>
          </cell>
        </row>
      </sheetData>
      <sheetData sheetId="2141">
        <row r="1">
          <cell r="J1">
            <v>1.7453292519943295E-2</v>
          </cell>
        </row>
      </sheetData>
      <sheetData sheetId="2142">
        <row r="1">
          <cell r="J1">
            <v>1.7453292519943295E-2</v>
          </cell>
        </row>
      </sheetData>
      <sheetData sheetId="2143">
        <row r="1">
          <cell r="J1">
            <v>1.7453292519943295E-2</v>
          </cell>
        </row>
      </sheetData>
      <sheetData sheetId="2144">
        <row r="1">
          <cell r="J1">
            <v>1.7453292519943295E-2</v>
          </cell>
        </row>
      </sheetData>
      <sheetData sheetId="2145">
        <row r="1">
          <cell r="J1">
            <v>1.7453292519943295E-2</v>
          </cell>
        </row>
      </sheetData>
      <sheetData sheetId="2146">
        <row r="1">
          <cell r="J1">
            <v>1.7453292519943295E-2</v>
          </cell>
        </row>
      </sheetData>
      <sheetData sheetId="2147">
        <row r="1">
          <cell r="J1">
            <v>1.7453292519943295E-2</v>
          </cell>
        </row>
      </sheetData>
      <sheetData sheetId="2148">
        <row r="1">
          <cell r="J1">
            <v>1.7453292519943295E-2</v>
          </cell>
        </row>
      </sheetData>
      <sheetData sheetId="2149">
        <row r="1">
          <cell r="J1">
            <v>1.7453292519943295E-2</v>
          </cell>
        </row>
      </sheetData>
      <sheetData sheetId="2150">
        <row r="1">
          <cell r="J1">
            <v>1.7453292519943295E-2</v>
          </cell>
        </row>
      </sheetData>
      <sheetData sheetId="2151">
        <row r="1">
          <cell r="J1">
            <v>1.7453292519943295E-2</v>
          </cell>
        </row>
      </sheetData>
      <sheetData sheetId="2152">
        <row r="1">
          <cell r="J1">
            <v>1.7453292519943295E-2</v>
          </cell>
        </row>
      </sheetData>
      <sheetData sheetId="2153">
        <row r="1">
          <cell r="J1">
            <v>1.7453292519943295E-2</v>
          </cell>
        </row>
      </sheetData>
      <sheetData sheetId="2154">
        <row r="1">
          <cell r="J1">
            <v>1.7453292519943295E-2</v>
          </cell>
        </row>
      </sheetData>
      <sheetData sheetId="2155">
        <row r="1">
          <cell r="J1">
            <v>1.7453292519943295E-2</v>
          </cell>
        </row>
      </sheetData>
      <sheetData sheetId="2156">
        <row r="1">
          <cell r="J1">
            <v>1.7453292519943295E-2</v>
          </cell>
        </row>
      </sheetData>
      <sheetData sheetId="2157">
        <row r="1">
          <cell r="J1">
            <v>1.7453292519943295E-2</v>
          </cell>
        </row>
      </sheetData>
      <sheetData sheetId="2158">
        <row r="1">
          <cell r="J1">
            <v>1.7453292519943295E-2</v>
          </cell>
        </row>
      </sheetData>
      <sheetData sheetId="2159">
        <row r="1">
          <cell r="J1">
            <v>1.7453292519943295E-2</v>
          </cell>
        </row>
      </sheetData>
      <sheetData sheetId="2160">
        <row r="1">
          <cell r="J1">
            <v>1.7453292519943295E-2</v>
          </cell>
        </row>
      </sheetData>
      <sheetData sheetId="2161">
        <row r="1">
          <cell r="J1">
            <v>1.7453292519943295E-2</v>
          </cell>
        </row>
      </sheetData>
      <sheetData sheetId="2162">
        <row r="1">
          <cell r="J1">
            <v>1.7453292519943295E-2</v>
          </cell>
        </row>
      </sheetData>
      <sheetData sheetId="2163">
        <row r="1">
          <cell r="J1">
            <v>1.7453292519943295E-2</v>
          </cell>
        </row>
      </sheetData>
      <sheetData sheetId="2164">
        <row r="1">
          <cell r="J1">
            <v>1.7453292519943295E-2</v>
          </cell>
        </row>
      </sheetData>
      <sheetData sheetId="2165">
        <row r="1">
          <cell r="J1">
            <v>1.7453292519943295E-2</v>
          </cell>
        </row>
      </sheetData>
      <sheetData sheetId="2166">
        <row r="1">
          <cell r="J1">
            <v>1.7453292519943295E-2</v>
          </cell>
        </row>
      </sheetData>
      <sheetData sheetId="2167">
        <row r="1">
          <cell r="J1">
            <v>1.7453292519943295E-2</v>
          </cell>
        </row>
      </sheetData>
      <sheetData sheetId="2168">
        <row r="1">
          <cell r="J1">
            <v>1.7453292519943295E-2</v>
          </cell>
        </row>
      </sheetData>
      <sheetData sheetId="2169">
        <row r="1">
          <cell r="J1">
            <v>1.7453292519943295E-2</v>
          </cell>
        </row>
      </sheetData>
      <sheetData sheetId="2170">
        <row r="1">
          <cell r="J1">
            <v>1.7453292519943295E-2</v>
          </cell>
        </row>
      </sheetData>
      <sheetData sheetId="2171">
        <row r="1">
          <cell r="J1">
            <v>1.7453292519943295E-2</v>
          </cell>
        </row>
      </sheetData>
      <sheetData sheetId="2172">
        <row r="1">
          <cell r="J1">
            <v>1.7453292519943295E-2</v>
          </cell>
        </row>
      </sheetData>
      <sheetData sheetId="2173">
        <row r="1">
          <cell r="J1">
            <v>1.7453292519943295E-2</v>
          </cell>
        </row>
      </sheetData>
      <sheetData sheetId="2174">
        <row r="1">
          <cell r="J1">
            <v>1.7453292519943295E-2</v>
          </cell>
        </row>
      </sheetData>
      <sheetData sheetId="2175">
        <row r="1">
          <cell r="J1">
            <v>1.7453292519943295E-2</v>
          </cell>
        </row>
      </sheetData>
      <sheetData sheetId="2176">
        <row r="1">
          <cell r="J1">
            <v>1.7453292519943295E-2</v>
          </cell>
        </row>
      </sheetData>
      <sheetData sheetId="2177">
        <row r="1">
          <cell r="J1">
            <v>1.7453292519943295E-2</v>
          </cell>
        </row>
      </sheetData>
      <sheetData sheetId="2178">
        <row r="1">
          <cell r="J1">
            <v>1.7453292519943295E-2</v>
          </cell>
        </row>
      </sheetData>
      <sheetData sheetId="2179">
        <row r="1">
          <cell r="J1">
            <v>1.7453292519943295E-2</v>
          </cell>
        </row>
      </sheetData>
      <sheetData sheetId="2180">
        <row r="1">
          <cell r="J1">
            <v>1.7453292519943295E-2</v>
          </cell>
        </row>
      </sheetData>
      <sheetData sheetId="2181">
        <row r="1">
          <cell r="J1">
            <v>1.7453292519943295E-2</v>
          </cell>
        </row>
      </sheetData>
      <sheetData sheetId="2182">
        <row r="1">
          <cell r="J1">
            <v>1.7453292519943295E-2</v>
          </cell>
        </row>
      </sheetData>
      <sheetData sheetId="2183">
        <row r="1">
          <cell r="J1">
            <v>1.7453292519943295E-2</v>
          </cell>
        </row>
      </sheetData>
      <sheetData sheetId="2184">
        <row r="1">
          <cell r="J1">
            <v>1.7453292519943295E-2</v>
          </cell>
        </row>
      </sheetData>
      <sheetData sheetId="2185">
        <row r="1">
          <cell r="J1">
            <v>1.7453292519943295E-2</v>
          </cell>
        </row>
      </sheetData>
      <sheetData sheetId="2186">
        <row r="1">
          <cell r="J1">
            <v>1.7453292519943295E-2</v>
          </cell>
        </row>
      </sheetData>
      <sheetData sheetId="2187">
        <row r="1">
          <cell r="J1">
            <v>1.7453292519943295E-2</v>
          </cell>
        </row>
      </sheetData>
      <sheetData sheetId="2188">
        <row r="1">
          <cell r="J1">
            <v>1.7453292519943295E-2</v>
          </cell>
        </row>
      </sheetData>
      <sheetData sheetId="2189">
        <row r="1">
          <cell r="J1">
            <v>1.7453292519943295E-2</v>
          </cell>
        </row>
      </sheetData>
      <sheetData sheetId="2190">
        <row r="1">
          <cell r="J1">
            <v>1.7453292519943295E-2</v>
          </cell>
        </row>
      </sheetData>
      <sheetData sheetId="2191">
        <row r="1">
          <cell r="J1">
            <v>1.7453292519943295E-2</v>
          </cell>
        </row>
      </sheetData>
      <sheetData sheetId="2192">
        <row r="1">
          <cell r="J1">
            <v>1.7453292519943295E-2</v>
          </cell>
        </row>
      </sheetData>
      <sheetData sheetId="2193">
        <row r="1">
          <cell r="J1">
            <v>1.7453292519943295E-2</v>
          </cell>
        </row>
      </sheetData>
      <sheetData sheetId="2194">
        <row r="1">
          <cell r="J1">
            <v>1.7453292519943295E-2</v>
          </cell>
        </row>
      </sheetData>
      <sheetData sheetId="2195">
        <row r="1">
          <cell r="J1">
            <v>1.7453292519943295E-2</v>
          </cell>
        </row>
      </sheetData>
      <sheetData sheetId="2196">
        <row r="1">
          <cell r="J1">
            <v>1.7453292519943295E-2</v>
          </cell>
        </row>
      </sheetData>
      <sheetData sheetId="2197">
        <row r="1">
          <cell r="J1">
            <v>1.7453292519943295E-2</v>
          </cell>
        </row>
      </sheetData>
      <sheetData sheetId="2198">
        <row r="1">
          <cell r="J1">
            <v>1.7453292519943295E-2</v>
          </cell>
        </row>
      </sheetData>
      <sheetData sheetId="2199">
        <row r="1">
          <cell r="J1">
            <v>1.7453292519943295E-2</v>
          </cell>
        </row>
      </sheetData>
      <sheetData sheetId="2200">
        <row r="1">
          <cell r="J1">
            <v>1.7453292519943295E-2</v>
          </cell>
        </row>
      </sheetData>
      <sheetData sheetId="2201">
        <row r="1">
          <cell r="J1">
            <v>1.7453292519943295E-2</v>
          </cell>
        </row>
      </sheetData>
      <sheetData sheetId="2202">
        <row r="1">
          <cell r="J1">
            <v>1.7453292519943295E-2</v>
          </cell>
        </row>
      </sheetData>
      <sheetData sheetId="2203">
        <row r="1">
          <cell r="J1">
            <v>1.7453292519943295E-2</v>
          </cell>
        </row>
      </sheetData>
      <sheetData sheetId="2204">
        <row r="1">
          <cell r="J1">
            <v>1.7453292519943295E-2</v>
          </cell>
        </row>
      </sheetData>
      <sheetData sheetId="2205">
        <row r="1">
          <cell r="J1">
            <v>1.7453292519943295E-2</v>
          </cell>
        </row>
      </sheetData>
      <sheetData sheetId="2206">
        <row r="1">
          <cell r="J1">
            <v>1.7453292519943295E-2</v>
          </cell>
        </row>
      </sheetData>
      <sheetData sheetId="2207">
        <row r="1">
          <cell r="J1">
            <v>1.7453292519943295E-2</v>
          </cell>
        </row>
      </sheetData>
      <sheetData sheetId="2208">
        <row r="1">
          <cell r="J1">
            <v>1.7453292519943295E-2</v>
          </cell>
        </row>
      </sheetData>
      <sheetData sheetId="2209">
        <row r="1">
          <cell r="J1">
            <v>1.7453292519943295E-2</v>
          </cell>
        </row>
      </sheetData>
      <sheetData sheetId="2210">
        <row r="1">
          <cell r="J1">
            <v>1.7453292519943295E-2</v>
          </cell>
        </row>
      </sheetData>
      <sheetData sheetId="2211">
        <row r="1">
          <cell r="J1">
            <v>1.7453292519943295E-2</v>
          </cell>
        </row>
      </sheetData>
      <sheetData sheetId="2212">
        <row r="1">
          <cell r="J1">
            <v>1.7453292519943295E-2</v>
          </cell>
        </row>
      </sheetData>
      <sheetData sheetId="2213">
        <row r="1">
          <cell r="J1">
            <v>1.7453292519943295E-2</v>
          </cell>
        </row>
      </sheetData>
      <sheetData sheetId="2214">
        <row r="1">
          <cell r="J1">
            <v>1.7453292519943295E-2</v>
          </cell>
        </row>
      </sheetData>
      <sheetData sheetId="2215">
        <row r="1">
          <cell r="J1">
            <v>1.7453292519943295E-2</v>
          </cell>
        </row>
      </sheetData>
      <sheetData sheetId="2216">
        <row r="1">
          <cell r="J1">
            <v>1.7453292519943295E-2</v>
          </cell>
        </row>
      </sheetData>
      <sheetData sheetId="2217">
        <row r="1">
          <cell r="J1">
            <v>1.7453292519943295E-2</v>
          </cell>
        </row>
      </sheetData>
      <sheetData sheetId="2218">
        <row r="1">
          <cell r="J1">
            <v>1.7453292519943295E-2</v>
          </cell>
        </row>
      </sheetData>
      <sheetData sheetId="2219">
        <row r="1">
          <cell r="J1">
            <v>1.7453292519943295E-2</v>
          </cell>
        </row>
      </sheetData>
      <sheetData sheetId="2220">
        <row r="1">
          <cell r="J1">
            <v>1.7453292519943295E-2</v>
          </cell>
        </row>
      </sheetData>
      <sheetData sheetId="2221">
        <row r="1">
          <cell r="J1">
            <v>1.7453292519943295E-2</v>
          </cell>
        </row>
      </sheetData>
      <sheetData sheetId="2222">
        <row r="1">
          <cell r="J1">
            <v>1.7453292519943295E-2</v>
          </cell>
        </row>
      </sheetData>
      <sheetData sheetId="2223">
        <row r="1">
          <cell r="J1">
            <v>1.7453292519943295E-2</v>
          </cell>
        </row>
      </sheetData>
      <sheetData sheetId="2224">
        <row r="1">
          <cell r="J1">
            <v>1.7453292519943295E-2</v>
          </cell>
        </row>
      </sheetData>
      <sheetData sheetId="2225">
        <row r="1">
          <cell r="J1">
            <v>1.7453292519943295E-2</v>
          </cell>
        </row>
      </sheetData>
      <sheetData sheetId="2226">
        <row r="1">
          <cell r="J1">
            <v>1.7453292519943295E-2</v>
          </cell>
        </row>
      </sheetData>
      <sheetData sheetId="2227">
        <row r="1">
          <cell r="J1">
            <v>1.7453292519943295E-2</v>
          </cell>
        </row>
      </sheetData>
      <sheetData sheetId="2228">
        <row r="1">
          <cell r="J1">
            <v>1.7453292519943295E-2</v>
          </cell>
        </row>
      </sheetData>
      <sheetData sheetId="2229">
        <row r="1">
          <cell r="J1">
            <v>1.7453292519943295E-2</v>
          </cell>
        </row>
      </sheetData>
      <sheetData sheetId="2230">
        <row r="1">
          <cell r="J1">
            <v>1.7453292519943295E-2</v>
          </cell>
        </row>
      </sheetData>
      <sheetData sheetId="2231">
        <row r="1">
          <cell r="J1">
            <v>1.7453292519943295E-2</v>
          </cell>
        </row>
      </sheetData>
      <sheetData sheetId="2232">
        <row r="1">
          <cell r="J1">
            <v>1.7453292519943295E-2</v>
          </cell>
        </row>
      </sheetData>
      <sheetData sheetId="2233">
        <row r="1">
          <cell r="J1">
            <v>1.7453292519943295E-2</v>
          </cell>
        </row>
      </sheetData>
      <sheetData sheetId="2234">
        <row r="1">
          <cell r="J1">
            <v>1.7453292519943295E-2</v>
          </cell>
        </row>
      </sheetData>
      <sheetData sheetId="2235">
        <row r="1">
          <cell r="J1">
            <v>1.7453292519943295E-2</v>
          </cell>
        </row>
      </sheetData>
      <sheetData sheetId="2236">
        <row r="1">
          <cell r="J1">
            <v>1.7453292519943295E-2</v>
          </cell>
        </row>
      </sheetData>
      <sheetData sheetId="2237">
        <row r="1">
          <cell r="J1">
            <v>1.7453292519943295E-2</v>
          </cell>
        </row>
      </sheetData>
      <sheetData sheetId="2238">
        <row r="1">
          <cell r="J1">
            <v>1.7453292519943295E-2</v>
          </cell>
        </row>
      </sheetData>
      <sheetData sheetId="2239">
        <row r="1">
          <cell r="J1">
            <v>1.7453292519943295E-2</v>
          </cell>
        </row>
      </sheetData>
      <sheetData sheetId="2240">
        <row r="1">
          <cell r="J1">
            <v>1.7453292519943295E-2</v>
          </cell>
        </row>
      </sheetData>
      <sheetData sheetId="2241">
        <row r="1">
          <cell r="J1">
            <v>1.7453292519943295E-2</v>
          </cell>
        </row>
      </sheetData>
      <sheetData sheetId="2242">
        <row r="1">
          <cell r="J1">
            <v>1.7453292519943295E-2</v>
          </cell>
        </row>
      </sheetData>
      <sheetData sheetId="2243">
        <row r="1">
          <cell r="J1">
            <v>1.7453292519943295E-2</v>
          </cell>
        </row>
      </sheetData>
      <sheetData sheetId="2244">
        <row r="1">
          <cell r="J1">
            <v>1.7453292519943295E-2</v>
          </cell>
        </row>
      </sheetData>
      <sheetData sheetId="2245">
        <row r="1">
          <cell r="J1">
            <v>1.7453292519943295E-2</v>
          </cell>
        </row>
      </sheetData>
      <sheetData sheetId="2246">
        <row r="1">
          <cell r="J1">
            <v>1.7453292519943295E-2</v>
          </cell>
        </row>
      </sheetData>
      <sheetData sheetId="2247">
        <row r="1">
          <cell r="J1">
            <v>1.7453292519943295E-2</v>
          </cell>
        </row>
      </sheetData>
      <sheetData sheetId="2248">
        <row r="1">
          <cell r="J1">
            <v>1.7453292519943295E-2</v>
          </cell>
        </row>
      </sheetData>
      <sheetData sheetId="2249">
        <row r="1">
          <cell r="J1">
            <v>1.7453292519943295E-2</v>
          </cell>
        </row>
      </sheetData>
      <sheetData sheetId="2250">
        <row r="1">
          <cell r="J1">
            <v>1.7453292519943295E-2</v>
          </cell>
        </row>
      </sheetData>
      <sheetData sheetId="2251">
        <row r="1">
          <cell r="J1">
            <v>1.7453292519943295E-2</v>
          </cell>
        </row>
      </sheetData>
      <sheetData sheetId="2252">
        <row r="1">
          <cell r="J1">
            <v>1.7453292519943295E-2</v>
          </cell>
        </row>
      </sheetData>
      <sheetData sheetId="2253">
        <row r="1">
          <cell r="J1">
            <v>1.7453292519943295E-2</v>
          </cell>
        </row>
      </sheetData>
      <sheetData sheetId="2254">
        <row r="1">
          <cell r="J1">
            <v>1.7453292519943295E-2</v>
          </cell>
        </row>
      </sheetData>
      <sheetData sheetId="2255">
        <row r="1">
          <cell r="J1">
            <v>1.7453292519943295E-2</v>
          </cell>
        </row>
      </sheetData>
      <sheetData sheetId="2256">
        <row r="1">
          <cell r="J1">
            <v>1.7453292519943295E-2</v>
          </cell>
        </row>
      </sheetData>
      <sheetData sheetId="2257">
        <row r="1">
          <cell r="J1">
            <v>1.7453292519943295E-2</v>
          </cell>
        </row>
      </sheetData>
      <sheetData sheetId="2258">
        <row r="1">
          <cell r="J1">
            <v>1.7453292519943295E-2</v>
          </cell>
        </row>
      </sheetData>
      <sheetData sheetId="2259">
        <row r="1">
          <cell r="J1">
            <v>1.7453292519943295E-2</v>
          </cell>
        </row>
      </sheetData>
      <sheetData sheetId="2260">
        <row r="1">
          <cell r="J1">
            <v>1.7453292519943295E-2</v>
          </cell>
        </row>
      </sheetData>
      <sheetData sheetId="2261">
        <row r="1">
          <cell r="J1">
            <v>1.7453292519943295E-2</v>
          </cell>
        </row>
      </sheetData>
      <sheetData sheetId="2262">
        <row r="1">
          <cell r="J1">
            <v>1.7453292519943295E-2</v>
          </cell>
        </row>
      </sheetData>
      <sheetData sheetId="2263">
        <row r="1">
          <cell r="J1">
            <v>1.7453292519943295E-2</v>
          </cell>
        </row>
      </sheetData>
      <sheetData sheetId="2264">
        <row r="1">
          <cell r="J1">
            <v>1.7453292519943295E-2</v>
          </cell>
        </row>
      </sheetData>
      <sheetData sheetId="2265">
        <row r="1">
          <cell r="J1">
            <v>1.7453292519943295E-2</v>
          </cell>
        </row>
      </sheetData>
      <sheetData sheetId="2266">
        <row r="1">
          <cell r="J1">
            <v>1.7453292519943295E-2</v>
          </cell>
        </row>
      </sheetData>
      <sheetData sheetId="2267">
        <row r="1">
          <cell r="J1">
            <v>1.7453292519943295E-2</v>
          </cell>
        </row>
      </sheetData>
      <sheetData sheetId="2268">
        <row r="1">
          <cell r="J1">
            <v>1.7453292519943295E-2</v>
          </cell>
        </row>
      </sheetData>
      <sheetData sheetId="2269">
        <row r="1">
          <cell r="J1">
            <v>1.7453292519943295E-2</v>
          </cell>
        </row>
      </sheetData>
      <sheetData sheetId="2270">
        <row r="1">
          <cell r="J1">
            <v>1.7453292519943295E-2</v>
          </cell>
        </row>
      </sheetData>
      <sheetData sheetId="2271">
        <row r="1">
          <cell r="J1">
            <v>1.7453292519943295E-2</v>
          </cell>
        </row>
      </sheetData>
      <sheetData sheetId="2272">
        <row r="1">
          <cell r="J1">
            <v>1.7453292519943295E-2</v>
          </cell>
        </row>
      </sheetData>
      <sheetData sheetId="2273">
        <row r="1">
          <cell r="J1">
            <v>1.7453292519943295E-2</v>
          </cell>
        </row>
      </sheetData>
      <sheetData sheetId="2274">
        <row r="1">
          <cell r="J1">
            <v>1.7453292519943295E-2</v>
          </cell>
        </row>
      </sheetData>
      <sheetData sheetId="2275">
        <row r="1">
          <cell r="J1">
            <v>1.7453292519943295E-2</v>
          </cell>
        </row>
      </sheetData>
      <sheetData sheetId="2276">
        <row r="1">
          <cell r="J1">
            <v>1.7453292519943295E-2</v>
          </cell>
        </row>
      </sheetData>
      <sheetData sheetId="2277">
        <row r="1">
          <cell r="J1">
            <v>1.7453292519943295E-2</v>
          </cell>
        </row>
      </sheetData>
      <sheetData sheetId="2278">
        <row r="1">
          <cell r="J1">
            <v>1.7453292519943295E-2</v>
          </cell>
        </row>
      </sheetData>
      <sheetData sheetId="2279">
        <row r="1">
          <cell r="J1">
            <v>1.7453292519943295E-2</v>
          </cell>
        </row>
      </sheetData>
      <sheetData sheetId="2280">
        <row r="1">
          <cell r="J1">
            <v>1.7453292519943295E-2</v>
          </cell>
        </row>
      </sheetData>
      <sheetData sheetId="2281">
        <row r="1">
          <cell r="J1">
            <v>1.7453292519943295E-2</v>
          </cell>
        </row>
      </sheetData>
      <sheetData sheetId="2282">
        <row r="1">
          <cell r="J1">
            <v>1.7453292519943295E-2</v>
          </cell>
        </row>
      </sheetData>
      <sheetData sheetId="2283">
        <row r="1">
          <cell r="J1">
            <v>1.7453292519943295E-2</v>
          </cell>
        </row>
      </sheetData>
      <sheetData sheetId="2284">
        <row r="1">
          <cell r="J1">
            <v>1.7453292519943295E-2</v>
          </cell>
        </row>
      </sheetData>
      <sheetData sheetId="2285">
        <row r="1">
          <cell r="J1">
            <v>1.7453292519943295E-2</v>
          </cell>
        </row>
      </sheetData>
      <sheetData sheetId="2286">
        <row r="1">
          <cell r="J1">
            <v>1.7453292519943295E-2</v>
          </cell>
        </row>
      </sheetData>
      <sheetData sheetId="2287">
        <row r="1">
          <cell r="J1">
            <v>1.7453292519943295E-2</v>
          </cell>
        </row>
      </sheetData>
      <sheetData sheetId="2288">
        <row r="1">
          <cell r="J1">
            <v>1.7453292519943295E-2</v>
          </cell>
        </row>
      </sheetData>
      <sheetData sheetId="2289">
        <row r="1">
          <cell r="J1">
            <v>1.7453292519943295E-2</v>
          </cell>
        </row>
      </sheetData>
      <sheetData sheetId="2290">
        <row r="1">
          <cell r="J1">
            <v>1.7453292519943295E-2</v>
          </cell>
        </row>
      </sheetData>
      <sheetData sheetId="2291">
        <row r="1">
          <cell r="J1">
            <v>1.7453292519943295E-2</v>
          </cell>
        </row>
      </sheetData>
      <sheetData sheetId="2292">
        <row r="1">
          <cell r="J1">
            <v>1.7453292519943295E-2</v>
          </cell>
        </row>
      </sheetData>
      <sheetData sheetId="2293">
        <row r="1">
          <cell r="J1">
            <v>1.7453292519943295E-2</v>
          </cell>
        </row>
      </sheetData>
      <sheetData sheetId="2294">
        <row r="1">
          <cell r="J1">
            <v>1.7453292519943295E-2</v>
          </cell>
        </row>
      </sheetData>
      <sheetData sheetId="2295">
        <row r="1">
          <cell r="J1">
            <v>1.7453292519943295E-2</v>
          </cell>
        </row>
      </sheetData>
      <sheetData sheetId="2296">
        <row r="1">
          <cell r="J1">
            <v>1.7453292519943295E-2</v>
          </cell>
        </row>
      </sheetData>
      <sheetData sheetId="2297">
        <row r="1">
          <cell r="J1">
            <v>1.7453292519943295E-2</v>
          </cell>
        </row>
      </sheetData>
      <sheetData sheetId="2298">
        <row r="1">
          <cell r="J1">
            <v>1.7453292519943295E-2</v>
          </cell>
        </row>
      </sheetData>
      <sheetData sheetId="2299">
        <row r="1">
          <cell r="J1">
            <v>1.7453292519943295E-2</v>
          </cell>
        </row>
      </sheetData>
      <sheetData sheetId="2300">
        <row r="1">
          <cell r="J1">
            <v>1.7453292519943295E-2</v>
          </cell>
        </row>
      </sheetData>
      <sheetData sheetId="2301">
        <row r="1">
          <cell r="J1">
            <v>1.7453292519943295E-2</v>
          </cell>
        </row>
      </sheetData>
      <sheetData sheetId="2302">
        <row r="1">
          <cell r="J1">
            <v>1.7453292519943295E-2</v>
          </cell>
        </row>
      </sheetData>
      <sheetData sheetId="2303">
        <row r="1">
          <cell r="J1">
            <v>1.7453292519943295E-2</v>
          </cell>
        </row>
      </sheetData>
      <sheetData sheetId="2304">
        <row r="1">
          <cell r="J1">
            <v>1.7453292519943295E-2</v>
          </cell>
        </row>
      </sheetData>
      <sheetData sheetId="2305">
        <row r="1">
          <cell r="J1">
            <v>1.7453292519943295E-2</v>
          </cell>
        </row>
      </sheetData>
      <sheetData sheetId="2306">
        <row r="1">
          <cell r="J1">
            <v>1.7453292519943295E-2</v>
          </cell>
        </row>
      </sheetData>
      <sheetData sheetId="2307">
        <row r="1">
          <cell r="J1">
            <v>1.7453292519943295E-2</v>
          </cell>
        </row>
      </sheetData>
      <sheetData sheetId="2308">
        <row r="1">
          <cell r="J1">
            <v>1.7453292519943295E-2</v>
          </cell>
        </row>
      </sheetData>
      <sheetData sheetId="2309">
        <row r="1">
          <cell r="J1">
            <v>1.7453292519943295E-2</v>
          </cell>
        </row>
      </sheetData>
      <sheetData sheetId="2310">
        <row r="1">
          <cell r="J1">
            <v>1.7453292519943295E-2</v>
          </cell>
        </row>
      </sheetData>
      <sheetData sheetId="2311">
        <row r="1">
          <cell r="J1">
            <v>1.7453292519943295E-2</v>
          </cell>
        </row>
      </sheetData>
      <sheetData sheetId="2312">
        <row r="1">
          <cell r="J1">
            <v>1.7453292519943295E-2</v>
          </cell>
        </row>
      </sheetData>
      <sheetData sheetId="2313">
        <row r="1">
          <cell r="J1">
            <v>1.7453292519943295E-2</v>
          </cell>
        </row>
      </sheetData>
      <sheetData sheetId="2314">
        <row r="1">
          <cell r="J1">
            <v>1.7453292519943295E-2</v>
          </cell>
        </row>
      </sheetData>
      <sheetData sheetId="2315">
        <row r="1">
          <cell r="J1">
            <v>1.7453292519943295E-2</v>
          </cell>
        </row>
      </sheetData>
      <sheetData sheetId="2316">
        <row r="1">
          <cell r="J1">
            <v>1.7453292519943295E-2</v>
          </cell>
        </row>
      </sheetData>
      <sheetData sheetId="2317">
        <row r="1">
          <cell r="J1">
            <v>1.7453292519943295E-2</v>
          </cell>
        </row>
      </sheetData>
      <sheetData sheetId="2318">
        <row r="1">
          <cell r="J1">
            <v>1.7453292519943295E-2</v>
          </cell>
        </row>
      </sheetData>
      <sheetData sheetId="2319">
        <row r="1">
          <cell r="J1">
            <v>1.7453292519943295E-2</v>
          </cell>
        </row>
      </sheetData>
      <sheetData sheetId="2320">
        <row r="1">
          <cell r="J1">
            <v>1.7453292519943295E-2</v>
          </cell>
        </row>
      </sheetData>
      <sheetData sheetId="2321">
        <row r="1">
          <cell r="J1">
            <v>1.7453292519943295E-2</v>
          </cell>
        </row>
      </sheetData>
      <sheetData sheetId="2322">
        <row r="1">
          <cell r="J1">
            <v>1.7453292519943295E-2</v>
          </cell>
        </row>
      </sheetData>
      <sheetData sheetId="2323">
        <row r="1">
          <cell r="J1">
            <v>1.7453292519943295E-2</v>
          </cell>
        </row>
      </sheetData>
      <sheetData sheetId="2324">
        <row r="1">
          <cell r="J1">
            <v>1.7453292519943295E-2</v>
          </cell>
        </row>
      </sheetData>
      <sheetData sheetId="2325">
        <row r="1">
          <cell r="J1">
            <v>1.7453292519943295E-2</v>
          </cell>
        </row>
      </sheetData>
      <sheetData sheetId="2326">
        <row r="1">
          <cell r="J1">
            <v>1.7453292519943295E-2</v>
          </cell>
        </row>
      </sheetData>
      <sheetData sheetId="2327">
        <row r="1">
          <cell r="J1">
            <v>1.7453292519943295E-2</v>
          </cell>
        </row>
      </sheetData>
      <sheetData sheetId="2328">
        <row r="1">
          <cell r="J1">
            <v>1.7453292519943295E-2</v>
          </cell>
        </row>
      </sheetData>
      <sheetData sheetId="2329">
        <row r="1">
          <cell r="J1">
            <v>1.7453292519943295E-2</v>
          </cell>
        </row>
      </sheetData>
      <sheetData sheetId="2330">
        <row r="1">
          <cell r="J1">
            <v>1.7453292519943295E-2</v>
          </cell>
        </row>
      </sheetData>
      <sheetData sheetId="2331">
        <row r="1">
          <cell r="J1">
            <v>1.7453292519943295E-2</v>
          </cell>
        </row>
      </sheetData>
      <sheetData sheetId="2332">
        <row r="1">
          <cell r="J1">
            <v>1.7453292519943295E-2</v>
          </cell>
        </row>
      </sheetData>
      <sheetData sheetId="2333">
        <row r="1">
          <cell r="J1">
            <v>1.7453292519943295E-2</v>
          </cell>
        </row>
      </sheetData>
      <sheetData sheetId="2334">
        <row r="1">
          <cell r="J1">
            <v>1.7453292519943295E-2</v>
          </cell>
        </row>
      </sheetData>
      <sheetData sheetId="2335">
        <row r="1">
          <cell r="J1">
            <v>1.7453292519943295E-2</v>
          </cell>
        </row>
      </sheetData>
      <sheetData sheetId="2336">
        <row r="1">
          <cell r="J1">
            <v>1.7453292519943295E-2</v>
          </cell>
        </row>
      </sheetData>
      <sheetData sheetId="2337">
        <row r="1">
          <cell r="J1">
            <v>1.7453292519943295E-2</v>
          </cell>
        </row>
      </sheetData>
      <sheetData sheetId="2338">
        <row r="1">
          <cell r="J1">
            <v>1.7453292519943295E-2</v>
          </cell>
        </row>
      </sheetData>
      <sheetData sheetId="2339">
        <row r="1">
          <cell r="J1">
            <v>1.7453292519943295E-2</v>
          </cell>
        </row>
      </sheetData>
      <sheetData sheetId="2340">
        <row r="1">
          <cell r="J1">
            <v>1.7453292519943295E-2</v>
          </cell>
        </row>
      </sheetData>
      <sheetData sheetId="2341">
        <row r="1">
          <cell r="J1">
            <v>1.7453292519943295E-2</v>
          </cell>
        </row>
      </sheetData>
      <sheetData sheetId="2342">
        <row r="1">
          <cell r="J1">
            <v>1.7453292519943295E-2</v>
          </cell>
        </row>
      </sheetData>
      <sheetData sheetId="2343">
        <row r="1">
          <cell r="J1">
            <v>1.7453292519943295E-2</v>
          </cell>
        </row>
      </sheetData>
      <sheetData sheetId="2344">
        <row r="1">
          <cell r="J1">
            <v>1.7453292519943295E-2</v>
          </cell>
        </row>
      </sheetData>
      <sheetData sheetId="2345">
        <row r="1">
          <cell r="J1">
            <v>1.7453292519943295E-2</v>
          </cell>
        </row>
      </sheetData>
      <sheetData sheetId="2346">
        <row r="1">
          <cell r="J1">
            <v>1.7453292519943295E-2</v>
          </cell>
        </row>
      </sheetData>
      <sheetData sheetId="2347">
        <row r="1">
          <cell r="J1">
            <v>1.7453292519943295E-2</v>
          </cell>
        </row>
      </sheetData>
      <sheetData sheetId="2348">
        <row r="1">
          <cell r="J1">
            <v>1.7453292519943295E-2</v>
          </cell>
        </row>
      </sheetData>
      <sheetData sheetId="2349">
        <row r="1">
          <cell r="J1">
            <v>1.7453292519943295E-2</v>
          </cell>
        </row>
      </sheetData>
      <sheetData sheetId="2350">
        <row r="1">
          <cell r="J1">
            <v>1.7453292519943295E-2</v>
          </cell>
        </row>
      </sheetData>
      <sheetData sheetId="2351">
        <row r="1">
          <cell r="J1">
            <v>1.7453292519943295E-2</v>
          </cell>
        </row>
      </sheetData>
      <sheetData sheetId="2352">
        <row r="1">
          <cell r="J1">
            <v>1.7453292519943295E-2</v>
          </cell>
        </row>
      </sheetData>
      <sheetData sheetId="2353">
        <row r="1">
          <cell r="J1">
            <v>1.7453292519943295E-2</v>
          </cell>
        </row>
      </sheetData>
      <sheetData sheetId="2354">
        <row r="1">
          <cell r="J1">
            <v>1.7453292519943295E-2</v>
          </cell>
        </row>
      </sheetData>
      <sheetData sheetId="2355">
        <row r="1">
          <cell r="J1">
            <v>1.7453292519943295E-2</v>
          </cell>
        </row>
      </sheetData>
      <sheetData sheetId="2356">
        <row r="1">
          <cell r="J1">
            <v>1.7453292519943295E-2</v>
          </cell>
        </row>
      </sheetData>
      <sheetData sheetId="2357">
        <row r="1">
          <cell r="J1">
            <v>1.7453292519943295E-2</v>
          </cell>
        </row>
      </sheetData>
      <sheetData sheetId="2358">
        <row r="1">
          <cell r="J1">
            <v>1.7453292519943295E-2</v>
          </cell>
        </row>
      </sheetData>
      <sheetData sheetId="2359">
        <row r="1">
          <cell r="J1">
            <v>1.7453292519943295E-2</v>
          </cell>
        </row>
      </sheetData>
      <sheetData sheetId="2360">
        <row r="1">
          <cell r="J1">
            <v>1.7453292519943295E-2</v>
          </cell>
        </row>
      </sheetData>
      <sheetData sheetId="2361">
        <row r="1">
          <cell r="J1">
            <v>1.7453292519943295E-2</v>
          </cell>
        </row>
      </sheetData>
      <sheetData sheetId="2362">
        <row r="1">
          <cell r="J1">
            <v>1.7453292519943295E-2</v>
          </cell>
        </row>
      </sheetData>
      <sheetData sheetId="2363">
        <row r="1">
          <cell r="J1">
            <v>1.7453292519943295E-2</v>
          </cell>
        </row>
      </sheetData>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ow r="1">
          <cell r="J1">
            <v>1.7453292519943295E-2</v>
          </cell>
        </row>
      </sheetData>
      <sheetData sheetId="2459">
        <row r="1">
          <cell r="J1">
            <v>1.7453292519943295E-2</v>
          </cell>
        </row>
      </sheetData>
      <sheetData sheetId="2460">
        <row r="1">
          <cell r="J1">
            <v>1.7453292519943295E-2</v>
          </cell>
        </row>
      </sheetData>
      <sheetData sheetId="2461">
        <row r="1">
          <cell r="J1">
            <v>1.7453292519943295E-2</v>
          </cell>
        </row>
      </sheetData>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ow r="1">
          <cell r="J1">
            <v>1.7453292519943295E-2</v>
          </cell>
        </row>
      </sheetData>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ow r="1">
          <cell r="J1">
            <v>1.7453292519943295E-2</v>
          </cell>
        </row>
      </sheetData>
      <sheetData sheetId="2563">
        <row r="1">
          <cell r="J1">
            <v>1.7453292519943295E-2</v>
          </cell>
        </row>
      </sheetData>
      <sheetData sheetId="2564">
        <row r="1">
          <cell r="J1">
            <v>1.7453292519943295E-2</v>
          </cell>
        </row>
      </sheetData>
      <sheetData sheetId="2565">
        <row r="1">
          <cell r="J1">
            <v>1.7453292519943295E-2</v>
          </cell>
        </row>
      </sheetData>
      <sheetData sheetId="2566" refreshError="1"/>
      <sheetData sheetId="2567" refreshError="1"/>
      <sheetData sheetId="2568" refreshError="1"/>
      <sheetData sheetId="2569" refreshError="1"/>
      <sheetData sheetId="2570" refreshError="1"/>
      <sheetData sheetId="2571" refreshError="1"/>
      <sheetData sheetId="2572" refreshError="1"/>
      <sheetData sheetId="2573">
        <row r="1">
          <cell r="J1">
            <v>1.7453292519943295E-2</v>
          </cell>
        </row>
      </sheetData>
      <sheetData sheetId="2574">
        <row r="1">
          <cell r="J1">
            <v>1.7453292519943295E-2</v>
          </cell>
        </row>
      </sheetData>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ow r="1">
          <cell r="J1">
            <v>1.7453292519943295E-2</v>
          </cell>
        </row>
      </sheetData>
      <sheetData sheetId="2585" refreshError="1"/>
      <sheetData sheetId="2586">
        <row r="1">
          <cell r="J1">
            <v>1.7453292519943295E-2</v>
          </cell>
        </row>
      </sheetData>
      <sheetData sheetId="2587" refreshError="1"/>
      <sheetData sheetId="2588" refreshError="1"/>
      <sheetData sheetId="2589" refreshError="1"/>
      <sheetData sheetId="2590">
        <row r="1">
          <cell r="J1">
            <v>1.7453292519943295E-2</v>
          </cell>
        </row>
      </sheetData>
      <sheetData sheetId="2591">
        <row r="1">
          <cell r="J1">
            <v>1.7453292519943295E-2</v>
          </cell>
        </row>
      </sheetData>
      <sheetData sheetId="2592" refreshError="1"/>
      <sheetData sheetId="2593">
        <row r="1">
          <cell r="J1">
            <v>1.7453292519943295E-2</v>
          </cell>
        </row>
      </sheetData>
      <sheetData sheetId="2594">
        <row r="1">
          <cell r="J1">
            <v>1.7453292519943295E-2</v>
          </cell>
        </row>
      </sheetData>
      <sheetData sheetId="2595">
        <row r="1">
          <cell r="J1">
            <v>1.7453292519943295E-2</v>
          </cell>
        </row>
      </sheetData>
      <sheetData sheetId="2596">
        <row r="1">
          <cell r="J1">
            <v>1.7453292519943295E-2</v>
          </cell>
        </row>
      </sheetData>
      <sheetData sheetId="2597">
        <row r="1">
          <cell r="J1">
            <v>1.7453292519943295E-2</v>
          </cell>
        </row>
      </sheetData>
      <sheetData sheetId="2598">
        <row r="1">
          <cell r="J1">
            <v>1.7453292519943295E-2</v>
          </cell>
        </row>
      </sheetData>
      <sheetData sheetId="2599">
        <row r="1">
          <cell r="J1">
            <v>1.7453292519943295E-2</v>
          </cell>
        </row>
      </sheetData>
      <sheetData sheetId="2600">
        <row r="1">
          <cell r="J1">
            <v>1.7453292519943295E-2</v>
          </cell>
        </row>
      </sheetData>
      <sheetData sheetId="2601">
        <row r="1">
          <cell r="J1">
            <v>1.7453292519943295E-2</v>
          </cell>
        </row>
      </sheetData>
      <sheetData sheetId="2602">
        <row r="1">
          <cell r="J1">
            <v>1.7453292519943295E-2</v>
          </cell>
        </row>
      </sheetData>
      <sheetData sheetId="2603">
        <row r="1">
          <cell r="J1">
            <v>1.7453292519943295E-2</v>
          </cell>
        </row>
      </sheetData>
      <sheetData sheetId="2604">
        <row r="1">
          <cell r="J1">
            <v>1.7453292519943295E-2</v>
          </cell>
        </row>
      </sheetData>
      <sheetData sheetId="2605">
        <row r="1">
          <cell r="J1">
            <v>1.7453292519943295E-2</v>
          </cell>
        </row>
      </sheetData>
      <sheetData sheetId="2606">
        <row r="1">
          <cell r="J1">
            <v>1.7453292519943295E-2</v>
          </cell>
        </row>
      </sheetData>
      <sheetData sheetId="2607">
        <row r="1">
          <cell r="J1">
            <v>1.7453292519943295E-2</v>
          </cell>
        </row>
      </sheetData>
      <sheetData sheetId="2608">
        <row r="1">
          <cell r="J1">
            <v>1.7453292519943295E-2</v>
          </cell>
        </row>
      </sheetData>
      <sheetData sheetId="2609">
        <row r="1">
          <cell r="J1">
            <v>1.7453292519943295E-2</v>
          </cell>
        </row>
      </sheetData>
      <sheetData sheetId="2610">
        <row r="1">
          <cell r="J1">
            <v>1.7453292519943295E-2</v>
          </cell>
        </row>
      </sheetData>
      <sheetData sheetId="2611">
        <row r="1">
          <cell r="J1">
            <v>1.7453292519943295E-2</v>
          </cell>
        </row>
      </sheetData>
      <sheetData sheetId="2612">
        <row r="1">
          <cell r="J1">
            <v>1.7453292519943295E-2</v>
          </cell>
        </row>
      </sheetData>
      <sheetData sheetId="2613">
        <row r="1">
          <cell r="J1">
            <v>1.7453292519943295E-2</v>
          </cell>
        </row>
      </sheetData>
      <sheetData sheetId="2614">
        <row r="1">
          <cell r="J1">
            <v>1.7453292519943295E-2</v>
          </cell>
        </row>
      </sheetData>
      <sheetData sheetId="2615">
        <row r="1">
          <cell r="J1">
            <v>1.7453292519943295E-2</v>
          </cell>
        </row>
      </sheetData>
      <sheetData sheetId="2616">
        <row r="1">
          <cell r="J1">
            <v>1.7453292519943295E-2</v>
          </cell>
        </row>
      </sheetData>
      <sheetData sheetId="2617">
        <row r="1">
          <cell r="J1">
            <v>1.7453292519943295E-2</v>
          </cell>
        </row>
      </sheetData>
      <sheetData sheetId="2618">
        <row r="1">
          <cell r="J1">
            <v>1.7453292519943295E-2</v>
          </cell>
        </row>
      </sheetData>
      <sheetData sheetId="2619">
        <row r="1">
          <cell r="J1">
            <v>1.7453292519943295E-2</v>
          </cell>
        </row>
      </sheetData>
      <sheetData sheetId="2620">
        <row r="1">
          <cell r="J1">
            <v>1.7453292519943295E-2</v>
          </cell>
        </row>
      </sheetData>
      <sheetData sheetId="2621">
        <row r="1">
          <cell r="J1">
            <v>1.7453292519943295E-2</v>
          </cell>
        </row>
      </sheetData>
      <sheetData sheetId="2622">
        <row r="1">
          <cell r="J1">
            <v>1.7453292519943295E-2</v>
          </cell>
        </row>
      </sheetData>
      <sheetData sheetId="2623">
        <row r="1">
          <cell r="J1">
            <v>1.7453292519943295E-2</v>
          </cell>
        </row>
      </sheetData>
      <sheetData sheetId="2624">
        <row r="1">
          <cell r="J1">
            <v>1.7453292519943295E-2</v>
          </cell>
        </row>
      </sheetData>
      <sheetData sheetId="2625">
        <row r="1">
          <cell r="J1">
            <v>1.7453292519943295E-2</v>
          </cell>
        </row>
      </sheetData>
      <sheetData sheetId="2626">
        <row r="1">
          <cell r="J1">
            <v>1.7453292519943295E-2</v>
          </cell>
        </row>
      </sheetData>
      <sheetData sheetId="2627">
        <row r="1">
          <cell r="J1">
            <v>1.7453292519943295E-2</v>
          </cell>
        </row>
      </sheetData>
      <sheetData sheetId="2628">
        <row r="1">
          <cell r="J1">
            <v>1.7453292519943295E-2</v>
          </cell>
        </row>
      </sheetData>
      <sheetData sheetId="2629">
        <row r="1">
          <cell r="J1">
            <v>1.7453292519943295E-2</v>
          </cell>
        </row>
      </sheetData>
      <sheetData sheetId="2630">
        <row r="1">
          <cell r="J1">
            <v>1.7453292519943295E-2</v>
          </cell>
        </row>
      </sheetData>
      <sheetData sheetId="2631">
        <row r="1">
          <cell r="J1">
            <v>1.7453292519943295E-2</v>
          </cell>
        </row>
      </sheetData>
      <sheetData sheetId="2632">
        <row r="1">
          <cell r="J1">
            <v>1.7453292519943295E-2</v>
          </cell>
        </row>
      </sheetData>
      <sheetData sheetId="2633">
        <row r="1">
          <cell r="J1">
            <v>1.7453292519943295E-2</v>
          </cell>
        </row>
      </sheetData>
      <sheetData sheetId="2634">
        <row r="1">
          <cell r="J1">
            <v>1.7453292519943295E-2</v>
          </cell>
        </row>
      </sheetData>
      <sheetData sheetId="2635">
        <row r="1">
          <cell r="J1">
            <v>1.7453292519943295E-2</v>
          </cell>
        </row>
      </sheetData>
      <sheetData sheetId="2636">
        <row r="1">
          <cell r="J1">
            <v>1.7453292519943295E-2</v>
          </cell>
        </row>
      </sheetData>
      <sheetData sheetId="2637">
        <row r="1">
          <cell r="J1">
            <v>1.7453292519943295E-2</v>
          </cell>
        </row>
      </sheetData>
      <sheetData sheetId="2638">
        <row r="1">
          <cell r="J1">
            <v>1.7453292519943295E-2</v>
          </cell>
        </row>
      </sheetData>
      <sheetData sheetId="2639">
        <row r="1">
          <cell r="J1">
            <v>1.7453292519943295E-2</v>
          </cell>
        </row>
      </sheetData>
      <sheetData sheetId="2640">
        <row r="1">
          <cell r="J1">
            <v>1.7453292519943295E-2</v>
          </cell>
        </row>
      </sheetData>
      <sheetData sheetId="2641">
        <row r="1">
          <cell r="J1">
            <v>1.7453292519943295E-2</v>
          </cell>
        </row>
      </sheetData>
      <sheetData sheetId="2642">
        <row r="1">
          <cell r="J1">
            <v>1.7453292519943295E-2</v>
          </cell>
        </row>
      </sheetData>
      <sheetData sheetId="2643">
        <row r="1">
          <cell r="J1">
            <v>1.7453292519943295E-2</v>
          </cell>
        </row>
      </sheetData>
      <sheetData sheetId="2644">
        <row r="1">
          <cell r="J1">
            <v>1.7453292519943295E-2</v>
          </cell>
        </row>
      </sheetData>
      <sheetData sheetId="2645">
        <row r="1">
          <cell r="J1">
            <v>1.7453292519943295E-2</v>
          </cell>
        </row>
      </sheetData>
      <sheetData sheetId="2646">
        <row r="1">
          <cell r="J1">
            <v>1.7453292519943295E-2</v>
          </cell>
        </row>
      </sheetData>
      <sheetData sheetId="2647">
        <row r="1">
          <cell r="J1">
            <v>1.7453292519943295E-2</v>
          </cell>
        </row>
      </sheetData>
      <sheetData sheetId="2648">
        <row r="1">
          <cell r="J1">
            <v>1.7453292519943295E-2</v>
          </cell>
        </row>
      </sheetData>
      <sheetData sheetId="2649">
        <row r="1">
          <cell r="J1">
            <v>1.7453292519943295E-2</v>
          </cell>
        </row>
      </sheetData>
      <sheetData sheetId="2650">
        <row r="1">
          <cell r="J1">
            <v>1.7453292519943295E-2</v>
          </cell>
        </row>
      </sheetData>
      <sheetData sheetId="2651">
        <row r="1">
          <cell r="J1">
            <v>1.7453292519943295E-2</v>
          </cell>
        </row>
      </sheetData>
      <sheetData sheetId="2652">
        <row r="1">
          <cell r="J1">
            <v>1.7453292519943295E-2</v>
          </cell>
        </row>
      </sheetData>
      <sheetData sheetId="2653">
        <row r="1">
          <cell r="J1">
            <v>1.7453292519943295E-2</v>
          </cell>
        </row>
      </sheetData>
      <sheetData sheetId="2654">
        <row r="1">
          <cell r="J1">
            <v>1.7453292519943295E-2</v>
          </cell>
        </row>
      </sheetData>
      <sheetData sheetId="2655">
        <row r="1">
          <cell r="J1">
            <v>1.7453292519943295E-2</v>
          </cell>
        </row>
      </sheetData>
      <sheetData sheetId="2656">
        <row r="1">
          <cell r="J1">
            <v>1.7453292519943295E-2</v>
          </cell>
        </row>
      </sheetData>
      <sheetData sheetId="2657">
        <row r="1">
          <cell r="J1">
            <v>1.7453292519943295E-2</v>
          </cell>
        </row>
      </sheetData>
      <sheetData sheetId="2658">
        <row r="1">
          <cell r="J1">
            <v>1.7453292519943295E-2</v>
          </cell>
        </row>
      </sheetData>
      <sheetData sheetId="2659">
        <row r="1">
          <cell r="J1">
            <v>1.7453292519943295E-2</v>
          </cell>
        </row>
      </sheetData>
      <sheetData sheetId="2660">
        <row r="1">
          <cell r="J1">
            <v>1.7453292519943295E-2</v>
          </cell>
        </row>
      </sheetData>
      <sheetData sheetId="2661">
        <row r="1">
          <cell r="J1">
            <v>1.7453292519943295E-2</v>
          </cell>
        </row>
      </sheetData>
      <sheetData sheetId="2662">
        <row r="1">
          <cell r="J1">
            <v>1.7453292519943295E-2</v>
          </cell>
        </row>
      </sheetData>
      <sheetData sheetId="2663">
        <row r="1">
          <cell r="J1">
            <v>1.7453292519943295E-2</v>
          </cell>
        </row>
      </sheetData>
      <sheetData sheetId="2664">
        <row r="1">
          <cell r="J1">
            <v>1.7453292519943295E-2</v>
          </cell>
        </row>
      </sheetData>
      <sheetData sheetId="2665">
        <row r="1">
          <cell r="J1">
            <v>1.7453292519943295E-2</v>
          </cell>
        </row>
      </sheetData>
      <sheetData sheetId="2666">
        <row r="1">
          <cell r="J1">
            <v>1.7453292519943295E-2</v>
          </cell>
        </row>
      </sheetData>
      <sheetData sheetId="2667">
        <row r="1">
          <cell r="J1">
            <v>1.7453292519943295E-2</v>
          </cell>
        </row>
      </sheetData>
      <sheetData sheetId="2668">
        <row r="1">
          <cell r="J1">
            <v>1.7453292519943295E-2</v>
          </cell>
        </row>
      </sheetData>
      <sheetData sheetId="2669">
        <row r="1">
          <cell r="J1">
            <v>1.7453292519943295E-2</v>
          </cell>
        </row>
      </sheetData>
      <sheetData sheetId="2670">
        <row r="1">
          <cell r="J1">
            <v>1.7453292519943295E-2</v>
          </cell>
        </row>
      </sheetData>
      <sheetData sheetId="2671">
        <row r="1">
          <cell r="J1">
            <v>1.7453292519943295E-2</v>
          </cell>
        </row>
      </sheetData>
      <sheetData sheetId="2672">
        <row r="1">
          <cell r="J1">
            <v>1.7453292519943295E-2</v>
          </cell>
        </row>
      </sheetData>
      <sheetData sheetId="2673">
        <row r="1">
          <cell r="J1">
            <v>1.7453292519943295E-2</v>
          </cell>
        </row>
      </sheetData>
      <sheetData sheetId="2674">
        <row r="1">
          <cell r="J1">
            <v>1.7453292519943295E-2</v>
          </cell>
        </row>
      </sheetData>
      <sheetData sheetId="2675">
        <row r="1">
          <cell r="J1">
            <v>1.7453292519943295E-2</v>
          </cell>
        </row>
      </sheetData>
      <sheetData sheetId="2676">
        <row r="1">
          <cell r="J1">
            <v>1.7453292519943295E-2</v>
          </cell>
        </row>
      </sheetData>
      <sheetData sheetId="2677">
        <row r="1">
          <cell r="J1">
            <v>1.7453292519943295E-2</v>
          </cell>
        </row>
      </sheetData>
      <sheetData sheetId="2678">
        <row r="1">
          <cell r="J1">
            <v>1.7453292519943295E-2</v>
          </cell>
        </row>
      </sheetData>
      <sheetData sheetId="2679">
        <row r="1">
          <cell r="J1">
            <v>1.7453292519943295E-2</v>
          </cell>
        </row>
      </sheetData>
      <sheetData sheetId="2680">
        <row r="1">
          <cell r="J1">
            <v>1.7453292519943295E-2</v>
          </cell>
        </row>
      </sheetData>
      <sheetData sheetId="2681">
        <row r="1">
          <cell r="J1">
            <v>1.7453292519943295E-2</v>
          </cell>
        </row>
      </sheetData>
      <sheetData sheetId="2682">
        <row r="1">
          <cell r="J1">
            <v>1.7453292519943295E-2</v>
          </cell>
        </row>
      </sheetData>
      <sheetData sheetId="2683">
        <row r="1">
          <cell r="J1">
            <v>1.7453292519943295E-2</v>
          </cell>
        </row>
      </sheetData>
      <sheetData sheetId="2684">
        <row r="1">
          <cell r="J1">
            <v>1.7453292519943295E-2</v>
          </cell>
        </row>
      </sheetData>
      <sheetData sheetId="2685">
        <row r="1">
          <cell r="J1">
            <v>1.7453292519943295E-2</v>
          </cell>
        </row>
      </sheetData>
      <sheetData sheetId="2686">
        <row r="1">
          <cell r="J1">
            <v>1.7453292519943295E-2</v>
          </cell>
        </row>
      </sheetData>
      <sheetData sheetId="2687">
        <row r="1">
          <cell r="J1">
            <v>1.7453292519943295E-2</v>
          </cell>
        </row>
      </sheetData>
      <sheetData sheetId="2688">
        <row r="1">
          <cell r="J1">
            <v>1.7453292519943295E-2</v>
          </cell>
        </row>
      </sheetData>
      <sheetData sheetId="2689">
        <row r="1">
          <cell r="J1">
            <v>1.7453292519943295E-2</v>
          </cell>
        </row>
      </sheetData>
      <sheetData sheetId="2690">
        <row r="1">
          <cell r="J1">
            <v>1.7453292519943295E-2</v>
          </cell>
        </row>
      </sheetData>
      <sheetData sheetId="2691">
        <row r="1">
          <cell r="J1">
            <v>1.7453292519943295E-2</v>
          </cell>
        </row>
      </sheetData>
      <sheetData sheetId="2692">
        <row r="1">
          <cell r="J1">
            <v>1.7453292519943295E-2</v>
          </cell>
        </row>
      </sheetData>
      <sheetData sheetId="2693">
        <row r="1">
          <cell r="J1">
            <v>1.7453292519943295E-2</v>
          </cell>
        </row>
      </sheetData>
      <sheetData sheetId="2694">
        <row r="1">
          <cell r="J1">
            <v>1.7453292519943295E-2</v>
          </cell>
        </row>
      </sheetData>
      <sheetData sheetId="2695">
        <row r="1">
          <cell r="J1">
            <v>1.7453292519943295E-2</v>
          </cell>
        </row>
      </sheetData>
      <sheetData sheetId="2696">
        <row r="1">
          <cell r="J1">
            <v>1.7453292519943295E-2</v>
          </cell>
        </row>
      </sheetData>
      <sheetData sheetId="2697">
        <row r="1">
          <cell r="J1">
            <v>1.7453292519943295E-2</v>
          </cell>
        </row>
      </sheetData>
      <sheetData sheetId="2698">
        <row r="1">
          <cell r="J1">
            <v>1.7453292519943295E-2</v>
          </cell>
        </row>
      </sheetData>
      <sheetData sheetId="2699">
        <row r="1">
          <cell r="J1">
            <v>1.7453292519943295E-2</v>
          </cell>
        </row>
      </sheetData>
      <sheetData sheetId="2700">
        <row r="1">
          <cell r="J1">
            <v>1.7453292519943295E-2</v>
          </cell>
        </row>
      </sheetData>
      <sheetData sheetId="2701">
        <row r="1">
          <cell r="J1">
            <v>1.7453292519943295E-2</v>
          </cell>
        </row>
      </sheetData>
      <sheetData sheetId="2702">
        <row r="1">
          <cell r="J1">
            <v>1.7453292519943295E-2</v>
          </cell>
        </row>
      </sheetData>
      <sheetData sheetId="2703">
        <row r="1">
          <cell r="J1">
            <v>1.7453292519943295E-2</v>
          </cell>
        </row>
      </sheetData>
      <sheetData sheetId="2704">
        <row r="1">
          <cell r="J1">
            <v>1.7453292519943295E-2</v>
          </cell>
        </row>
      </sheetData>
      <sheetData sheetId="2705">
        <row r="1">
          <cell r="J1">
            <v>1.7453292519943295E-2</v>
          </cell>
        </row>
      </sheetData>
      <sheetData sheetId="2706">
        <row r="1">
          <cell r="J1">
            <v>1.7453292519943295E-2</v>
          </cell>
        </row>
      </sheetData>
      <sheetData sheetId="2707">
        <row r="1">
          <cell r="J1">
            <v>1.7453292519943295E-2</v>
          </cell>
        </row>
      </sheetData>
      <sheetData sheetId="2708">
        <row r="1">
          <cell r="J1">
            <v>1.7453292519943295E-2</v>
          </cell>
        </row>
      </sheetData>
      <sheetData sheetId="2709">
        <row r="1">
          <cell r="J1">
            <v>1.7453292519943295E-2</v>
          </cell>
        </row>
      </sheetData>
      <sheetData sheetId="2710">
        <row r="1">
          <cell r="J1">
            <v>1.7453292519943295E-2</v>
          </cell>
        </row>
      </sheetData>
      <sheetData sheetId="2711">
        <row r="1">
          <cell r="J1">
            <v>1.7453292519943295E-2</v>
          </cell>
        </row>
      </sheetData>
      <sheetData sheetId="2712">
        <row r="1">
          <cell r="J1">
            <v>1.7453292519943295E-2</v>
          </cell>
        </row>
      </sheetData>
      <sheetData sheetId="2713">
        <row r="1">
          <cell r="J1">
            <v>1.7453292519943295E-2</v>
          </cell>
        </row>
      </sheetData>
      <sheetData sheetId="2714">
        <row r="1">
          <cell r="J1">
            <v>1.7453292519943295E-2</v>
          </cell>
        </row>
      </sheetData>
      <sheetData sheetId="2715">
        <row r="1">
          <cell r="J1">
            <v>1.7453292519943295E-2</v>
          </cell>
        </row>
      </sheetData>
      <sheetData sheetId="2716">
        <row r="1">
          <cell r="J1">
            <v>1.7453292519943295E-2</v>
          </cell>
        </row>
      </sheetData>
      <sheetData sheetId="2717">
        <row r="1">
          <cell r="J1">
            <v>1.7453292519943295E-2</v>
          </cell>
        </row>
      </sheetData>
      <sheetData sheetId="2718">
        <row r="1">
          <cell r="J1">
            <v>1.7453292519943295E-2</v>
          </cell>
        </row>
      </sheetData>
      <sheetData sheetId="2719">
        <row r="1">
          <cell r="J1">
            <v>1.7453292519943295E-2</v>
          </cell>
        </row>
      </sheetData>
      <sheetData sheetId="2720">
        <row r="1">
          <cell r="J1">
            <v>1.7453292519943295E-2</v>
          </cell>
        </row>
      </sheetData>
      <sheetData sheetId="2721">
        <row r="1">
          <cell r="J1">
            <v>1.7453292519943295E-2</v>
          </cell>
        </row>
      </sheetData>
      <sheetData sheetId="2722">
        <row r="1">
          <cell r="J1">
            <v>1.7453292519943295E-2</v>
          </cell>
        </row>
      </sheetData>
      <sheetData sheetId="2723">
        <row r="1">
          <cell r="J1">
            <v>1.7453292519943295E-2</v>
          </cell>
        </row>
      </sheetData>
      <sheetData sheetId="2724">
        <row r="1">
          <cell r="J1">
            <v>1.7453292519943295E-2</v>
          </cell>
        </row>
      </sheetData>
      <sheetData sheetId="2725">
        <row r="1">
          <cell r="J1">
            <v>1.7453292519943295E-2</v>
          </cell>
        </row>
      </sheetData>
      <sheetData sheetId="2726">
        <row r="1">
          <cell r="J1">
            <v>1.7453292519943295E-2</v>
          </cell>
        </row>
      </sheetData>
      <sheetData sheetId="2727">
        <row r="1">
          <cell r="J1">
            <v>1.7453292519943295E-2</v>
          </cell>
        </row>
      </sheetData>
      <sheetData sheetId="2728">
        <row r="1">
          <cell r="J1">
            <v>1.7453292519943295E-2</v>
          </cell>
        </row>
      </sheetData>
      <sheetData sheetId="2729">
        <row r="1">
          <cell r="J1">
            <v>1.7453292519943295E-2</v>
          </cell>
        </row>
      </sheetData>
      <sheetData sheetId="2730">
        <row r="1">
          <cell r="J1">
            <v>1.7453292519943295E-2</v>
          </cell>
        </row>
      </sheetData>
      <sheetData sheetId="2731">
        <row r="1">
          <cell r="J1">
            <v>1.7453292519943295E-2</v>
          </cell>
        </row>
      </sheetData>
      <sheetData sheetId="2732">
        <row r="1">
          <cell r="J1">
            <v>1.7453292519943295E-2</v>
          </cell>
        </row>
      </sheetData>
      <sheetData sheetId="2733">
        <row r="1">
          <cell r="J1">
            <v>1.7453292519943295E-2</v>
          </cell>
        </row>
      </sheetData>
      <sheetData sheetId="2734">
        <row r="1">
          <cell r="J1">
            <v>1.7453292519943295E-2</v>
          </cell>
        </row>
      </sheetData>
      <sheetData sheetId="2735">
        <row r="1">
          <cell r="J1">
            <v>1.7453292519943295E-2</v>
          </cell>
        </row>
      </sheetData>
      <sheetData sheetId="2736">
        <row r="1">
          <cell r="J1">
            <v>1.7453292519943295E-2</v>
          </cell>
        </row>
      </sheetData>
      <sheetData sheetId="2737">
        <row r="1">
          <cell r="J1">
            <v>1.7453292519943295E-2</v>
          </cell>
        </row>
      </sheetData>
      <sheetData sheetId="2738">
        <row r="1">
          <cell r="J1">
            <v>1.7453292519943295E-2</v>
          </cell>
        </row>
      </sheetData>
      <sheetData sheetId="2739">
        <row r="1">
          <cell r="J1">
            <v>1.7453292519943295E-2</v>
          </cell>
        </row>
      </sheetData>
      <sheetData sheetId="2740">
        <row r="1">
          <cell r="J1">
            <v>1.7453292519943295E-2</v>
          </cell>
        </row>
      </sheetData>
      <sheetData sheetId="2741">
        <row r="1">
          <cell r="J1">
            <v>1.7453292519943295E-2</v>
          </cell>
        </row>
      </sheetData>
      <sheetData sheetId="2742">
        <row r="1">
          <cell r="J1">
            <v>1.7453292519943295E-2</v>
          </cell>
        </row>
      </sheetData>
      <sheetData sheetId="2743">
        <row r="1">
          <cell r="J1">
            <v>1.7453292519943295E-2</v>
          </cell>
        </row>
      </sheetData>
      <sheetData sheetId="2744">
        <row r="1">
          <cell r="J1">
            <v>1.7453292519943295E-2</v>
          </cell>
        </row>
      </sheetData>
      <sheetData sheetId="2745">
        <row r="1">
          <cell r="J1">
            <v>1.7453292519943295E-2</v>
          </cell>
        </row>
      </sheetData>
      <sheetData sheetId="2746">
        <row r="1">
          <cell r="J1">
            <v>1.7453292519943295E-2</v>
          </cell>
        </row>
      </sheetData>
      <sheetData sheetId="2747">
        <row r="1">
          <cell r="J1">
            <v>1.7453292519943295E-2</v>
          </cell>
        </row>
      </sheetData>
      <sheetData sheetId="2748">
        <row r="1">
          <cell r="J1">
            <v>1.7453292519943295E-2</v>
          </cell>
        </row>
      </sheetData>
      <sheetData sheetId="2749">
        <row r="1">
          <cell r="J1">
            <v>1.7453292519943295E-2</v>
          </cell>
        </row>
      </sheetData>
      <sheetData sheetId="2750">
        <row r="1">
          <cell r="J1">
            <v>1.7453292519943295E-2</v>
          </cell>
        </row>
      </sheetData>
      <sheetData sheetId="2751">
        <row r="1">
          <cell r="J1">
            <v>1.7453292519943295E-2</v>
          </cell>
        </row>
      </sheetData>
      <sheetData sheetId="2752">
        <row r="1">
          <cell r="J1">
            <v>1.7453292519943295E-2</v>
          </cell>
        </row>
      </sheetData>
      <sheetData sheetId="2753">
        <row r="1">
          <cell r="J1">
            <v>1.7453292519943295E-2</v>
          </cell>
        </row>
      </sheetData>
      <sheetData sheetId="2754">
        <row r="1">
          <cell r="J1">
            <v>1.7453292519943295E-2</v>
          </cell>
        </row>
      </sheetData>
      <sheetData sheetId="2755">
        <row r="1">
          <cell r="J1">
            <v>1.7453292519943295E-2</v>
          </cell>
        </row>
      </sheetData>
      <sheetData sheetId="2756">
        <row r="1">
          <cell r="J1">
            <v>1.7453292519943295E-2</v>
          </cell>
        </row>
      </sheetData>
      <sheetData sheetId="2757">
        <row r="1">
          <cell r="J1">
            <v>1.7453292519943295E-2</v>
          </cell>
        </row>
      </sheetData>
      <sheetData sheetId="2758">
        <row r="1">
          <cell r="J1">
            <v>1.7453292519943295E-2</v>
          </cell>
        </row>
      </sheetData>
      <sheetData sheetId="2759">
        <row r="1">
          <cell r="J1">
            <v>1.7453292519943295E-2</v>
          </cell>
        </row>
      </sheetData>
      <sheetData sheetId="2760">
        <row r="1">
          <cell r="J1">
            <v>1.7453292519943295E-2</v>
          </cell>
        </row>
      </sheetData>
      <sheetData sheetId="2761">
        <row r="1">
          <cell r="J1">
            <v>1.7453292519943295E-2</v>
          </cell>
        </row>
      </sheetData>
      <sheetData sheetId="2762">
        <row r="1">
          <cell r="J1">
            <v>1.7453292519943295E-2</v>
          </cell>
        </row>
      </sheetData>
      <sheetData sheetId="2763">
        <row r="1">
          <cell r="J1">
            <v>1.7453292519943295E-2</v>
          </cell>
        </row>
      </sheetData>
      <sheetData sheetId="2764">
        <row r="1">
          <cell r="J1">
            <v>1.7453292519943295E-2</v>
          </cell>
        </row>
      </sheetData>
      <sheetData sheetId="2765">
        <row r="1">
          <cell r="J1">
            <v>1.7453292519943295E-2</v>
          </cell>
        </row>
      </sheetData>
      <sheetData sheetId="2766">
        <row r="1">
          <cell r="J1">
            <v>1.7453292519943295E-2</v>
          </cell>
        </row>
      </sheetData>
      <sheetData sheetId="2767">
        <row r="1">
          <cell r="J1">
            <v>1.7453292519943295E-2</v>
          </cell>
        </row>
      </sheetData>
      <sheetData sheetId="2768">
        <row r="1">
          <cell r="J1">
            <v>1.7453292519943295E-2</v>
          </cell>
        </row>
      </sheetData>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ow r="1">
          <cell r="J1">
            <v>1.7453292519943295E-2</v>
          </cell>
        </row>
      </sheetData>
      <sheetData sheetId="2784">
        <row r="1">
          <cell r="J1">
            <v>1.7453292519943295E-2</v>
          </cell>
        </row>
      </sheetData>
      <sheetData sheetId="2785" refreshError="1"/>
      <sheetData sheetId="2786" refreshError="1"/>
      <sheetData sheetId="2787" refreshError="1"/>
      <sheetData sheetId="2788">
        <row r="1">
          <cell r="J1">
            <v>1.7453292519943295E-2</v>
          </cell>
        </row>
      </sheetData>
      <sheetData sheetId="2789">
        <row r="1">
          <cell r="J1">
            <v>1.7453292519943295E-2</v>
          </cell>
        </row>
      </sheetData>
      <sheetData sheetId="2790">
        <row r="1">
          <cell r="J1">
            <v>1.7453292519943295E-2</v>
          </cell>
        </row>
      </sheetData>
      <sheetData sheetId="2791">
        <row r="1">
          <cell r="J1">
            <v>1.7453292519943295E-2</v>
          </cell>
        </row>
      </sheetData>
      <sheetData sheetId="2792">
        <row r="1">
          <cell r="J1">
            <v>1.7453292519943295E-2</v>
          </cell>
        </row>
      </sheetData>
      <sheetData sheetId="2793" refreshError="1"/>
      <sheetData sheetId="2794" refreshError="1"/>
      <sheetData sheetId="2795">
        <row r="1">
          <cell r="J1">
            <v>1.7453292519943295E-2</v>
          </cell>
        </row>
      </sheetData>
      <sheetData sheetId="2796" refreshError="1"/>
      <sheetData sheetId="2797">
        <row r="1">
          <cell r="J1">
            <v>1.7453292519943295E-2</v>
          </cell>
        </row>
      </sheetData>
      <sheetData sheetId="2798">
        <row r="1">
          <cell r="J1">
            <v>1.7453292519943295E-2</v>
          </cell>
        </row>
      </sheetData>
      <sheetData sheetId="2799">
        <row r="1">
          <cell r="J1">
            <v>1.7453292519943295E-2</v>
          </cell>
        </row>
      </sheetData>
      <sheetData sheetId="2800">
        <row r="1">
          <cell r="J1">
            <v>1.7453292519943295E-2</v>
          </cell>
        </row>
      </sheetData>
      <sheetData sheetId="2801" refreshError="1"/>
      <sheetData sheetId="2802">
        <row r="1">
          <cell r="J1">
            <v>1.7453292519943295E-2</v>
          </cell>
        </row>
      </sheetData>
      <sheetData sheetId="2803" refreshError="1"/>
      <sheetData sheetId="2804" refreshError="1"/>
      <sheetData sheetId="2805" refreshError="1"/>
      <sheetData sheetId="2806" refreshError="1"/>
      <sheetData sheetId="2807" refreshError="1"/>
      <sheetData sheetId="2808" refreshError="1"/>
      <sheetData sheetId="2809">
        <row r="1">
          <cell r="J1">
            <v>1.7453292519943295E-2</v>
          </cell>
        </row>
      </sheetData>
      <sheetData sheetId="2810">
        <row r="1">
          <cell r="J1">
            <v>1.7453292519943295E-2</v>
          </cell>
        </row>
      </sheetData>
      <sheetData sheetId="2811">
        <row r="1">
          <cell r="J1">
            <v>1.7453292519943295E-2</v>
          </cell>
        </row>
      </sheetData>
      <sheetData sheetId="2812">
        <row r="1">
          <cell r="J1">
            <v>1.7453292519943295E-2</v>
          </cell>
        </row>
      </sheetData>
      <sheetData sheetId="2813">
        <row r="1">
          <cell r="J1">
            <v>1.7453292519943295E-2</v>
          </cell>
        </row>
      </sheetData>
      <sheetData sheetId="2814">
        <row r="1">
          <cell r="J1">
            <v>1.7453292519943295E-2</v>
          </cell>
        </row>
      </sheetData>
      <sheetData sheetId="2815">
        <row r="1">
          <cell r="J1">
            <v>1.7453292519943295E-2</v>
          </cell>
        </row>
      </sheetData>
      <sheetData sheetId="2816">
        <row r="1">
          <cell r="J1">
            <v>1.7453292519943295E-2</v>
          </cell>
        </row>
      </sheetData>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ow r="1">
          <cell r="J1">
            <v>1.7453292519943295E-2</v>
          </cell>
        </row>
      </sheetData>
      <sheetData sheetId="2832">
        <row r="1">
          <cell r="J1">
            <v>1.7453292519943295E-2</v>
          </cell>
        </row>
      </sheetData>
      <sheetData sheetId="2833">
        <row r="1">
          <cell r="J1">
            <v>1.7453292519943295E-2</v>
          </cell>
        </row>
      </sheetData>
      <sheetData sheetId="2834">
        <row r="1">
          <cell r="J1">
            <v>1.7453292519943295E-2</v>
          </cell>
        </row>
      </sheetData>
      <sheetData sheetId="2835">
        <row r="1">
          <cell r="J1">
            <v>1.7453292519943295E-2</v>
          </cell>
        </row>
      </sheetData>
      <sheetData sheetId="2836">
        <row r="1">
          <cell r="J1">
            <v>1.7453292519943295E-2</v>
          </cell>
        </row>
      </sheetData>
      <sheetData sheetId="2837">
        <row r="1">
          <cell r="J1">
            <v>1.7453292519943295E-2</v>
          </cell>
        </row>
      </sheetData>
      <sheetData sheetId="2838">
        <row r="1">
          <cell r="J1">
            <v>1.7453292519943295E-2</v>
          </cell>
        </row>
      </sheetData>
      <sheetData sheetId="2839">
        <row r="1">
          <cell r="J1">
            <v>1.7453292519943295E-2</v>
          </cell>
        </row>
      </sheetData>
      <sheetData sheetId="2840">
        <row r="1">
          <cell r="J1">
            <v>1.7453292519943295E-2</v>
          </cell>
        </row>
      </sheetData>
      <sheetData sheetId="2841">
        <row r="1">
          <cell r="J1">
            <v>1.7453292519943295E-2</v>
          </cell>
        </row>
      </sheetData>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ow r="1">
          <cell r="J1">
            <v>1.7453292519943295E-2</v>
          </cell>
        </row>
      </sheetData>
      <sheetData sheetId="2858">
        <row r="1">
          <cell r="J1">
            <v>1.7453292519943295E-2</v>
          </cell>
        </row>
      </sheetData>
      <sheetData sheetId="2859" refreshError="1"/>
      <sheetData sheetId="2860">
        <row r="1">
          <cell r="J1">
            <v>1.7453292519943295E-2</v>
          </cell>
        </row>
      </sheetData>
      <sheetData sheetId="2861">
        <row r="1">
          <cell r="J1">
            <v>1.7453292519943295E-2</v>
          </cell>
        </row>
      </sheetData>
      <sheetData sheetId="2862" refreshError="1"/>
      <sheetData sheetId="2863" refreshError="1"/>
      <sheetData sheetId="2864">
        <row r="1">
          <cell r="J1">
            <v>1.7453292519943295E-2</v>
          </cell>
        </row>
      </sheetData>
      <sheetData sheetId="2865">
        <row r="1">
          <cell r="J1">
            <v>1.7453292519943295E-2</v>
          </cell>
        </row>
      </sheetData>
      <sheetData sheetId="2866" refreshError="1"/>
      <sheetData sheetId="2867" refreshError="1"/>
      <sheetData sheetId="2868" refreshError="1"/>
      <sheetData sheetId="2869" refreshError="1"/>
      <sheetData sheetId="2870" refreshError="1"/>
      <sheetData sheetId="2871" refreshError="1"/>
      <sheetData sheetId="2872">
        <row r="1">
          <cell r="J1">
            <v>1.7453292519943295E-2</v>
          </cell>
        </row>
      </sheetData>
      <sheetData sheetId="2873">
        <row r="1">
          <cell r="J1">
            <v>1.7453292519943295E-2</v>
          </cell>
        </row>
      </sheetData>
      <sheetData sheetId="2874">
        <row r="1">
          <cell r="J1">
            <v>1.7453292519943295E-2</v>
          </cell>
        </row>
      </sheetData>
      <sheetData sheetId="2875">
        <row r="1">
          <cell r="J1">
            <v>1.7453292519943295E-2</v>
          </cell>
        </row>
      </sheetData>
      <sheetData sheetId="2876">
        <row r="1">
          <cell r="J1">
            <v>1.7453292519943295E-2</v>
          </cell>
        </row>
      </sheetData>
      <sheetData sheetId="2877">
        <row r="1">
          <cell r="J1">
            <v>1.7453292519943295E-2</v>
          </cell>
        </row>
      </sheetData>
      <sheetData sheetId="2878">
        <row r="1">
          <cell r="J1">
            <v>1.7453292519943295E-2</v>
          </cell>
        </row>
      </sheetData>
      <sheetData sheetId="2879">
        <row r="1">
          <cell r="J1">
            <v>1.7453292519943295E-2</v>
          </cell>
        </row>
      </sheetData>
      <sheetData sheetId="2880">
        <row r="1">
          <cell r="J1">
            <v>1.7453292519943295E-2</v>
          </cell>
        </row>
      </sheetData>
      <sheetData sheetId="2881">
        <row r="1">
          <cell r="J1">
            <v>1.7453292519943295E-2</v>
          </cell>
        </row>
      </sheetData>
      <sheetData sheetId="2882">
        <row r="1">
          <cell r="J1">
            <v>1.7453292519943295E-2</v>
          </cell>
        </row>
      </sheetData>
      <sheetData sheetId="2883">
        <row r="1">
          <cell r="J1">
            <v>1.7453292519943295E-2</v>
          </cell>
        </row>
      </sheetData>
      <sheetData sheetId="2884">
        <row r="1">
          <cell r="J1">
            <v>1.7453292519943295E-2</v>
          </cell>
        </row>
      </sheetData>
      <sheetData sheetId="2885">
        <row r="1">
          <cell r="J1">
            <v>1.7453292519943295E-2</v>
          </cell>
        </row>
      </sheetData>
      <sheetData sheetId="2886">
        <row r="1">
          <cell r="J1">
            <v>1.7453292519943295E-2</v>
          </cell>
        </row>
      </sheetData>
      <sheetData sheetId="2887">
        <row r="1">
          <cell r="J1">
            <v>1.7453292519943295E-2</v>
          </cell>
        </row>
      </sheetData>
      <sheetData sheetId="2888">
        <row r="1">
          <cell r="J1">
            <v>1.7453292519943295E-2</v>
          </cell>
        </row>
      </sheetData>
      <sheetData sheetId="2889">
        <row r="1">
          <cell r="J1">
            <v>1.7453292519943295E-2</v>
          </cell>
        </row>
      </sheetData>
      <sheetData sheetId="2890">
        <row r="1">
          <cell r="J1">
            <v>1.7453292519943295E-2</v>
          </cell>
        </row>
      </sheetData>
      <sheetData sheetId="2891">
        <row r="1">
          <cell r="J1">
            <v>1.7453292519943295E-2</v>
          </cell>
        </row>
      </sheetData>
      <sheetData sheetId="2892">
        <row r="1">
          <cell r="J1">
            <v>1.7453292519943295E-2</v>
          </cell>
        </row>
      </sheetData>
      <sheetData sheetId="2893">
        <row r="1">
          <cell r="J1">
            <v>1.7453292519943295E-2</v>
          </cell>
        </row>
      </sheetData>
      <sheetData sheetId="2894">
        <row r="1">
          <cell r="J1">
            <v>1.7453292519943295E-2</v>
          </cell>
        </row>
      </sheetData>
      <sheetData sheetId="2895">
        <row r="1">
          <cell r="J1">
            <v>1.7453292519943295E-2</v>
          </cell>
        </row>
      </sheetData>
      <sheetData sheetId="2896">
        <row r="1">
          <cell r="J1">
            <v>1.7453292519943295E-2</v>
          </cell>
        </row>
      </sheetData>
      <sheetData sheetId="2897">
        <row r="1">
          <cell r="J1">
            <v>1.7453292519943295E-2</v>
          </cell>
        </row>
      </sheetData>
      <sheetData sheetId="2898">
        <row r="1">
          <cell r="J1">
            <v>1.7453292519943295E-2</v>
          </cell>
        </row>
      </sheetData>
      <sheetData sheetId="2899">
        <row r="1">
          <cell r="J1">
            <v>1.7453292519943295E-2</v>
          </cell>
        </row>
      </sheetData>
      <sheetData sheetId="2900">
        <row r="1">
          <cell r="J1">
            <v>1.7453292519943295E-2</v>
          </cell>
        </row>
      </sheetData>
      <sheetData sheetId="2901">
        <row r="1">
          <cell r="J1">
            <v>1.7453292519943295E-2</v>
          </cell>
        </row>
      </sheetData>
      <sheetData sheetId="2902">
        <row r="1">
          <cell r="J1">
            <v>1.7453292519943295E-2</v>
          </cell>
        </row>
      </sheetData>
      <sheetData sheetId="2903">
        <row r="1">
          <cell r="J1">
            <v>1.7453292519943295E-2</v>
          </cell>
        </row>
      </sheetData>
      <sheetData sheetId="2904">
        <row r="1">
          <cell r="J1">
            <v>1.7453292519943295E-2</v>
          </cell>
        </row>
      </sheetData>
      <sheetData sheetId="2905">
        <row r="1">
          <cell r="J1">
            <v>1.7453292519943295E-2</v>
          </cell>
        </row>
      </sheetData>
      <sheetData sheetId="2906">
        <row r="1">
          <cell r="J1">
            <v>1.7453292519943295E-2</v>
          </cell>
        </row>
      </sheetData>
      <sheetData sheetId="2907">
        <row r="1">
          <cell r="J1">
            <v>1.7453292519943295E-2</v>
          </cell>
        </row>
      </sheetData>
      <sheetData sheetId="2908">
        <row r="1">
          <cell r="J1">
            <v>1.7453292519943295E-2</v>
          </cell>
        </row>
      </sheetData>
      <sheetData sheetId="2909">
        <row r="1">
          <cell r="J1">
            <v>1.7453292519943295E-2</v>
          </cell>
        </row>
      </sheetData>
      <sheetData sheetId="2910">
        <row r="1">
          <cell r="J1">
            <v>1.7453292519943295E-2</v>
          </cell>
        </row>
      </sheetData>
      <sheetData sheetId="2911">
        <row r="1">
          <cell r="J1">
            <v>1.7453292519943295E-2</v>
          </cell>
        </row>
      </sheetData>
      <sheetData sheetId="2912">
        <row r="1">
          <cell r="J1">
            <v>1.7453292519943295E-2</v>
          </cell>
        </row>
      </sheetData>
      <sheetData sheetId="2913">
        <row r="1">
          <cell r="J1">
            <v>1.7453292519943295E-2</v>
          </cell>
        </row>
      </sheetData>
      <sheetData sheetId="2914">
        <row r="1">
          <cell r="J1">
            <v>1.7453292519943295E-2</v>
          </cell>
        </row>
      </sheetData>
      <sheetData sheetId="2915">
        <row r="1">
          <cell r="J1">
            <v>1.7453292519943295E-2</v>
          </cell>
        </row>
      </sheetData>
      <sheetData sheetId="2916">
        <row r="1">
          <cell r="J1">
            <v>1.7453292519943295E-2</v>
          </cell>
        </row>
      </sheetData>
      <sheetData sheetId="2917">
        <row r="1">
          <cell r="J1">
            <v>1.7453292519943295E-2</v>
          </cell>
        </row>
      </sheetData>
      <sheetData sheetId="2918">
        <row r="1">
          <cell r="J1">
            <v>1.7453292519943295E-2</v>
          </cell>
        </row>
      </sheetData>
      <sheetData sheetId="2919">
        <row r="1">
          <cell r="J1">
            <v>1.7453292519943295E-2</v>
          </cell>
        </row>
      </sheetData>
      <sheetData sheetId="2920">
        <row r="1">
          <cell r="J1">
            <v>1.7453292519943295E-2</v>
          </cell>
        </row>
      </sheetData>
      <sheetData sheetId="2921">
        <row r="1">
          <cell r="J1">
            <v>1.7453292519943295E-2</v>
          </cell>
        </row>
      </sheetData>
      <sheetData sheetId="2922">
        <row r="1">
          <cell r="J1">
            <v>1.7453292519943295E-2</v>
          </cell>
        </row>
      </sheetData>
      <sheetData sheetId="2923">
        <row r="1">
          <cell r="J1">
            <v>1.7453292519943295E-2</v>
          </cell>
        </row>
      </sheetData>
      <sheetData sheetId="2924">
        <row r="1">
          <cell r="J1">
            <v>1.7453292519943295E-2</v>
          </cell>
        </row>
      </sheetData>
      <sheetData sheetId="2925">
        <row r="1">
          <cell r="J1">
            <v>1.7453292519943295E-2</v>
          </cell>
        </row>
      </sheetData>
      <sheetData sheetId="2926">
        <row r="1">
          <cell r="J1">
            <v>1.7453292519943295E-2</v>
          </cell>
        </row>
      </sheetData>
      <sheetData sheetId="2927">
        <row r="1">
          <cell r="J1">
            <v>1.7453292519943295E-2</v>
          </cell>
        </row>
      </sheetData>
      <sheetData sheetId="2928">
        <row r="1">
          <cell r="J1">
            <v>1.7453292519943295E-2</v>
          </cell>
        </row>
      </sheetData>
      <sheetData sheetId="2929">
        <row r="1">
          <cell r="J1">
            <v>1.7453292519943295E-2</v>
          </cell>
        </row>
      </sheetData>
      <sheetData sheetId="2930">
        <row r="1">
          <cell r="J1">
            <v>1.7453292519943295E-2</v>
          </cell>
        </row>
      </sheetData>
      <sheetData sheetId="2931">
        <row r="1">
          <cell r="J1">
            <v>1.7453292519943295E-2</v>
          </cell>
        </row>
      </sheetData>
      <sheetData sheetId="2932">
        <row r="1">
          <cell r="J1">
            <v>1.7453292519943295E-2</v>
          </cell>
        </row>
      </sheetData>
      <sheetData sheetId="2933">
        <row r="1">
          <cell r="J1">
            <v>1.7453292519943295E-2</v>
          </cell>
        </row>
      </sheetData>
      <sheetData sheetId="2934">
        <row r="1">
          <cell r="J1">
            <v>1.7453292519943295E-2</v>
          </cell>
        </row>
      </sheetData>
      <sheetData sheetId="2935">
        <row r="1">
          <cell r="J1">
            <v>1.7453292519943295E-2</v>
          </cell>
        </row>
      </sheetData>
      <sheetData sheetId="2936">
        <row r="1">
          <cell r="J1">
            <v>1.7453292519943295E-2</v>
          </cell>
        </row>
      </sheetData>
      <sheetData sheetId="2937">
        <row r="1">
          <cell r="J1">
            <v>1.7453292519943295E-2</v>
          </cell>
        </row>
      </sheetData>
      <sheetData sheetId="2938">
        <row r="1">
          <cell r="J1">
            <v>1.7453292519943295E-2</v>
          </cell>
        </row>
      </sheetData>
      <sheetData sheetId="2939">
        <row r="1">
          <cell r="J1">
            <v>1.7453292519943295E-2</v>
          </cell>
        </row>
      </sheetData>
      <sheetData sheetId="2940">
        <row r="1">
          <cell r="J1">
            <v>1.7453292519943295E-2</v>
          </cell>
        </row>
      </sheetData>
      <sheetData sheetId="2941">
        <row r="1">
          <cell r="J1">
            <v>1.7453292519943295E-2</v>
          </cell>
        </row>
      </sheetData>
      <sheetData sheetId="2942">
        <row r="1">
          <cell r="J1">
            <v>1.7453292519943295E-2</v>
          </cell>
        </row>
      </sheetData>
      <sheetData sheetId="2943">
        <row r="1">
          <cell r="J1">
            <v>1.7453292519943295E-2</v>
          </cell>
        </row>
      </sheetData>
      <sheetData sheetId="2944">
        <row r="1">
          <cell r="J1">
            <v>1.7453292519943295E-2</v>
          </cell>
        </row>
      </sheetData>
      <sheetData sheetId="2945">
        <row r="1">
          <cell r="J1">
            <v>1.7453292519943295E-2</v>
          </cell>
        </row>
      </sheetData>
      <sheetData sheetId="2946">
        <row r="1">
          <cell r="J1">
            <v>1.7453292519943295E-2</v>
          </cell>
        </row>
      </sheetData>
      <sheetData sheetId="2947">
        <row r="1">
          <cell r="J1">
            <v>1.7453292519943295E-2</v>
          </cell>
        </row>
      </sheetData>
      <sheetData sheetId="2948">
        <row r="1">
          <cell r="J1">
            <v>1.7453292519943295E-2</v>
          </cell>
        </row>
      </sheetData>
      <sheetData sheetId="2949">
        <row r="1">
          <cell r="J1">
            <v>1.7453292519943295E-2</v>
          </cell>
        </row>
      </sheetData>
      <sheetData sheetId="2950">
        <row r="1">
          <cell r="J1">
            <v>1.7453292519943295E-2</v>
          </cell>
        </row>
      </sheetData>
      <sheetData sheetId="2951">
        <row r="1">
          <cell r="J1">
            <v>1.7453292519943295E-2</v>
          </cell>
        </row>
      </sheetData>
      <sheetData sheetId="2952">
        <row r="1">
          <cell r="J1">
            <v>1.7453292519943295E-2</v>
          </cell>
        </row>
      </sheetData>
      <sheetData sheetId="2953">
        <row r="1">
          <cell r="J1">
            <v>1.7453292519943295E-2</v>
          </cell>
        </row>
      </sheetData>
      <sheetData sheetId="2954">
        <row r="1">
          <cell r="J1">
            <v>1.7453292519943295E-2</v>
          </cell>
        </row>
      </sheetData>
      <sheetData sheetId="2955">
        <row r="1">
          <cell r="J1">
            <v>1.7453292519943295E-2</v>
          </cell>
        </row>
      </sheetData>
      <sheetData sheetId="2956">
        <row r="1">
          <cell r="J1">
            <v>1.7453292519943295E-2</v>
          </cell>
        </row>
      </sheetData>
      <sheetData sheetId="2957">
        <row r="1">
          <cell r="J1">
            <v>1.7453292519943295E-2</v>
          </cell>
        </row>
      </sheetData>
      <sheetData sheetId="2958">
        <row r="1">
          <cell r="J1">
            <v>1.7453292519943295E-2</v>
          </cell>
        </row>
      </sheetData>
      <sheetData sheetId="2959">
        <row r="1">
          <cell r="J1">
            <v>1.7453292519943295E-2</v>
          </cell>
        </row>
      </sheetData>
      <sheetData sheetId="2960">
        <row r="1">
          <cell r="J1">
            <v>1.7453292519943295E-2</v>
          </cell>
        </row>
      </sheetData>
      <sheetData sheetId="2961">
        <row r="1">
          <cell r="J1">
            <v>1.7453292519943295E-2</v>
          </cell>
        </row>
      </sheetData>
      <sheetData sheetId="2962">
        <row r="1">
          <cell r="J1">
            <v>1.7453292519943295E-2</v>
          </cell>
        </row>
      </sheetData>
      <sheetData sheetId="2963">
        <row r="1">
          <cell r="J1">
            <v>1.7453292519943295E-2</v>
          </cell>
        </row>
      </sheetData>
      <sheetData sheetId="2964">
        <row r="1">
          <cell r="J1">
            <v>1.7453292519943295E-2</v>
          </cell>
        </row>
      </sheetData>
      <sheetData sheetId="2965">
        <row r="1">
          <cell r="J1">
            <v>1.7453292519943295E-2</v>
          </cell>
        </row>
      </sheetData>
      <sheetData sheetId="2966">
        <row r="1">
          <cell r="J1">
            <v>1.7453292519943295E-2</v>
          </cell>
        </row>
      </sheetData>
      <sheetData sheetId="2967">
        <row r="1">
          <cell r="J1">
            <v>1.7453292519943295E-2</v>
          </cell>
        </row>
      </sheetData>
      <sheetData sheetId="2968">
        <row r="1">
          <cell r="J1">
            <v>1.7453292519943295E-2</v>
          </cell>
        </row>
      </sheetData>
      <sheetData sheetId="2969">
        <row r="1">
          <cell r="J1">
            <v>1.7453292519943295E-2</v>
          </cell>
        </row>
      </sheetData>
      <sheetData sheetId="2970">
        <row r="1">
          <cell r="J1">
            <v>1.7453292519943295E-2</v>
          </cell>
        </row>
      </sheetData>
      <sheetData sheetId="2971">
        <row r="1">
          <cell r="J1">
            <v>1.7453292519943295E-2</v>
          </cell>
        </row>
      </sheetData>
      <sheetData sheetId="2972">
        <row r="1">
          <cell r="J1">
            <v>1.7453292519943295E-2</v>
          </cell>
        </row>
      </sheetData>
      <sheetData sheetId="2973">
        <row r="1">
          <cell r="J1">
            <v>1.7453292519943295E-2</v>
          </cell>
        </row>
      </sheetData>
      <sheetData sheetId="2974">
        <row r="1">
          <cell r="J1">
            <v>1.7453292519943295E-2</v>
          </cell>
        </row>
      </sheetData>
      <sheetData sheetId="2975">
        <row r="1">
          <cell r="J1">
            <v>1.7453292519943295E-2</v>
          </cell>
        </row>
      </sheetData>
      <sheetData sheetId="2976">
        <row r="1">
          <cell r="J1">
            <v>1.7453292519943295E-2</v>
          </cell>
        </row>
      </sheetData>
      <sheetData sheetId="2977">
        <row r="1">
          <cell r="J1">
            <v>1.7453292519943295E-2</v>
          </cell>
        </row>
      </sheetData>
      <sheetData sheetId="2978">
        <row r="1">
          <cell r="J1">
            <v>1.7453292519943295E-2</v>
          </cell>
        </row>
      </sheetData>
      <sheetData sheetId="2979">
        <row r="1">
          <cell r="J1">
            <v>1.7453292519943295E-2</v>
          </cell>
        </row>
      </sheetData>
      <sheetData sheetId="2980">
        <row r="1">
          <cell r="J1">
            <v>1.7453292519943295E-2</v>
          </cell>
        </row>
      </sheetData>
      <sheetData sheetId="2981">
        <row r="1">
          <cell r="J1">
            <v>1.7453292519943295E-2</v>
          </cell>
        </row>
      </sheetData>
      <sheetData sheetId="2982">
        <row r="1">
          <cell r="J1">
            <v>1.7453292519943295E-2</v>
          </cell>
        </row>
      </sheetData>
      <sheetData sheetId="2983">
        <row r="1">
          <cell r="J1">
            <v>1.7453292519943295E-2</v>
          </cell>
        </row>
      </sheetData>
      <sheetData sheetId="2984">
        <row r="1">
          <cell r="J1">
            <v>1.7453292519943295E-2</v>
          </cell>
        </row>
      </sheetData>
      <sheetData sheetId="2985">
        <row r="1">
          <cell r="J1">
            <v>1.7453292519943295E-2</v>
          </cell>
        </row>
      </sheetData>
      <sheetData sheetId="2986">
        <row r="1">
          <cell r="J1">
            <v>1.7453292519943295E-2</v>
          </cell>
        </row>
      </sheetData>
      <sheetData sheetId="2987">
        <row r="1">
          <cell r="J1">
            <v>1.7453292519943295E-2</v>
          </cell>
        </row>
      </sheetData>
      <sheetData sheetId="2988">
        <row r="1">
          <cell r="J1">
            <v>1.7453292519943295E-2</v>
          </cell>
        </row>
      </sheetData>
      <sheetData sheetId="2989">
        <row r="1">
          <cell r="J1">
            <v>1.7453292519943295E-2</v>
          </cell>
        </row>
      </sheetData>
      <sheetData sheetId="2990">
        <row r="1">
          <cell r="J1">
            <v>1.7453292519943295E-2</v>
          </cell>
        </row>
      </sheetData>
      <sheetData sheetId="2991">
        <row r="1">
          <cell r="J1">
            <v>1.7453292519943295E-2</v>
          </cell>
        </row>
      </sheetData>
      <sheetData sheetId="2992">
        <row r="1">
          <cell r="J1">
            <v>1.7453292519943295E-2</v>
          </cell>
        </row>
      </sheetData>
      <sheetData sheetId="2993">
        <row r="1">
          <cell r="J1">
            <v>1.7453292519943295E-2</v>
          </cell>
        </row>
      </sheetData>
      <sheetData sheetId="2994">
        <row r="1">
          <cell r="J1">
            <v>1.7453292519943295E-2</v>
          </cell>
        </row>
      </sheetData>
      <sheetData sheetId="2995">
        <row r="1">
          <cell r="J1">
            <v>1.7453292519943295E-2</v>
          </cell>
        </row>
      </sheetData>
      <sheetData sheetId="2996">
        <row r="1">
          <cell r="J1">
            <v>1.7453292519943295E-2</v>
          </cell>
        </row>
      </sheetData>
      <sheetData sheetId="2997">
        <row r="1">
          <cell r="J1">
            <v>1.7453292519943295E-2</v>
          </cell>
        </row>
      </sheetData>
      <sheetData sheetId="2998">
        <row r="1">
          <cell r="J1">
            <v>1.7453292519943295E-2</v>
          </cell>
        </row>
      </sheetData>
      <sheetData sheetId="2999">
        <row r="1">
          <cell r="J1">
            <v>1.7453292519943295E-2</v>
          </cell>
        </row>
      </sheetData>
      <sheetData sheetId="3000">
        <row r="1">
          <cell r="J1">
            <v>1.7453292519943295E-2</v>
          </cell>
        </row>
      </sheetData>
      <sheetData sheetId="3001">
        <row r="1">
          <cell r="J1">
            <v>1.7453292519943295E-2</v>
          </cell>
        </row>
      </sheetData>
      <sheetData sheetId="3002">
        <row r="1">
          <cell r="J1">
            <v>1.7453292519943295E-2</v>
          </cell>
        </row>
      </sheetData>
      <sheetData sheetId="3003">
        <row r="1">
          <cell r="J1">
            <v>1.7453292519943295E-2</v>
          </cell>
        </row>
      </sheetData>
      <sheetData sheetId="3004">
        <row r="1">
          <cell r="J1">
            <v>1.7453292519943295E-2</v>
          </cell>
        </row>
      </sheetData>
      <sheetData sheetId="3005">
        <row r="1">
          <cell r="J1">
            <v>1.7453292519943295E-2</v>
          </cell>
        </row>
      </sheetData>
      <sheetData sheetId="3006">
        <row r="1">
          <cell r="J1">
            <v>1.7453292519943295E-2</v>
          </cell>
        </row>
      </sheetData>
      <sheetData sheetId="3007">
        <row r="1">
          <cell r="J1">
            <v>1.7453292519943295E-2</v>
          </cell>
        </row>
      </sheetData>
      <sheetData sheetId="3008">
        <row r="1">
          <cell r="J1">
            <v>1.7453292519943295E-2</v>
          </cell>
        </row>
      </sheetData>
      <sheetData sheetId="3009">
        <row r="1">
          <cell r="J1">
            <v>1.7453292519943295E-2</v>
          </cell>
        </row>
      </sheetData>
      <sheetData sheetId="3010">
        <row r="1">
          <cell r="J1">
            <v>1.7453292519943295E-2</v>
          </cell>
        </row>
      </sheetData>
      <sheetData sheetId="3011">
        <row r="1">
          <cell r="J1">
            <v>1.7453292519943295E-2</v>
          </cell>
        </row>
      </sheetData>
      <sheetData sheetId="3012">
        <row r="1">
          <cell r="J1">
            <v>1.7453292519943295E-2</v>
          </cell>
        </row>
      </sheetData>
      <sheetData sheetId="3013">
        <row r="1">
          <cell r="J1">
            <v>1.7453292519943295E-2</v>
          </cell>
        </row>
      </sheetData>
      <sheetData sheetId="3014">
        <row r="1">
          <cell r="J1">
            <v>1.7453292519943295E-2</v>
          </cell>
        </row>
      </sheetData>
      <sheetData sheetId="3015">
        <row r="1">
          <cell r="J1">
            <v>1.7453292519943295E-2</v>
          </cell>
        </row>
      </sheetData>
      <sheetData sheetId="3016">
        <row r="1">
          <cell r="J1">
            <v>1.7453292519943295E-2</v>
          </cell>
        </row>
      </sheetData>
      <sheetData sheetId="3017">
        <row r="1">
          <cell r="J1">
            <v>1.7453292519943295E-2</v>
          </cell>
        </row>
      </sheetData>
      <sheetData sheetId="3018">
        <row r="1">
          <cell r="J1">
            <v>1.7453292519943295E-2</v>
          </cell>
        </row>
      </sheetData>
      <sheetData sheetId="3019">
        <row r="1">
          <cell r="J1">
            <v>1.7453292519943295E-2</v>
          </cell>
        </row>
      </sheetData>
      <sheetData sheetId="3020">
        <row r="1">
          <cell r="J1">
            <v>1.7453292519943295E-2</v>
          </cell>
        </row>
      </sheetData>
      <sheetData sheetId="3021">
        <row r="1">
          <cell r="J1">
            <v>1.7453292519943295E-2</v>
          </cell>
        </row>
      </sheetData>
      <sheetData sheetId="3022">
        <row r="1">
          <cell r="J1">
            <v>1.7453292519943295E-2</v>
          </cell>
        </row>
      </sheetData>
      <sheetData sheetId="3023">
        <row r="1">
          <cell r="J1">
            <v>1.7453292519943295E-2</v>
          </cell>
        </row>
      </sheetData>
      <sheetData sheetId="3024">
        <row r="1">
          <cell r="J1">
            <v>1.7453292519943295E-2</v>
          </cell>
        </row>
      </sheetData>
      <sheetData sheetId="3025">
        <row r="1">
          <cell r="J1">
            <v>1.7453292519943295E-2</v>
          </cell>
        </row>
      </sheetData>
      <sheetData sheetId="3026">
        <row r="1">
          <cell r="J1">
            <v>1.7453292519943295E-2</v>
          </cell>
        </row>
      </sheetData>
      <sheetData sheetId="3027">
        <row r="1">
          <cell r="J1">
            <v>1.7453292519943295E-2</v>
          </cell>
        </row>
      </sheetData>
      <sheetData sheetId="3028">
        <row r="1">
          <cell r="J1">
            <v>1.7453292519943295E-2</v>
          </cell>
        </row>
      </sheetData>
      <sheetData sheetId="3029">
        <row r="1">
          <cell r="J1">
            <v>1.7453292519943295E-2</v>
          </cell>
        </row>
      </sheetData>
      <sheetData sheetId="3030">
        <row r="1">
          <cell r="J1">
            <v>1.7453292519943295E-2</v>
          </cell>
        </row>
      </sheetData>
      <sheetData sheetId="3031">
        <row r="1">
          <cell r="J1">
            <v>1.7453292519943295E-2</v>
          </cell>
        </row>
      </sheetData>
      <sheetData sheetId="3032">
        <row r="1">
          <cell r="J1">
            <v>1.7453292519943295E-2</v>
          </cell>
        </row>
      </sheetData>
      <sheetData sheetId="3033">
        <row r="1">
          <cell r="J1">
            <v>1.7453292519943295E-2</v>
          </cell>
        </row>
      </sheetData>
      <sheetData sheetId="3034">
        <row r="1">
          <cell r="J1">
            <v>1.7453292519943295E-2</v>
          </cell>
        </row>
      </sheetData>
      <sheetData sheetId="3035">
        <row r="1">
          <cell r="J1">
            <v>1.7453292519943295E-2</v>
          </cell>
        </row>
      </sheetData>
      <sheetData sheetId="3036">
        <row r="1">
          <cell r="J1">
            <v>1.7453292519943295E-2</v>
          </cell>
        </row>
      </sheetData>
      <sheetData sheetId="3037">
        <row r="1">
          <cell r="J1">
            <v>1.7453292519943295E-2</v>
          </cell>
        </row>
      </sheetData>
      <sheetData sheetId="3038">
        <row r="1">
          <cell r="J1">
            <v>1.7453292519943295E-2</v>
          </cell>
        </row>
      </sheetData>
      <sheetData sheetId="3039">
        <row r="1">
          <cell r="J1">
            <v>1.7453292519943295E-2</v>
          </cell>
        </row>
      </sheetData>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ow r="1">
          <cell r="J1">
            <v>1.7453292519943295E-2</v>
          </cell>
        </row>
      </sheetData>
      <sheetData sheetId="3065">
        <row r="1">
          <cell r="J1">
            <v>1.7453292519943295E-2</v>
          </cell>
        </row>
      </sheetData>
      <sheetData sheetId="3066" refreshError="1"/>
      <sheetData sheetId="3067" refreshError="1"/>
      <sheetData sheetId="3068">
        <row r="1">
          <cell r="J1">
            <v>1.7453292519943295E-2</v>
          </cell>
        </row>
      </sheetData>
      <sheetData sheetId="3069">
        <row r="1">
          <cell r="J1">
            <v>1.7453292519943295E-2</v>
          </cell>
        </row>
      </sheetData>
      <sheetData sheetId="3070" refreshError="1"/>
      <sheetData sheetId="3071" refreshError="1"/>
      <sheetData sheetId="3072" refreshError="1"/>
      <sheetData sheetId="3073" refreshError="1"/>
      <sheetData sheetId="3074" refreshError="1"/>
      <sheetData sheetId="3075">
        <row r="1">
          <cell r="J1">
            <v>1.7453292519943295E-2</v>
          </cell>
        </row>
      </sheetData>
      <sheetData sheetId="3076" refreshError="1"/>
      <sheetData sheetId="3077">
        <row r="1">
          <cell r="J1">
            <v>1.7453292519943295E-2</v>
          </cell>
        </row>
      </sheetData>
      <sheetData sheetId="3078">
        <row r="1">
          <cell r="J1">
            <v>1.7453292519943295E-2</v>
          </cell>
        </row>
      </sheetData>
      <sheetData sheetId="3079" refreshError="1"/>
      <sheetData sheetId="3080" refreshError="1"/>
      <sheetData sheetId="3081" refreshError="1"/>
      <sheetData sheetId="3082" refreshError="1"/>
      <sheetData sheetId="3083" refreshError="1"/>
      <sheetData sheetId="3084" refreshError="1"/>
      <sheetData sheetId="3085" refreshError="1"/>
      <sheetData sheetId="3086">
        <row r="1">
          <cell r="J1">
            <v>1.7453292519943295E-2</v>
          </cell>
        </row>
      </sheetData>
      <sheetData sheetId="3087" refreshError="1"/>
      <sheetData sheetId="3088" refreshError="1"/>
      <sheetData sheetId="3089" refreshError="1"/>
      <sheetData sheetId="3090" refreshError="1"/>
      <sheetData sheetId="3091" refreshError="1"/>
      <sheetData sheetId="3092">
        <row r="1">
          <cell r="J1">
            <v>1.7453292519943295E-2</v>
          </cell>
        </row>
      </sheetData>
      <sheetData sheetId="3093" refreshError="1"/>
      <sheetData sheetId="3094" refreshError="1"/>
      <sheetData sheetId="3095" refreshError="1"/>
      <sheetData sheetId="3096" refreshError="1"/>
      <sheetData sheetId="3097">
        <row r="1">
          <cell r="J1">
            <v>1.7453292519943295E-2</v>
          </cell>
        </row>
      </sheetData>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ow r="1">
          <cell r="J1">
            <v>1.7453292519943295E-2</v>
          </cell>
        </row>
      </sheetData>
      <sheetData sheetId="3118">
        <row r="1">
          <cell r="J1">
            <v>1.7453292519943295E-2</v>
          </cell>
        </row>
      </sheetData>
      <sheetData sheetId="3119">
        <row r="1">
          <cell r="J1">
            <v>1.7453292519943295E-2</v>
          </cell>
        </row>
      </sheetData>
      <sheetData sheetId="3120">
        <row r="1">
          <cell r="J1">
            <v>1.7453292519943295E-2</v>
          </cell>
        </row>
      </sheetData>
      <sheetData sheetId="3121">
        <row r="1">
          <cell r="J1">
            <v>1.7453292519943295E-2</v>
          </cell>
        </row>
      </sheetData>
      <sheetData sheetId="3122">
        <row r="1">
          <cell r="J1">
            <v>1.7453292519943295E-2</v>
          </cell>
        </row>
      </sheetData>
      <sheetData sheetId="3123">
        <row r="1">
          <cell r="J1">
            <v>1.7453292519943295E-2</v>
          </cell>
        </row>
      </sheetData>
      <sheetData sheetId="3124">
        <row r="1">
          <cell r="J1">
            <v>1.7453292519943295E-2</v>
          </cell>
        </row>
      </sheetData>
      <sheetData sheetId="3125">
        <row r="1">
          <cell r="J1">
            <v>1.7453292519943295E-2</v>
          </cell>
        </row>
      </sheetData>
      <sheetData sheetId="3126">
        <row r="1">
          <cell r="J1">
            <v>1.7453292519943295E-2</v>
          </cell>
        </row>
      </sheetData>
      <sheetData sheetId="3127">
        <row r="1">
          <cell r="J1">
            <v>1.7453292519943295E-2</v>
          </cell>
        </row>
      </sheetData>
      <sheetData sheetId="3128">
        <row r="1">
          <cell r="J1">
            <v>1.7453292519943295E-2</v>
          </cell>
        </row>
      </sheetData>
      <sheetData sheetId="3129">
        <row r="1">
          <cell r="J1">
            <v>1.7453292519943295E-2</v>
          </cell>
        </row>
      </sheetData>
      <sheetData sheetId="3130">
        <row r="1">
          <cell r="J1">
            <v>1.7453292519943295E-2</v>
          </cell>
        </row>
      </sheetData>
      <sheetData sheetId="3131">
        <row r="1">
          <cell r="J1">
            <v>1.7453292519943295E-2</v>
          </cell>
        </row>
      </sheetData>
      <sheetData sheetId="3132">
        <row r="1">
          <cell r="J1">
            <v>1.7453292519943295E-2</v>
          </cell>
        </row>
      </sheetData>
      <sheetData sheetId="3133">
        <row r="1">
          <cell r="J1">
            <v>1.7453292519943295E-2</v>
          </cell>
        </row>
      </sheetData>
      <sheetData sheetId="3134">
        <row r="1">
          <cell r="J1">
            <v>1.7453292519943295E-2</v>
          </cell>
        </row>
      </sheetData>
      <sheetData sheetId="3135">
        <row r="1">
          <cell r="J1">
            <v>1.7453292519943295E-2</v>
          </cell>
        </row>
      </sheetData>
      <sheetData sheetId="3136">
        <row r="1">
          <cell r="J1">
            <v>1.7453292519943295E-2</v>
          </cell>
        </row>
      </sheetData>
      <sheetData sheetId="3137">
        <row r="1">
          <cell r="J1">
            <v>1.7453292519943295E-2</v>
          </cell>
        </row>
      </sheetData>
      <sheetData sheetId="3138">
        <row r="1">
          <cell r="J1">
            <v>1.7453292519943295E-2</v>
          </cell>
        </row>
      </sheetData>
      <sheetData sheetId="3139">
        <row r="1">
          <cell r="J1">
            <v>1.7453292519943295E-2</v>
          </cell>
        </row>
      </sheetData>
      <sheetData sheetId="3140">
        <row r="1">
          <cell r="J1">
            <v>1.7453292519943295E-2</v>
          </cell>
        </row>
      </sheetData>
      <sheetData sheetId="3141">
        <row r="1">
          <cell r="J1">
            <v>1.7453292519943295E-2</v>
          </cell>
        </row>
      </sheetData>
      <sheetData sheetId="3142">
        <row r="1">
          <cell r="J1">
            <v>1.7453292519943295E-2</v>
          </cell>
        </row>
      </sheetData>
      <sheetData sheetId="3143">
        <row r="1">
          <cell r="J1">
            <v>1.7453292519943295E-2</v>
          </cell>
        </row>
      </sheetData>
      <sheetData sheetId="3144">
        <row r="1">
          <cell r="J1">
            <v>1.7453292519943295E-2</v>
          </cell>
        </row>
      </sheetData>
      <sheetData sheetId="3145">
        <row r="1">
          <cell r="J1">
            <v>1.7453292519943295E-2</v>
          </cell>
        </row>
      </sheetData>
      <sheetData sheetId="3146">
        <row r="1">
          <cell r="J1">
            <v>1.7453292519943295E-2</v>
          </cell>
        </row>
      </sheetData>
      <sheetData sheetId="3147">
        <row r="1">
          <cell r="J1">
            <v>1.7453292519943295E-2</v>
          </cell>
        </row>
      </sheetData>
      <sheetData sheetId="3148">
        <row r="1">
          <cell r="J1">
            <v>1.7453292519943295E-2</v>
          </cell>
        </row>
      </sheetData>
      <sheetData sheetId="3149">
        <row r="1">
          <cell r="J1">
            <v>1.7453292519943295E-2</v>
          </cell>
        </row>
      </sheetData>
      <sheetData sheetId="3150">
        <row r="1">
          <cell r="J1">
            <v>1.7453292519943295E-2</v>
          </cell>
        </row>
      </sheetData>
      <sheetData sheetId="3151">
        <row r="1">
          <cell r="J1">
            <v>1.7453292519943295E-2</v>
          </cell>
        </row>
      </sheetData>
      <sheetData sheetId="3152">
        <row r="1">
          <cell r="J1">
            <v>1.7453292519943295E-2</v>
          </cell>
        </row>
      </sheetData>
      <sheetData sheetId="3153">
        <row r="1">
          <cell r="J1">
            <v>1.7453292519943295E-2</v>
          </cell>
        </row>
      </sheetData>
      <sheetData sheetId="3154">
        <row r="1">
          <cell r="J1">
            <v>1.7453292519943295E-2</v>
          </cell>
        </row>
      </sheetData>
      <sheetData sheetId="3155">
        <row r="1">
          <cell r="J1">
            <v>1.7453292519943295E-2</v>
          </cell>
        </row>
      </sheetData>
      <sheetData sheetId="3156">
        <row r="1">
          <cell r="J1">
            <v>1.7453292519943295E-2</v>
          </cell>
        </row>
      </sheetData>
      <sheetData sheetId="3157">
        <row r="1">
          <cell r="J1">
            <v>1.7453292519943295E-2</v>
          </cell>
        </row>
      </sheetData>
      <sheetData sheetId="3158">
        <row r="1">
          <cell r="J1">
            <v>1.7453292519943295E-2</v>
          </cell>
        </row>
      </sheetData>
      <sheetData sheetId="3159">
        <row r="1">
          <cell r="J1">
            <v>1.7453292519943295E-2</v>
          </cell>
        </row>
      </sheetData>
      <sheetData sheetId="3160">
        <row r="1">
          <cell r="J1">
            <v>1.7453292519943295E-2</v>
          </cell>
        </row>
      </sheetData>
      <sheetData sheetId="3161">
        <row r="1">
          <cell r="J1">
            <v>1.7453292519943295E-2</v>
          </cell>
        </row>
      </sheetData>
      <sheetData sheetId="3162">
        <row r="1">
          <cell r="J1">
            <v>1.7453292519943295E-2</v>
          </cell>
        </row>
      </sheetData>
      <sheetData sheetId="3163">
        <row r="1">
          <cell r="J1">
            <v>1.7453292519943295E-2</v>
          </cell>
        </row>
      </sheetData>
      <sheetData sheetId="3164">
        <row r="1">
          <cell r="J1">
            <v>1.7453292519943295E-2</v>
          </cell>
        </row>
      </sheetData>
      <sheetData sheetId="3165">
        <row r="1">
          <cell r="J1">
            <v>1.7453292519943295E-2</v>
          </cell>
        </row>
      </sheetData>
      <sheetData sheetId="3166">
        <row r="1">
          <cell r="J1">
            <v>1.7453292519943295E-2</v>
          </cell>
        </row>
      </sheetData>
      <sheetData sheetId="3167">
        <row r="1">
          <cell r="J1">
            <v>1.7453292519943295E-2</v>
          </cell>
        </row>
      </sheetData>
      <sheetData sheetId="3168">
        <row r="1">
          <cell r="J1">
            <v>1.7453292519943295E-2</v>
          </cell>
        </row>
      </sheetData>
      <sheetData sheetId="3169">
        <row r="1">
          <cell r="J1">
            <v>1.7453292519943295E-2</v>
          </cell>
        </row>
      </sheetData>
      <sheetData sheetId="3170">
        <row r="1">
          <cell r="J1">
            <v>1.7453292519943295E-2</v>
          </cell>
        </row>
      </sheetData>
      <sheetData sheetId="3171">
        <row r="1">
          <cell r="J1">
            <v>1.7453292519943295E-2</v>
          </cell>
        </row>
      </sheetData>
      <sheetData sheetId="3172">
        <row r="1">
          <cell r="J1">
            <v>1.7453292519943295E-2</v>
          </cell>
        </row>
      </sheetData>
      <sheetData sheetId="3173">
        <row r="1">
          <cell r="J1">
            <v>1.7453292519943295E-2</v>
          </cell>
        </row>
      </sheetData>
      <sheetData sheetId="3174">
        <row r="1">
          <cell r="J1">
            <v>1.7453292519943295E-2</v>
          </cell>
        </row>
      </sheetData>
      <sheetData sheetId="3175">
        <row r="1">
          <cell r="J1">
            <v>1.7453292519943295E-2</v>
          </cell>
        </row>
      </sheetData>
      <sheetData sheetId="3176">
        <row r="1">
          <cell r="J1">
            <v>1.7453292519943295E-2</v>
          </cell>
        </row>
      </sheetData>
      <sheetData sheetId="3177">
        <row r="1">
          <cell r="J1">
            <v>1.7453292519943295E-2</v>
          </cell>
        </row>
      </sheetData>
      <sheetData sheetId="3178">
        <row r="1">
          <cell r="J1">
            <v>1.7453292519943295E-2</v>
          </cell>
        </row>
      </sheetData>
      <sheetData sheetId="3179">
        <row r="1">
          <cell r="J1">
            <v>1.7453292519943295E-2</v>
          </cell>
        </row>
      </sheetData>
      <sheetData sheetId="3180">
        <row r="1">
          <cell r="J1">
            <v>1.7453292519943295E-2</v>
          </cell>
        </row>
      </sheetData>
      <sheetData sheetId="3181">
        <row r="1">
          <cell r="J1">
            <v>1.7453292519943295E-2</v>
          </cell>
        </row>
      </sheetData>
      <sheetData sheetId="3182">
        <row r="1">
          <cell r="J1">
            <v>1.7453292519943295E-2</v>
          </cell>
        </row>
      </sheetData>
      <sheetData sheetId="3183">
        <row r="1">
          <cell r="J1">
            <v>1.7453292519943295E-2</v>
          </cell>
        </row>
      </sheetData>
      <sheetData sheetId="3184">
        <row r="1">
          <cell r="J1">
            <v>1.7453292519943295E-2</v>
          </cell>
        </row>
      </sheetData>
      <sheetData sheetId="3185">
        <row r="1">
          <cell r="J1">
            <v>1.7453292519943295E-2</v>
          </cell>
        </row>
      </sheetData>
      <sheetData sheetId="3186">
        <row r="1">
          <cell r="J1">
            <v>1.7453292519943295E-2</v>
          </cell>
        </row>
      </sheetData>
      <sheetData sheetId="3187">
        <row r="1">
          <cell r="J1">
            <v>1.7453292519943295E-2</v>
          </cell>
        </row>
      </sheetData>
      <sheetData sheetId="3188">
        <row r="1">
          <cell r="J1">
            <v>1.7453292519943295E-2</v>
          </cell>
        </row>
      </sheetData>
      <sheetData sheetId="3189">
        <row r="1">
          <cell r="J1">
            <v>1.7453292519943295E-2</v>
          </cell>
        </row>
      </sheetData>
      <sheetData sheetId="3190">
        <row r="1">
          <cell r="J1">
            <v>1.7453292519943295E-2</v>
          </cell>
        </row>
      </sheetData>
      <sheetData sheetId="3191">
        <row r="1">
          <cell r="J1">
            <v>1.7453292519943295E-2</v>
          </cell>
        </row>
      </sheetData>
      <sheetData sheetId="3192">
        <row r="1">
          <cell r="J1">
            <v>1.7453292519943295E-2</v>
          </cell>
        </row>
      </sheetData>
      <sheetData sheetId="3193">
        <row r="1">
          <cell r="J1">
            <v>1.7453292519943295E-2</v>
          </cell>
        </row>
      </sheetData>
      <sheetData sheetId="3194">
        <row r="1">
          <cell r="J1">
            <v>1.7453292519943295E-2</v>
          </cell>
        </row>
      </sheetData>
      <sheetData sheetId="3195">
        <row r="1">
          <cell r="J1">
            <v>1.7453292519943295E-2</v>
          </cell>
        </row>
      </sheetData>
      <sheetData sheetId="3196">
        <row r="1">
          <cell r="J1">
            <v>1.7453292519943295E-2</v>
          </cell>
        </row>
      </sheetData>
      <sheetData sheetId="3197">
        <row r="1">
          <cell r="J1">
            <v>1.7453292519943295E-2</v>
          </cell>
        </row>
      </sheetData>
      <sheetData sheetId="3198">
        <row r="1">
          <cell r="J1">
            <v>1.7453292519943295E-2</v>
          </cell>
        </row>
      </sheetData>
      <sheetData sheetId="3199">
        <row r="1">
          <cell r="J1">
            <v>1.7453292519943295E-2</v>
          </cell>
        </row>
      </sheetData>
      <sheetData sheetId="3200">
        <row r="1">
          <cell r="J1">
            <v>1.7453292519943295E-2</v>
          </cell>
        </row>
      </sheetData>
      <sheetData sheetId="3201">
        <row r="1">
          <cell r="J1">
            <v>1.7453292519943295E-2</v>
          </cell>
        </row>
      </sheetData>
      <sheetData sheetId="3202">
        <row r="1">
          <cell r="J1">
            <v>1.7453292519943295E-2</v>
          </cell>
        </row>
      </sheetData>
      <sheetData sheetId="3203">
        <row r="1">
          <cell r="J1">
            <v>1.7453292519943295E-2</v>
          </cell>
        </row>
      </sheetData>
      <sheetData sheetId="3204">
        <row r="1">
          <cell r="J1">
            <v>1.7453292519943295E-2</v>
          </cell>
        </row>
      </sheetData>
      <sheetData sheetId="3205">
        <row r="1">
          <cell r="J1">
            <v>1.7453292519943295E-2</v>
          </cell>
        </row>
      </sheetData>
      <sheetData sheetId="3206">
        <row r="1">
          <cell r="J1">
            <v>1.7453292519943295E-2</v>
          </cell>
        </row>
      </sheetData>
      <sheetData sheetId="3207">
        <row r="1">
          <cell r="J1">
            <v>1.7453292519943295E-2</v>
          </cell>
        </row>
      </sheetData>
      <sheetData sheetId="3208">
        <row r="1">
          <cell r="J1">
            <v>1.7453292519943295E-2</v>
          </cell>
        </row>
      </sheetData>
      <sheetData sheetId="3209">
        <row r="1">
          <cell r="J1">
            <v>1.7453292519943295E-2</v>
          </cell>
        </row>
      </sheetData>
      <sheetData sheetId="3210">
        <row r="1">
          <cell r="J1">
            <v>1.7453292519943295E-2</v>
          </cell>
        </row>
      </sheetData>
      <sheetData sheetId="3211">
        <row r="1">
          <cell r="J1">
            <v>1.7453292519943295E-2</v>
          </cell>
        </row>
      </sheetData>
      <sheetData sheetId="3212">
        <row r="1">
          <cell r="J1">
            <v>1.7453292519943295E-2</v>
          </cell>
        </row>
      </sheetData>
      <sheetData sheetId="3213">
        <row r="1">
          <cell r="J1">
            <v>1.7453292519943295E-2</v>
          </cell>
        </row>
      </sheetData>
      <sheetData sheetId="3214">
        <row r="1">
          <cell r="J1">
            <v>1.7453292519943295E-2</v>
          </cell>
        </row>
      </sheetData>
      <sheetData sheetId="3215">
        <row r="1">
          <cell r="J1">
            <v>1.7453292519943295E-2</v>
          </cell>
        </row>
      </sheetData>
      <sheetData sheetId="3216">
        <row r="1">
          <cell r="J1">
            <v>1.7453292519943295E-2</v>
          </cell>
        </row>
      </sheetData>
      <sheetData sheetId="3217">
        <row r="1">
          <cell r="J1">
            <v>1.7453292519943295E-2</v>
          </cell>
        </row>
      </sheetData>
      <sheetData sheetId="3218">
        <row r="1">
          <cell r="J1">
            <v>1.7453292519943295E-2</v>
          </cell>
        </row>
      </sheetData>
      <sheetData sheetId="3219">
        <row r="1">
          <cell r="J1">
            <v>1.7453292519943295E-2</v>
          </cell>
        </row>
      </sheetData>
      <sheetData sheetId="3220">
        <row r="1">
          <cell r="J1">
            <v>1.7453292519943295E-2</v>
          </cell>
        </row>
      </sheetData>
      <sheetData sheetId="3221">
        <row r="1">
          <cell r="J1">
            <v>1.7453292519943295E-2</v>
          </cell>
        </row>
      </sheetData>
      <sheetData sheetId="3222">
        <row r="1">
          <cell r="J1">
            <v>1.7453292519943295E-2</v>
          </cell>
        </row>
      </sheetData>
      <sheetData sheetId="3223">
        <row r="1">
          <cell r="J1">
            <v>1.7453292519943295E-2</v>
          </cell>
        </row>
      </sheetData>
      <sheetData sheetId="3224">
        <row r="1">
          <cell r="J1">
            <v>1.7453292519943295E-2</v>
          </cell>
        </row>
      </sheetData>
      <sheetData sheetId="3225">
        <row r="1">
          <cell r="J1">
            <v>1.7453292519943295E-2</v>
          </cell>
        </row>
      </sheetData>
      <sheetData sheetId="3226">
        <row r="1">
          <cell r="J1">
            <v>1.7453292519943295E-2</v>
          </cell>
        </row>
      </sheetData>
      <sheetData sheetId="3227">
        <row r="1">
          <cell r="J1">
            <v>1.7453292519943295E-2</v>
          </cell>
        </row>
      </sheetData>
      <sheetData sheetId="3228">
        <row r="1">
          <cell r="J1">
            <v>1.7453292519943295E-2</v>
          </cell>
        </row>
      </sheetData>
      <sheetData sheetId="3229">
        <row r="1">
          <cell r="J1">
            <v>1.7453292519943295E-2</v>
          </cell>
        </row>
      </sheetData>
      <sheetData sheetId="3230">
        <row r="1">
          <cell r="J1">
            <v>1.7453292519943295E-2</v>
          </cell>
        </row>
      </sheetData>
      <sheetData sheetId="3231">
        <row r="1">
          <cell r="J1">
            <v>1.7453292519943295E-2</v>
          </cell>
        </row>
      </sheetData>
      <sheetData sheetId="3232">
        <row r="1">
          <cell r="J1">
            <v>1.7453292519943295E-2</v>
          </cell>
        </row>
      </sheetData>
      <sheetData sheetId="3233">
        <row r="1">
          <cell r="J1">
            <v>1.7453292519943295E-2</v>
          </cell>
        </row>
      </sheetData>
      <sheetData sheetId="3234">
        <row r="1">
          <cell r="J1">
            <v>1.7453292519943295E-2</v>
          </cell>
        </row>
      </sheetData>
      <sheetData sheetId="3235">
        <row r="1">
          <cell r="J1">
            <v>1.7453292519943295E-2</v>
          </cell>
        </row>
      </sheetData>
      <sheetData sheetId="3236">
        <row r="1">
          <cell r="J1">
            <v>1.7453292519943295E-2</v>
          </cell>
        </row>
      </sheetData>
      <sheetData sheetId="3237">
        <row r="1">
          <cell r="J1">
            <v>1.7453292519943295E-2</v>
          </cell>
        </row>
      </sheetData>
      <sheetData sheetId="3238">
        <row r="1">
          <cell r="J1">
            <v>1.7453292519943295E-2</v>
          </cell>
        </row>
      </sheetData>
      <sheetData sheetId="3239">
        <row r="1">
          <cell r="J1">
            <v>1.7453292519943295E-2</v>
          </cell>
        </row>
      </sheetData>
      <sheetData sheetId="3240">
        <row r="1">
          <cell r="J1">
            <v>1.7453292519943295E-2</v>
          </cell>
        </row>
      </sheetData>
      <sheetData sheetId="3241">
        <row r="1">
          <cell r="J1">
            <v>1.7453292519943295E-2</v>
          </cell>
        </row>
      </sheetData>
      <sheetData sheetId="3242">
        <row r="1">
          <cell r="J1">
            <v>1.7453292519943295E-2</v>
          </cell>
        </row>
      </sheetData>
      <sheetData sheetId="3243">
        <row r="1">
          <cell r="J1">
            <v>1.7453292519943295E-2</v>
          </cell>
        </row>
      </sheetData>
      <sheetData sheetId="3244">
        <row r="1">
          <cell r="J1">
            <v>1.7453292519943295E-2</v>
          </cell>
        </row>
      </sheetData>
      <sheetData sheetId="3245">
        <row r="1">
          <cell r="J1">
            <v>1.7453292519943295E-2</v>
          </cell>
        </row>
      </sheetData>
      <sheetData sheetId="3246">
        <row r="1">
          <cell r="J1">
            <v>1.7453292519943295E-2</v>
          </cell>
        </row>
      </sheetData>
      <sheetData sheetId="3247">
        <row r="1">
          <cell r="J1">
            <v>1.7453292519943295E-2</v>
          </cell>
        </row>
      </sheetData>
      <sheetData sheetId="3248">
        <row r="1">
          <cell r="J1">
            <v>1.7453292519943295E-2</v>
          </cell>
        </row>
      </sheetData>
      <sheetData sheetId="3249">
        <row r="1">
          <cell r="J1">
            <v>1.7453292519943295E-2</v>
          </cell>
        </row>
      </sheetData>
      <sheetData sheetId="3250">
        <row r="1">
          <cell r="J1">
            <v>1.7453292519943295E-2</v>
          </cell>
        </row>
      </sheetData>
      <sheetData sheetId="3251">
        <row r="1">
          <cell r="J1">
            <v>1.7453292519943295E-2</v>
          </cell>
        </row>
      </sheetData>
      <sheetData sheetId="3252">
        <row r="1">
          <cell r="J1">
            <v>1.7453292519943295E-2</v>
          </cell>
        </row>
      </sheetData>
      <sheetData sheetId="3253">
        <row r="1">
          <cell r="J1">
            <v>1.7453292519943295E-2</v>
          </cell>
        </row>
      </sheetData>
      <sheetData sheetId="3254">
        <row r="1">
          <cell r="J1">
            <v>1.7453292519943295E-2</v>
          </cell>
        </row>
      </sheetData>
      <sheetData sheetId="3255">
        <row r="1">
          <cell r="J1">
            <v>1.7453292519943295E-2</v>
          </cell>
        </row>
      </sheetData>
      <sheetData sheetId="3256">
        <row r="1">
          <cell r="J1">
            <v>1.7453292519943295E-2</v>
          </cell>
        </row>
      </sheetData>
      <sheetData sheetId="3257">
        <row r="1">
          <cell r="J1">
            <v>1.7453292519943295E-2</v>
          </cell>
        </row>
      </sheetData>
      <sheetData sheetId="3258">
        <row r="1">
          <cell r="J1">
            <v>1.7453292519943295E-2</v>
          </cell>
        </row>
      </sheetData>
      <sheetData sheetId="3259">
        <row r="1">
          <cell r="J1">
            <v>1.7453292519943295E-2</v>
          </cell>
        </row>
      </sheetData>
      <sheetData sheetId="3260">
        <row r="1">
          <cell r="J1">
            <v>1.7453292519943295E-2</v>
          </cell>
        </row>
      </sheetData>
      <sheetData sheetId="3261">
        <row r="1">
          <cell r="J1">
            <v>1.7453292519943295E-2</v>
          </cell>
        </row>
      </sheetData>
      <sheetData sheetId="3262">
        <row r="1">
          <cell r="J1">
            <v>1.7453292519943295E-2</v>
          </cell>
        </row>
      </sheetData>
      <sheetData sheetId="3263">
        <row r="1">
          <cell r="J1">
            <v>1.7453292519943295E-2</v>
          </cell>
        </row>
      </sheetData>
      <sheetData sheetId="3264">
        <row r="1">
          <cell r="J1">
            <v>1.7453292519943295E-2</v>
          </cell>
        </row>
      </sheetData>
      <sheetData sheetId="3265">
        <row r="1">
          <cell r="J1">
            <v>1.7453292519943295E-2</v>
          </cell>
        </row>
      </sheetData>
      <sheetData sheetId="3266">
        <row r="1">
          <cell r="J1">
            <v>1.7453292519943295E-2</v>
          </cell>
        </row>
      </sheetData>
      <sheetData sheetId="3267">
        <row r="1">
          <cell r="J1">
            <v>1.7453292519943295E-2</v>
          </cell>
        </row>
      </sheetData>
      <sheetData sheetId="3268">
        <row r="1">
          <cell r="J1">
            <v>1.7453292519943295E-2</v>
          </cell>
        </row>
      </sheetData>
      <sheetData sheetId="3269">
        <row r="1">
          <cell r="J1">
            <v>1.7453292519943295E-2</v>
          </cell>
        </row>
      </sheetData>
      <sheetData sheetId="3270">
        <row r="1">
          <cell r="J1">
            <v>1.7453292519943295E-2</v>
          </cell>
        </row>
      </sheetData>
      <sheetData sheetId="3271">
        <row r="1">
          <cell r="J1">
            <v>1.7453292519943295E-2</v>
          </cell>
        </row>
      </sheetData>
      <sheetData sheetId="3272">
        <row r="1">
          <cell r="J1">
            <v>1.7453292519943295E-2</v>
          </cell>
        </row>
      </sheetData>
      <sheetData sheetId="3273">
        <row r="1">
          <cell r="J1">
            <v>1.7453292519943295E-2</v>
          </cell>
        </row>
      </sheetData>
      <sheetData sheetId="3274">
        <row r="1">
          <cell r="J1">
            <v>1.7453292519943295E-2</v>
          </cell>
        </row>
      </sheetData>
      <sheetData sheetId="3275">
        <row r="1">
          <cell r="J1">
            <v>1.7453292519943295E-2</v>
          </cell>
        </row>
      </sheetData>
      <sheetData sheetId="3276">
        <row r="1">
          <cell r="J1">
            <v>1.7453292519943295E-2</v>
          </cell>
        </row>
      </sheetData>
      <sheetData sheetId="3277">
        <row r="1">
          <cell r="J1">
            <v>1.7453292519943295E-2</v>
          </cell>
        </row>
      </sheetData>
      <sheetData sheetId="3278">
        <row r="1">
          <cell r="J1">
            <v>1.7453292519943295E-2</v>
          </cell>
        </row>
      </sheetData>
      <sheetData sheetId="3279">
        <row r="1">
          <cell r="J1">
            <v>1.7453292519943295E-2</v>
          </cell>
        </row>
      </sheetData>
      <sheetData sheetId="3280">
        <row r="1">
          <cell r="J1">
            <v>1.7453292519943295E-2</v>
          </cell>
        </row>
      </sheetData>
      <sheetData sheetId="3281">
        <row r="1">
          <cell r="J1">
            <v>1.7453292519943295E-2</v>
          </cell>
        </row>
      </sheetData>
      <sheetData sheetId="3282">
        <row r="1">
          <cell r="J1">
            <v>1.7453292519943295E-2</v>
          </cell>
        </row>
      </sheetData>
      <sheetData sheetId="3283">
        <row r="1">
          <cell r="J1">
            <v>1.7453292519943295E-2</v>
          </cell>
        </row>
      </sheetData>
      <sheetData sheetId="3284">
        <row r="1">
          <cell r="J1">
            <v>1.7453292519943295E-2</v>
          </cell>
        </row>
      </sheetData>
      <sheetData sheetId="3285">
        <row r="1">
          <cell r="J1">
            <v>1.7453292519943295E-2</v>
          </cell>
        </row>
      </sheetData>
      <sheetData sheetId="3286">
        <row r="1">
          <cell r="J1">
            <v>1.7453292519943295E-2</v>
          </cell>
        </row>
      </sheetData>
      <sheetData sheetId="3287">
        <row r="1">
          <cell r="J1">
            <v>1.7453292519943295E-2</v>
          </cell>
        </row>
      </sheetData>
      <sheetData sheetId="3288">
        <row r="1">
          <cell r="J1">
            <v>1.7453292519943295E-2</v>
          </cell>
        </row>
      </sheetData>
      <sheetData sheetId="3289">
        <row r="1">
          <cell r="J1">
            <v>1.7453292519943295E-2</v>
          </cell>
        </row>
      </sheetData>
      <sheetData sheetId="3290">
        <row r="1">
          <cell r="J1">
            <v>1.7453292519943295E-2</v>
          </cell>
        </row>
      </sheetData>
      <sheetData sheetId="3291">
        <row r="1">
          <cell r="J1">
            <v>1.7453292519943295E-2</v>
          </cell>
        </row>
      </sheetData>
      <sheetData sheetId="3292">
        <row r="1">
          <cell r="J1">
            <v>1.7453292519943295E-2</v>
          </cell>
        </row>
      </sheetData>
      <sheetData sheetId="3293">
        <row r="1">
          <cell r="J1">
            <v>1.7453292519943295E-2</v>
          </cell>
        </row>
      </sheetData>
      <sheetData sheetId="3294">
        <row r="1">
          <cell r="J1">
            <v>1.7453292519943295E-2</v>
          </cell>
        </row>
      </sheetData>
      <sheetData sheetId="3295">
        <row r="1">
          <cell r="J1">
            <v>1.7453292519943295E-2</v>
          </cell>
        </row>
      </sheetData>
      <sheetData sheetId="3296">
        <row r="1">
          <cell r="J1">
            <v>1.7453292519943295E-2</v>
          </cell>
        </row>
      </sheetData>
      <sheetData sheetId="3297">
        <row r="1">
          <cell r="J1">
            <v>1.7453292519943295E-2</v>
          </cell>
        </row>
      </sheetData>
      <sheetData sheetId="3298">
        <row r="1">
          <cell r="J1">
            <v>1.7453292519943295E-2</v>
          </cell>
        </row>
      </sheetData>
      <sheetData sheetId="3299">
        <row r="1">
          <cell r="J1">
            <v>1.7453292519943295E-2</v>
          </cell>
        </row>
      </sheetData>
      <sheetData sheetId="3300">
        <row r="1">
          <cell r="J1">
            <v>1.7453292519943295E-2</v>
          </cell>
        </row>
      </sheetData>
      <sheetData sheetId="3301">
        <row r="1">
          <cell r="J1">
            <v>1.7453292519943295E-2</v>
          </cell>
        </row>
      </sheetData>
      <sheetData sheetId="3302">
        <row r="1">
          <cell r="J1">
            <v>1.7453292519943295E-2</v>
          </cell>
        </row>
      </sheetData>
      <sheetData sheetId="3303">
        <row r="1">
          <cell r="J1">
            <v>1.7453292519943295E-2</v>
          </cell>
        </row>
      </sheetData>
      <sheetData sheetId="3304">
        <row r="1">
          <cell r="J1">
            <v>1.7453292519943295E-2</v>
          </cell>
        </row>
      </sheetData>
      <sheetData sheetId="3305">
        <row r="1">
          <cell r="J1">
            <v>1.7453292519943295E-2</v>
          </cell>
        </row>
      </sheetData>
      <sheetData sheetId="3306">
        <row r="1">
          <cell r="J1">
            <v>1.7453292519943295E-2</v>
          </cell>
        </row>
      </sheetData>
      <sheetData sheetId="3307">
        <row r="1">
          <cell r="J1">
            <v>1.7453292519943295E-2</v>
          </cell>
        </row>
      </sheetData>
      <sheetData sheetId="3308">
        <row r="1">
          <cell r="J1">
            <v>1.7453292519943295E-2</v>
          </cell>
        </row>
      </sheetData>
      <sheetData sheetId="3309">
        <row r="1">
          <cell r="J1">
            <v>1.7453292519943295E-2</v>
          </cell>
        </row>
      </sheetData>
      <sheetData sheetId="3310">
        <row r="1">
          <cell r="J1">
            <v>1.7453292519943295E-2</v>
          </cell>
        </row>
      </sheetData>
      <sheetData sheetId="3311">
        <row r="1">
          <cell r="J1">
            <v>1.7453292519943295E-2</v>
          </cell>
        </row>
      </sheetData>
      <sheetData sheetId="3312">
        <row r="1">
          <cell r="J1">
            <v>1.7453292519943295E-2</v>
          </cell>
        </row>
      </sheetData>
      <sheetData sheetId="3313">
        <row r="1">
          <cell r="J1">
            <v>1.7453292519943295E-2</v>
          </cell>
        </row>
      </sheetData>
      <sheetData sheetId="3314">
        <row r="1">
          <cell r="J1">
            <v>1.7453292519943295E-2</v>
          </cell>
        </row>
      </sheetData>
      <sheetData sheetId="3315">
        <row r="1">
          <cell r="J1">
            <v>1.7453292519943295E-2</v>
          </cell>
        </row>
      </sheetData>
      <sheetData sheetId="3316">
        <row r="1">
          <cell r="J1">
            <v>1.7453292519943295E-2</v>
          </cell>
        </row>
      </sheetData>
      <sheetData sheetId="3317">
        <row r="1">
          <cell r="J1">
            <v>1.7453292519943295E-2</v>
          </cell>
        </row>
      </sheetData>
      <sheetData sheetId="3318">
        <row r="1">
          <cell r="J1">
            <v>1.7453292519943295E-2</v>
          </cell>
        </row>
      </sheetData>
      <sheetData sheetId="3319">
        <row r="1">
          <cell r="J1">
            <v>1.7453292519943295E-2</v>
          </cell>
        </row>
      </sheetData>
      <sheetData sheetId="3320">
        <row r="1">
          <cell r="J1">
            <v>1.7453292519943295E-2</v>
          </cell>
        </row>
      </sheetData>
      <sheetData sheetId="3321">
        <row r="1">
          <cell r="J1">
            <v>1.7453292519943295E-2</v>
          </cell>
        </row>
      </sheetData>
      <sheetData sheetId="3322">
        <row r="1">
          <cell r="J1">
            <v>1.7453292519943295E-2</v>
          </cell>
        </row>
      </sheetData>
      <sheetData sheetId="3323">
        <row r="1">
          <cell r="J1">
            <v>1.7453292519943295E-2</v>
          </cell>
        </row>
      </sheetData>
      <sheetData sheetId="3324">
        <row r="1">
          <cell r="J1">
            <v>1.7453292519943295E-2</v>
          </cell>
        </row>
      </sheetData>
      <sheetData sheetId="3325">
        <row r="1">
          <cell r="J1">
            <v>1.7453292519943295E-2</v>
          </cell>
        </row>
      </sheetData>
      <sheetData sheetId="3326">
        <row r="1">
          <cell r="J1">
            <v>1.7453292519943295E-2</v>
          </cell>
        </row>
      </sheetData>
      <sheetData sheetId="3327">
        <row r="1">
          <cell r="J1">
            <v>1.7453292519943295E-2</v>
          </cell>
        </row>
      </sheetData>
      <sheetData sheetId="3328">
        <row r="1">
          <cell r="J1">
            <v>1.7453292519943295E-2</v>
          </cell>
        </row>
      </sheetData>
      <sheetData sheetId="3329">
        <row r="1">
          <cell r="J1">
            <v>1.7453292519943295E-2</v>
          </cell>
        </row>
      </sheetData>
      <sheetData sheetId="3330">
        <row r="1">
          <cell r="J1">
            <v>1.7453292519943295E-2</v>
          </cell>
        </row>
      </sheetData>
      <sheetData sheetId="3331">
        <row r="1">
          <cell r="J1">
            <v>1.7453292519943295E-2</v>
          </cell>
        </row>
      </sheetData>
      <sheetData sheetId="3332">
        <row r="1">
          <cell r="J1">
            <v>1.7453292519943295E-2</v>
          </cell>
        </row>
      </sheetData>
      <sheetData sheetId="3333">
        <row r="1">
          <cell r="J1">
            <v>1.7453292519943295E-2</v>
          </cell>
        </row>
      </sheetData>
      <sheetData sheetId="3334">
        <row r="1">
          <cell r="J1">
            <v>1.7453292519943295E-2</v>
          </cell>
        </row>
      </sheetData>
      <sheetData sheetId="3335">
        <row r="1">
          <cell r="J1">
            <v>1.7453292519943295E-2</v>
          </cell>
        </row>
      </sheetData>
      <sheetData sheetId="3336">
        <row r="1">
          <cell r="J1">
            <v>1.7453292519943295E-2</v>
          </cell>
        </row>
      </sheetData>
      <sheetData sheetId="3337">
        <row r="1">
          <cell r="J1">
            <v>1.7453292519943295E-2</v>
          </cell>
        </row>
      </sheetData>
      <sheetData sheetId="3338">
        <row r="1">
          <cell r="J1">
            <v>1.7453292519943295E-2</v>
          </cell>
        </row>
      </sheetData>
      <sheetData sheetId="3339">
        <row r="1">
          <cell r="J1">
            <v>1.7453292519943295E-2</v>
          </cell>
        </row>
      </sheetData>
      <sheetData sheetId="3340">
        <row r="1">
          <cell r="J1">
            <v>1.7453292519943295E-2</v>
          </cell>
        </row>
      </sheetData>
      <sheetData sheetId="3341">
        <row r="1">
          <cell r="J1">
            <v>1.7453292519943295E-2</v>
          </cell>
        </row>
      </sheetData>
      <sheetData sheetId="3342">
        <row r="1">
          <cell r="J1">
            <v>1.7453292519943295E-2</v>
          </cell>
        </row>
      </sheetData>
      <sheetData sheetId="3343">
        <row r="1">
          <cell r="J1">
            <v>1.7453292519943295E-2</v>
          </cell>
        </row>
      </sheetData>
      <sheetData sheetId="3344">
        <row r="1">
          <cell r="J1">
            <v>1.7453292519943295E-2</v>
          </cell>
        </row>
      </sheetData>
      <sheetData sheetId="3345">
        <row r="1">
          <cell r="J1">
            <v>1.7453292519943295E-2</v>
          </cell>
        </row>
      </sheetData>
      <sheetData sheetId="3346">
        <row r="1">
          <cell r="J1">
            <v>1.7453292519943295E-2</v>
          </cell>
        </row>
      </sheetData>
      <sheetData sheetId="3347">
        <row r="1">
          <cell r="J1">
            <v>1.7453292519943295E-2</v>
          </cell>
        </row>
      </sheetData>
      <sheetData sheetId="3348">
        <row r="1">
          <cell r="J1">
            <v>1.7453292519943295E-2</v>
          </cell>
        </row>
      </sheetData>
      <sheetData sheetId="3349">
        <row r="1">
          <cell r="J1">
            <v>1.7453292519943295E-2</v>
          </cell>
        </row>
      </sheetData>
      <sheetData sheetId="3350">
        <row r="1">
          <cell r="J1">
            <v>1.7453292519943295E-2</v>
          </cell>
        </row>
      </sheetData>
      <sheetData sheetId="3351">
        <row r="1">
          <cell r="J1">
            <v>1.7453292519943295E-2</v>
          </cell>
        </row>
      </sheetData>
      <sheetData sheetId="3352">
        <row r="1">
          <cell r="J1">
            <v>1.7453292519943295E-2</v>
          </cell>
        </row>
      </sheetData>
      <sheetData sheetId="3353">
        <row r="1">
          <cell r="J1">
            <v>1.7453292519943295E-2</v>
          </cell>
        </row>
      </sheetData>
      <sheetData sheetId="3354">
        <row r="1">
          <cell r="J1">
            <v>1.7453292519943295E-2</v>
          </cell>
        </row>
      </sheetData>
      <sheetData sheetId="3355">
        <row r="1">
          <cell r="J1">
            <v>1.7453292519943295E-2</v>
          </cell>
        </row>
      </sheetData>
      <sheetData sheetId="3356">
        <row r="1">
          <cell r="J1">
            <v>1.7453292519943295E-2</v>
          </cell>
        </row>
      </sheetData>
      <sheetData sheetId="3357">
        <row r="1">
          <cell r="J1">
            <v>1.7453292519943295E-2</v>
          </cell>
        </row>
      </sheetData>
      <sheetData sheetId="3358">
        <row r="1">
          <cell r="J1">
            <v>1.7453292519943295E-2</v>
          </cell>
        </row>
      </sheetData>
      <sheetData sheetId="3359">
        <row r="1">
          <cell r="J1">
            <v>1.7453292519943295E-2</v>
          </cell>
        </row>
      </sheetData>
      <sheetData sheetId="3360">
        <row r="1">
          <cell r="J1">
            <v>1.7453292519943295E-2</v>
          </cell>
        </row>
      </sheetData>
      <sheetData sheetId="3361">
        <row r="1">
          <cell r="J1">
            <v>1.7453292519943295E-2</v>
          </cell>
        </row>
      </sheetData>
      <sheetData sheetId="3362">
        <row r="1">
          <cell r="J1">
            <v>1.7453292519943295E-2</v>
          </cell>
        </row>
      </sheetData>
      <sheetData sheetId="3363">
        <row r="1">
          <cell r="J1">
            <v>1.7453292519943295E-2</v>
          </cell>
        </row>
      </sheetData>
      <sheetData sheetId="3364">
        <row r="1">
          <cell r="J1">
            <v>1.7453292519943295E-2</v>
          </cell>
        </row>
      </sheetData>
      <sheetData sheetId="3365">
        <row r="1">
          <cell r="J1">
            <v>1.7453292519943295E-2</v>
          </cell>
        </row>
      </sheetData>
      <sheetData sheetId="3366">
        <row r="1">
          <cell r="J1">
            <v>1.7453292519943295E-2</v>
          </cell>
        </row>
      </sheetData>
      <sheetData sheetId="3367">
        <row r="1">
          <cell r="J1">
            <v>1.7453292519943295E-2</v>
          </cell>
        </row>
      </sheetData>
      <sheetData sheetId="3368">
        <row r="1">
          <cell r="J1">
            <v>1.7453292519943295E-2</v>
          </cell>
        </row>
      </sheetData>
      <sheetData sheetId="3369">
        <row r="1">
          <cell r="J1">
            <v>1.7453292519943295E-2</v>
          </cell>
        </row>
      </sheetData>
      <sheetData sheetId="3370">
        <row r="1">
          <cell r="J1">
            <v>1.7453292519943295E-2</v>
          </cell>
        </row>
      </sheetData>
      <sheetData sheetId="3371">
        <row r="1">
          <cell r="J1">
            <v>1.7453292519943295E-2</v>
          </cell>
        </row>
      </sheetData>
      <sheetData sheetId="3372">
        <row r="1">
          <cell r="J1">
            <v>1.7453292519943295E-2</v>
          </cell>
        </row>
      </sheetData>
      <sheetData sheetId="3373">
        <row r="1">
          <cell r="J1">
            <v>1.7453292519943295E-2</v>
          </cell>
        </row>
      </sheetData>
      <sheetData sheetId="3374">
        <row r="1">
          <cell r="J1">
            <v>1.7453292519943295E-2</v>
          </cell>
        </row>
      </sheetData>
      <sheetData sheetId="3375">
        <row r="1">
          <cell r="J1">
            <v>1.7453292519943295E-2</v>
          </cell>
        </row>
      </sheetData>
      <sheetData sheetId="3376">
        <row r="1">
          <cell r="J1">
            <v>1.7453292519943295E-2</v>
          </cell>
        </row>
      </sheetData>
      <sheetData sheetId="3377">
        <row r="1">
          <cell r="J1">
            <v>1.7453292519943295E-2</v>
          </cell>
        </row>
      </sheetData>
      <sheetData sheetId="3378">
        <row r="1">
          <cell r="J1">
            <v>1.7453292519943295E-2</v>
          </cell>
        </row>
      </sheetData>
      <sheetData sheetId="3379">
        <row r="1">
          <cell r="J1">
            <v>1.7453292519943295E-2</v>
          </cell>
        </row>
      </sheetData>
      <sheetData sheetId="3380">
        <row r="1">
          <cell r="J1">
            <v>1.7453292519943295E-2</v>
          </cell>
        </row>
      </sheetData>
      <sheetData sheetId="3381">
        <row r="1">
          <cell r="J1">
            <v>1.7453292519943295E-2</v>
          </cell>
        </row>
      </sheetData>
      <sheetData sheetId="3382">
        <row r="1">
          <cell r="J1">
            <v>1.7453292519943295E-2</v>
          </cell>
        </row>
      </sheetData>
      <sheetData sheetId="3383">
        <row r="1">
          <cell r="J1">
            <v>1.7453292519943295E-2</v>
          </cell>
        </row>
      </sheetData>
      <sheetData sheetId="3384">
        <row r="1">
          <cell r="J1">
            <v>1.7453292519943295E-2</v>
          </cell>
        </row>
      </sheetData>
      <sheetData sheetId="3385">
        <row r="1">
          <cell r="J1">
            <v>1.7453292519943295E-2</v>
          </cell>
        </row>
      </sheetData>
      <sheetData sheetId="3386">
        <row r="1">
          <cell r="J1">
            <v>1.7453292519943295E-2</v>
          </cell>
        </row>
      </sheetData>
      <sheetData sheetId="3387">
        <row r="1">
          <cell r="J1">
            <v>1.7453292519943295E-2</v>
          </cell>
        </row>
      </sheetData>
      <sheetData sheetId="3388">
        <row r="1">
          <cell r="J1">
            <v>1.7453292519943295E-2</v>
          </cell>
        </row>
      </sheetData>
      <sheetData sheetId="3389">
        <row r="1">
          <cell r="J1">
            <v>1.7453292519943295E-2</v>
          </cell>
        </row>
      </sheetData>
      <sheetData sheetId="3390">
        <row r="1">
          <cell r="J1">
            <v>1.7453292519943295E-2</v>
          </cell>
        </row>
      </sheetData>
      <sheetData sheetId="3391">
        <row r="1">
          <cell r="J1">
            <v>1.7453292519943295E-2</v>
          </cell>
        </row>
      </sheetData>
      <sheetData sheetId="3392">
        <row r="1">
          <cell r="J1">
            <v>1.7453292519943295E-2</v>
          </cell>
        </row>
      </sheetData>
      <sheetData sheetId="3393">
        <row r="1">
          <cell r="J1">
            <v>1.7453292519943295E-2</v>
          </cell>
        </row>
      </sheetData>
      <sheetData sheetId="3394">
        <row r="1">
          <cell r="J1">
            <v>1.7453292519943295E-2</v>
          </cell>
        </row>
      </sheetData>
      <sheetData sheetId="3395">
        <row r="1">
          <cell r="J1">
            <v>1.7453292519943295E-2</v>
          </cell>
        </row>
      </sheetData>
      <sheetData sheetId="3396">
        <row r="1">
          <cell r="J1">
            <v>1.7453292519943295E-2</v>
          </cell>
        </row>
      </sheetData>
      <sheetData sheetId="3397">
        <row r="1">
          <cell r="J1">
            <v>1.7453292519943295E-2</v>
          </cell>
        </row>
      </sheetData>
      <sheetData sheetId="3398">
        <row r="1">
          <cell r="J1">
            <v>1.7453292519943295E-2</v>
          </cell>
        </row>
      </sheetData>
      <sheetData sheetId="3399">
        <row r="1">
          <cell r="J1">
            <v>1.7453292519943295E-2</v>
          </cell>
        </row>
      </sheetData>
      <sheetData sheetId="3400">
        <row r="1">
          <cell r="J1">
            <v>1.7453292519943295E-2</v>
          </cell>
        </row>
      </sheetData>
      <sheetData sheetId="3401">
        <row r="1">
          <cell r="J1">
            <v>1.7453292519943295E-2</v>
          </cell>
        </row>
      </sheetData>
      <sheetData sheetId="3402">
        <row r="1">
          <cell r="J1">
            <v>1.7453292519943295E-2</v>
          </cell>
        </row>
      </sheetData>
      <sheetData sheetId="3403">
        <row r="1">
          <cell r="J1">
            <v>1.7453292519943295E-2</v>
          </cell>
        </row>
      </sheetData>
      <sheetData sheetId="3404">
        <row r="1">
          <cell r="J1">
            <v>1.7453292519943295E-2</v>
          </cell>
        </row>
      </sheetData>
      <sheetData sheetId="3405">
        <row r="1">
          <cell r="J1">
            <v>1.7453292519943295E-2</v>
          </cell>
        </row>
      </sheetData>
      <sheetData sheetId="3406">
        <row r="1">
          <cell r="J1">
            <v>1.7453292519943295E-2</v>
          </cell>
        </row>
      </sheetData>
      <sheetData sheetId="3407">
        <row r="1">
          <cell r="J1">
            <v>1.7453292519943295E-2</v>
          </cell>
        </row>
      </sheetData>
      <sheetData sheetId="3408">
        <row r="1">
          <cell r="J1">
            <v>1.7453292519943295E-2</v>
          </cell>
        </row>
      </sheetData>
      <sheetData sheetId="3409">
        <row r="1">
          <cell r="J1">
            <v>1.7453292519943295E-2</v>
          </cell>
        </row>
      </sheetData>
      <sheetData sheetId="3410">
        <row r="1">
          <cell r="J1">
            <v>1.7453292519943295E-2</v>
          </cell>
        </row>
      </sheetData>
      <sheetData sheetId="3411">
        <row r="1">
          <cell r="J1">
            <v>1.7453292519943295E-2</v>
          </cell>
        </row>
      </sheetData>
      <sheetData sheetId="3412">
        <row r="1">
          <cell r="J1">
            <v>1.7453292519943295E-2</v>
          </cell>
        </row>
      </sheetData>
      <sheetData sheetId="3413">
        <row r="1">
          <cell r="J1">
            <v>1.7453292519943295E-2</v>
          </cell>
        </row>
      </sheetData>
      <sheetData sheetId="3414">
        <row r="1">
          <cell r="J1">
            <v>1.7453292519943295E-2</v>
          </cell>
        </row>
      </sheetData>
      <sheetData sheetId="3415">
        <row r="1">
          <cell r="J1">
            <v>1.7453292519943295E-2</v>
          </cell>
        </row>
      </sheetData>
      <sheetData sheetId="3416">
        <row r="1">
          <cell r="J1">
            <v>1.7453292519943295E-2</v>
          </cell>
        </row>
      </sheetData>
      <sheetData sheetId="3417">
        <row r="1">
          <cell r="J1">
            <v>1.7453292519943295E-2</v>
          </cell>
        </row>
      </sheetData>
      <sheetData sheetId="3418">
        <row r="1">
          <cell r="J1">
            <v>1.7453292519943295E-2</v>
          </cell>
        </row>
      </sheetData>
      <sheetData sheetId="3419">
        <row r="1">
          <cell r="J1">
            <v>1.7453292519943295E-2</v>
          </cell>
        </row>
      </sheetData>
      <sheetData sheetId="3420">
        <row r="1">
          <cell r="J1">
            <v>1.7453292519943295E-2</v>
          </cell>
        </row>
      </sheetData>
      <sheetData sheetId="3421">
        <row r="1">
          <cell r="J1">
            <v>1.7453292519943295E-2</v>
          </cell>
        </row>
      </sheetData>
      <sheetData sheetId="3422">
        <row r="1">
          <cell r="J1">
            <v>1.7453292519943295E-2</v>
          </cell>
        </row>
      </sheetData>
      <sheetData sheetId="3423">
        <row r="1">
          <cell r="J1">
            <v>1.7453292519943295E-2</v>
          </cell>
        </row>
      </sheetData>
      <sheetData sheetId="3424">
        <row r="1">
          <cell r="J1">
            <v>1.7453292519943295E-2</v>
          </cell>
        </row>
      </sheetData>
      <sheetData sheetId="3425">
        <row r="1">
          <cell r="J1">
            <v>1.7453292519943295E-2</v>
          </cell>
        </row>
      </sheetData>
      <sheetData sheetId="3426">
        <row r="1">
          <cell r="J1">
            <v>1.7453292519943295E-2</v>
          </cell>
        </row>
      </sheetData>
      <sheetData sheetId="3427">
        <row r="1">
          <cell r="J1">
            <v>1.7453292519943295E-2</v>
          </cell>
        </row>
      </sheetData>
      <sheetData sheetId="3428">
        <row r="1">
          <cell r="J1">
            <v>1.7453292519943295E-2</v>
          </cell>
        </row>
      </sheetData>
      <sheetData sheetId="3429">
        <row r="1">
          <cell r="J1">
            <v>1.7453292519943295E-2</v>
          </cell>
        </row>
      </sheetData>
      <sheetData sheetId="3430">
        <row r="1">
          <cell r="J1">
            <v>1.7453292519943295E-2</v>
          </cell>
        </row>
      </sheetData>
      <sheetData sheetId="3431">
        <row r="1">
          <cell r="J1">
            <v>1.7453292519943295E-2</v>
          </cell>
        </row>
      </sheetData>
      <sheetData sheetId="3432">
        <row r="1">
          <cell r="J1">
            <v>1.7453292519943295E-2</v>
          </cell>
        </row>
      </sheetData>
      <sheetData sheetId="3433">
        <row r="1">
          <cell r="J1">
            <v>1.7453292519943295E-2</v>
          </cell>
        </row>
      </sheetData>
      <sheetData sheetId="3434">
        <row r="1">
          <cell r="J1">
            <v>1.7453292519943295E-2</v>
          </cell>
        </row>
      </sheetData>
      <sheetData sheetId="3435">
        <row r="1">
          <cell r="J1">
            <v>1.7453292519943295E-2</v>
          </cell>
        </row>
      </sheetData>
      <sheetData sheetId="3436">
        <row r="1">
          <cell r="J1">
            <v>1.7453292519943295E-2</v>
          </cell>
        </row>
      </sheetData>
      <sheetData sheetId="3437">
        <row r="1">
          <cell r="J1">
            <v>1.7453292519943295E-2</v>
          </cell>
        </row>
      </sheetData>
      <sheetData sheetId="3438">
        <row r="1">
          <cell r="J1">
            <v>1.7453292519943295E-2</v>
          </cell>
        </row>
      </sheetData>
      <sheetData sheetId="3439">
        <row r="1">
          <cell r="J1">
            <v>1.7453292519943295E-2</v>
          </cell>
        </row>
      </sheetData>
      <sheetData sheetId="3440">
        <row r="1">
          <cell r="J1">
            <v>1.7453292519943295E-2</v>
          </cell>
        </row>
      </sheetData>
      <sheetData sheetId="3441">
        <row r="1">
          <cell r="J1">
            <v>1.7453292519943295E-2</v>
          </cell>
        </row>
      </sheetData>
      <sheetData sheetId="3442">
        <row r="1">
          <cell r="J1">
            <v>1.7453292519943295E-2</v>
          </cell>
        </row>
      </sheetData>
      <sheetData sheetId="3443">
        <row r="1">
          <cell r="J1">
            <v>1.7453292519943295E-2</v>
          </cell>
        </row>
      </sheetData>
      <sheetData sheetId="3444">
        <row r="1">
          <cell r="J1">
            <v>1.7453292519943295E-2</v>
          </cell>
        </row>
      </sheetData>
      <sheetData sheetId="3445">
        <row r="1">
          <cell r="J1">
            <v>1.7453292519943295E-2</v>
          </cell>
        </row>
      </sheetData>
      <sheetData sheetId="3446">
        <row r="1">
          <cell r="J1">
            <v>1.7453292519943295E-2</v>
          </cell>
        </row>
      </sheetData>
      <sheetData sheetId="3447">
        <row r="1">
          <cell r="J1">
            <v>1.7453292519943295E-2</v>
          </cell>
        </row>
      </sheetData>
      <sheetData sheetId="3448">
        <row r="1">
          <cell r="J1">
            <v>1.7453292519943295E-2</v>
          </cell>
        </row>
      </sheetData>
      <sheetData sheetId="3449">
        <row r="1">
          <cell r="J1">
            <v>1.7453292519943295E-2</v>
          </cell>
        </row>
      </sheetData>
      <sheetData sheetId="3450">
        <row r="1">
          <cell r="J1">
            <v>1.7453292519943295E-2</v>
          </cell>
        </row>
      </sheetData>
      <sheetData sheetId="3451">
        <row r="1">
          <cell r="J1">
            <v>1.7453292519943295E-2</v>
          </cell>
        </row>
      </sheetData>
      <sheetData sheetId="3452">
        <row r="1">
          <cell r="J1">
            <v>1.7453292519943295E-2</v>
          </cell>
        </row>
      </sheetData>
      <sheetData sheetId="3453">
        <row r="1">
          <cell r="J1">
            <v>1.7453292519943295E-2</v>
          </cell>
        </row>
      </sheetData>
      <sheetData sheetId="3454">
        <row r="1">
          <cell r="J1">
            <v>1.7453292519943295E-2</v>
          </cell>
        </row>
      </sheetData>
      <sheetData sheetId="3455">
        <row r="1">
          <cell r="J1">
            <v>1.7453292519943295E-2</v>
          </cell>
        </row>
      </sheetData>
      <sheetData sheetId="3456">
        <row r="1">
          <cell r="J1">
            <v>1.7453292519943295E-2</v>
          </cell>
        </row>
      </sheetData>
      <sheetData sheetId="3457">
        <row r="1">
          <cell r="J1">
            <v>1.7453292519943295E-2</v>
          </cell>
        </row>
      </sheetData>
      <sheetData sheetId="3458">
        <row r="1">
          <cell r="J1">
            <v>1.7453292519943295E-2</v>
          </cell>
        </row>
      </sheetData>
      <sheetData sheetId="3459">
        <row r="1">
          <cell r="J1">
            <v>1.7453292519943295E-2</v>
          </cell>
        </row>
      </sheetData>
      <sheetData sheetId="3460">
        <row r="1">
          <cell r="J1">
            <v>1.7453292519943295E-2</v>
          </cell>
        </row>
      </sheetData>
      <sheetData sheetId="3461">
        <row r="1">
          <cell r="J1">
            <v>1.7453292519943295E-2</v>
          </cell>
        </row>
      </sheetData>
      <sheetData sheetId="3462">
        <row r="1">
          <cell r="J1">
            <v>1.7453292519943295E-2</v>
          </cell>
        </row>
      </sheetData>
      <sheetData sheetId="3463">
        <row r="1">
          <cell r="J1">
            <v>1.7453292519943295E-2</v>
          </cell>
        </row>
      </sheetData>
      <sheetData sheetId="3464">
        <row r="1">
          <cell r="J1">
            <v>1.7453292519943295E-2</v>
          </cell>
        </row>
      </sheetData>
      <sheetData sheetId="3465">
        <row r="1">
          <cell r="J1">
            <v>1.7453292519943295E-2</v>
          </cell>
        </row>
      </sheetData>
      <sheetData sheetId="3466">
        <row r="1">
          <cell r="J1">
            <v>1.7453292519943295E-2</v>
          </cell>
        </row>
      </sheetData>
      <sheetData sheetId="3467">
        <row r="1">
          <cell r="J1">
            <v>1.7453292519943295E-2</v>
          </cell>
        </row>
      </sheetData>
      <sheetData sheetId="3468">
        <row r="1">
          <cell r="J1">
            <v>1.7453292519943295E-2</v>
          </cell>
        </row>
      </sheetData>
      <sheetData sheetId="3469">
        <row r="1">
          <cell r="J1">
            <v>1.7453292519943295E-2</v>
          </cell>
        </row>
      </sheetData>
      <sheetData sheetId="3470">
        <row r="1">
          <cell r="J1">
            <v>1.7453292519943295E-2</v>
          </cell>
        </row>
      </sheetData>
      <sheetData sheetId="3471">
        <row r="1">
          <cell r="J1">
            <v>1.7453292519943295E-2</v>
          </cell>
        </row>
      </sheetData>
      <sheetData sheetId="3472">
        <row r="1">
          <cell r="J1">
            <v>1.7453292519943295E-2</v>
          </cell>
        </row>
      </sheetData>
      <sheetData sheetId="3473">
        <row r="1">
          <cell r="J1">
            <v>1.7453292519943295E-2</v>
          </cell>
        </row>
      </sheetData>
      <sheetData sheetId="3474">
        <row r="1">
          <cell r="J1">
            <v>1.7453292519943295E-2</v>
          </cell>
        </row>
      </sheetData>
      <sheetData sheetId="3475">
        <row r="1">
          <cell r="J1">
            <v>1.7453292519943295E-2</v>
          </cell>
        </row>
      </sheetData>
      <sheetData sheetId="3476">
        <row r="1">
          <cell r="J1">
            <v>1.7453292519943295E-2</v>
          </cell>
        </row>
      </sheetData>
      <sheetData sheetId="3477">
        <row r="1">
          <cell r="J1">
            <v>1.7453292519943295E-2</v>
          </cell>
        </row>
      </sheetData>
      <sheetData sheetId="3478">
        <row r="1">
          <cell r="J1">
            <v>1.7453292519943295E-2</v>
          </cell>
        </row>
      </sheetData>
      <sheetData sheetId="3479">
        <row r="1">
          <cell r="J1">
            <v>1.7453292519943295E-2</v>
          </cell>
        </row>
      </sheetData>
      <sheetData sheetId="3480">
        <row r="1">
          <cell r="J1">
            <v>1.7453292519943295E-2</v>
          </cell>
        </row>
      </sheetData>
      <sheetData sheetId="3481">
        <row r="1">
          <cell r="J1">
            <v>1.7453292519943295E-2</v>
          </cell>
        </row>
      </sheetData>
      <sheetData sheetId="3482">
        <row r="1">
          <cell r="J1">
            <v>1.7453292519943295E-2</v>
          </cell>
        </row>
      </sheetData>
      <sheetData sheetId="3483">
        <row r="1">
          <cell r="J1">
            <v>1.7453292519943295E-2</v>
          </cell>
        </row>
      </sheetData>
      <sheetData sheetId="3484">
        <row r="1">
          <cell r="J1">
            <v>1.7453292519943295E-2</v>
          </cell>
        </row>
      </sheetData>
      <sheetData sheetId="3485">
        <row r="1">
          <cell r="J1">
            <v>1.7453292519943295E-2</v>
          </cell>
        </row>
      </sheetData>
      <sheetData sheetId="3486">
        <row r="1">
          <cell r="J1">
            <v>1.7453292519943295E-2</v>
          </cell>
        </row>
      </sheetData>
      <sheetData sheetId="3487">
        <row r="1">
          <cell r="J1">
            <v>1.7453292519943295E-2</v>
          </cell>
        </row>
      </sheetData>
      <sheetData sheetId="3488">
        <row r="1">
          <cell r="J1">
            <v>1.7453292519943295E-2</v>
          </cell>
        </row>
      </sheetData>
      <sheetData sheetId="3489">
        <row r="1">
          <cell r="J1">
            <v>1.7453292519943295E-2</v>
          </cell>
        </row>
      </sheetData>
      <sheetData sheetId="3490">
        <row r="1">
          <cell r="J1">
            <v>1.7453292519943295E-2</v>
          </cell>
        </row>
      </sheetData>
      <sheetData sheetId="3491">
        <row r="1">
          <cell r="J1">
            <v>1.7453292519943295E-2</v>
          </cell>
        </row>
      </sheetData>
      <sheetData sheetId="3492">
        <row r="1">
          <cell r="J1">
            <v>1.7453292519943295E-2</v>
          </cell>
        </row>
      </sheetData>
      <sheetData sheetId="3493">
        <row r="1">
          <cell r="J1">
            <v>1.7453292519943295E-2</v>
          </cell>
        </row>
      </sheetData>
      <sheetData sheetId="3494">
        <row r="1">
          <cell r="J1">
            <v>1.7453292519943295E-2</v>
          </cell>
        </row>
      </sheetData>
      <sheetData sheetId="3495">
        <row r="1">
          <cell r="J1">
            <v>1.7453292519943295E-2</v>
          </cell>
        </row>
      </sheetData>
      <sheetData sheetId="3496">
        <row r="1">
          <cell r="J1">
            <v>1.7453292519943295E-2</v>
          </cell>
        </row>
      </sheetData>
      <sheetData sheetId="3497">
        <row r="1">
          <cell r="J1">
            <v>1.7453292519943295E-2</v>
          </cell>
        </row>
      </sheetData>
      <sheetData sheetId="3498">
        <row r="1">
          <cell r="J1">
            <v>1.7453292519943295E-2</v>
          </cell>
        </row>
      </sheetData>
      <sheetData sheetId="3499">
        <row r="1">
          <cell r="J1">
            <v>1.7453292519943295E-2</v>
          </cell>
        </row>
      </sheetData>
      <sheetData sheetId="3500">
        <row r="1">
          <cell r="J1">
            <v>1.7453292519943295E-2</v>
          </cell>
        </row>
      </sheetData>
      <sheetData sheetId="3501">
        <row r="1">
          <cell r="J1">
            <v>1.7453292519943295E-2</v>
          </cell>
        </row>
      </sheetData>
      <sheetData sheetId="3502">
        <row r="1">
          <cell r="J1">
            <v>1.7453292519943295E-2</v>
          </cell>
        </row>
      </sheetData>
      <sheetData sheetId="3503">
        <row r="1">
          <cell r="J1">
            <v>1.7453292519943295E-2</v>
          </cell>
        </row>
      </sheetData>
      <sheetData sheetId="3504">
        <row r="1">
          <cell r="J1">
            <v>1.7453292519943295E-2</v>
          </cell>
        </row>
      </sheetData>
      <sheetData sheetId="3505">
        <row r="1">
          <cell r="J1">
            <v>1.7453292519943295E-2</v>
          </cell>
        </row>
      </sheetData>
      <sheetData sheetId="3506">
        <row r="1">
          <cell r="J1">
            <v>1.7453292519943295E-2</v>
          </cell>
        </row>
      </sheetData>
      <sheetData sheetId="3507">
        <row r="1">
          <cell r="J1">
            <v>1.7453292519943295E-2</v>
          </cell>
        </row>
      </sheetData>
      <sheetData sheetId="3508">
        <row r="1">
          <cell r="J1">
            <v>1.7453292519943295E-2</v>
          </cell>
        </row>
      </sheetData>
      <sheetData sheetId="3509">
        <row r="1">
          <cell r="J1">
            <v>1.7453292519943295E-2</v>
          </cell>
        </row>
      </sheetData>
      <sheetData sheetId="3510">
        <row r="1">
          <cell r="J1">
            <v>1.7453292519943295E-2</v>
          </cell>
        </row>
      </sheetData>
      <sheetData sheetId="3511">
        <row r="1">
          <cell r="J1">
            <v>1.7453292519943295E-2</v>
          </cell>
        </row>
      </sheetData>
      <sheetData sheetId="3512">
        <row r="1">
          <cell r="J1">
            <v>1.7453292519943295E-2</v>
          </cell>
        </row>
      </sheetData>
      <sheetData sheetId="3513">
        <row r="1">
          <cell r="J1">
            <v>1.7453292519943295E-2</v>
          </cell>
        </row>
      </sheetData>
      <sheetData sheetId="3514">
        <row r="1">
          <cell r="J1">
            <v>1.7453292519943295E-2</v>
          </cell>
        </row>
      </sheetData>
      <sheetData sheetId="3515">
        <row r="1">
          <cell r="J1">
            <v>1.7453292519943295E-2</v>
          </cell>
        </row>
      </sheetData>
      <sheetData sheetId="3516">
        <row r="1">
          <cell r="J1">
            <v>1.7453292519943295E-2</v>
          </cell>
        </row>
      </sheetData>
      <sheetData sheetId="3517">
        <row r="1">
          <cell r="J1">
            <v>1.7453292519943295E-2</v>
          </cell>
        </row>
      </sheetData>
      <sheetData sheetId="3518">
        <row r="1">
          <cell r="J1">
            <v>1.7453292519943295E-2</v>
          </cell>
        </row>
      </sheetData>
      <sheetData sheetId="3519">
        <row r="1">
          <cell r="J1">
            <v>1.7453292519943295E-2</v>
          </cell>
        </row>
      </sheetData>
      <sheetData sheetId="3520">
        <row r="1">
          <cell r="J1">
            <v>1.7453292519943295E-2</v>
          </cell>
        </row>
      </sheetData>
      <sheetData sheetId="3521">
        <row r="1">
          <cell r="J1">
            <v>1.7453292519943295E-2</v>
          </cell>
        </row>
      </sheetData>
      <sheetData sheetId="3522">
        <row r="1">
          <cell r="J1">
            <v>1.7453292519943295E-2</v>
          </cell>
        </row>
      </sheetData>
      <sheetData sheetId="3523">
        <row r="1">
          <cell r="J1">
            <v>1.7453292519943295E-2</v>
          </cell>
        </row>
      </sheetData>
      <sheetData sheetId="3524">
        <row r="1">
          <cell r="J1">
            <v>1.7453292519943295E-2</v>
          </cell>
        </row>
      </sheetData>
      <sheetData sheetId="3525">
        <row r="1">
          <cell r="J1">
            <v>1.7453292519943295E-2</v>
          </cell>
        </row>
      </sheetData>
      <sheetData sheetId="3526">
        <row r="1">
          <cell r="J1">
            <v>1.7453292519943295E-2</v>
          </cell>
        </row>
      </sheetData>
      <sheetData sheetId="3527">
        <row r="1">
          <cell r="J1">
            <v>1.7453292519943295E-2</v>
          </cell>
        </row>
      </sheetData>
      <sheetData sheetId="3528">
        <row r="1">
          <cell r="J1">
            <v>1.7453292519943295E-2</v>
          </cell>
        </row>
      </sheetData>
      <sheetData sheetId="3529">
        <row r="1">
          <cell r="J1">
            <v>1.7453292519943295E-2</v>
          </cell>
        </row>
      </sheetData>
      <sheetData sheetId="3530">
        <row r="1">
          <cell r="J1">
            <v>1.7453292519943295E-2</v>
          </cell>
        </row>
      </sheetData>
      <sheetData sheetId="3531">
        <row r="1">
          <cell r="J1">
            <v>1.7453292519943295E-2</v>
          </cell>
        </row>
      </sheetData>
      <sheetData sheetId="3532">
        <row r="1">
          <cell r="J1">
            <v>1.7453292519943295E-2</v>
          </cell>
        </row>
      </sheetData>
      <sheetData sheetId="3533">
        <row r="1">
          <cell r="J1">
            <v>1.7453292519943295E-2</v>
          </cell>
        </row>
      </sheetData>
      <sheetData sheetId="3534">
        <row r="1">
          <cell r="J1">
            <v>1.7453292519943295E-2</v>
          </cell>
        </row>
      </sheetData>
      <sheetData sheetId="3535">
        <row r="1">
          <cell r="J1">
            <v>1.7453292519943295E-2</v>
          </cell>
        </row>
      </sheetData>
      <sheetData sheetId="3536">
        <row r="1">
          <cell r="J1">
            <v>1.7453292519943295E-2</v>
          </cell>
        </row>
      </sheetData>
      <sheetData sheetId="3537">
        <row r="1">
          <cell r="J1">
            <v>1.7453292519943295E-2</v>
          </cell>
        </row>
      </sheetData>
      <sheetData sheetId="3538">
        <row r="1">
          <cell r="J1">
            <v>1.7453292519943295E-2</v>
          </cell>
        </row>
      </sheetData>
      <sheetData sheetId="3539">
        <row r="1">
          <cell r="J1">
            <v>1.7453292519943295E-2</v>
          </cell>
        </row>
      </sheetData>
      <sheetData sheetId="3540">
        <row r="1">
          <cell r="J1">
            <v>1.7453292519943295E-2</v>
          </cell>
        </row>
      </sheetData>
      <sheetData sheetId="3541">
        <row r="1">
          <cell r="J1">
            <v>1.7453292519943295E-2</v>
          </cell>
        </row>
      </sheetData>
      <sheetData sheetId="3542">
        <row r="1">
          <cell r="J1">
            <v>1.7453292519943295E-2</v>
          </cell>
        </row>
      </sheetData>
      <sheetData sheetId="3543">
        <row r="1">
          <cell r="J1">
            <v>1.7453292519943295E-2</v>
          </cell>
        </row>
      </sheetData>
      <sheetData sheetId="3544">
        <row r="1">
          <cell r="J1">
            <v>1.7453292519943295E-2</v>
          </cell>
        </row>
      </sheetData>
      <sheetData sheetId="3545">
        <row r="1">
          <cell r="J1">
            <v>1.7453292519943295E-2</v>
          </cell>
        </row>
      </sheetData>
      <sheetData sheetId="3546">
        <row r="1">
          <cell r="J1">
            <v>1.7453292519943295E-2</v>
          </cell>
        </row>
      </sheetData>
      <sheetData sheetId="3547">
        <row r="1">
          <cell r="J1">
            <v>1.7453292519943295E-2</v>
          </cell>
        </row>
      </sheetData>
      <sheetData sheetId="3548">
        <row r="1">
          <cell r="J1">
            <v>1.7453292519943295E-2</v>
          </cell>
        </row>
      </sheetData>
      <sheetData sheetId="3549">
        <row r="1">
          <cell r="J1">
            <v>1.7453292519943295E-2</v>
          </cell>
        </row>
      </sheetData>
      <sheetData sheetId="3550">
        <row r="1">
          <cell r="J1">
            <v>1.7453292519943295E-2</v>
          </cell>
        </row>
      </sheetData>
      <sheetData sheetId="3551">
        <row r="1">
          <cell r="J1">
            <v>1.7453292519943295E-2</v>
          </cell>
        </row>
      </sheetData>
      <sheetData sheetId="3552">
        <row r="1">
          <cell r="J1">
            <v>1.7453292519943295E-2</v>
          </cell>
        </row>
      </sheetData>
      <sheetData sheetId="3553">
        <row r="1">
          <cell r="J1">
            <v>1.7453292519943295E-2</v>
          </cell>
        </row>
      </sheetData>
      <sheetData sheetId="3554">
        <row r="1">
          <cell r="J1">
            <v>1.7453292519943295E-2</v>
          </cell>
        </row>
      </sheetData>
      <sheetData sheetId="3555">
        <row r="1">
          <cell r="J1">
            <v>1.7453292519943295E-2</v>
          </cell>
        </row>
      </sheetData>
      <sheetData sheetId="3556">
        <row r="1">
          <cell r="J1">
            <v>1.7453292519943295E-2</v>
          </cell>
        </row>
      </sheetData>
      <sheetData sheetId="3557">
        <row r="1">
          <cell r="J1">
            <v>1.7453292519943295E-2</v>
          </cell>
        </row>
      </sheetData>
      <sheetData sheetId="3558">
        <row r="1">
          <cell r="J1">
            <v>1.7453292519943295E-2</v>
          </cell>
        </row>
      </sheetData>
      <sheetData sheetId="3559">
        <row r="1">
          <cell r="J1">
            <v>1.7453292519943295E-2</v>
          </cell>
        </row>
      </sheetData>
      <sheetData sheetId="3560">
        <row r="1">
          <cell r="J1">
            <v>1.7453292519943295E-2</v>
          </cell>
        </row>
      </sheetData>
      <sheetData sheetId="3561">
        <row r="1">
          <cell r="J1">
            <v>1.7453292519943295E-2</v>
          </cell>
        </row>
      </sheetData>
      <sheetData sheetId="3562">
        <row r="1">
          <cell r="J1">
            <v>1.7453292519943295E-2</v>
          </cell>
        </row>
      </sheetData>
      <sheetData sheetId="3563">
        <row r="1">
          <cell r="J1">
            <v>1.7453292519943295E-2</v>
          </cell>
        </row>
      </sheetData>
      <sheetData sheetId="3564">
        <row r="1">
          <cell r="J1">
            <v>1.7453292519943295E-2</v>
          </cell>
        </row>
      </sheetData>
      <sheetData sheetId="3565">
        <row r="1">
          <cell r="J1">
            <v>1.7453292519943295E-2</v>
          </cell>
        </row>
      </sheetData>
      <sheetData sheetId="3566">
        <row r="1">
          <cell r="J1">
            <v>1.7453292519943295E-2</v>
          </cell>
        </row>
      </sheetData>
      <sheetData sheetId="3567">
        <row r="1">
          <cell r="J1">
            <v>1.7453292519943295E-2</v>
          </cell>
        </row>
      </sheetData>
      <sheetData sheetId="3568">
        <row r="1">
          <cell r="J1">
            <v>1.7453292519943295E-2</v>
          </cell>
        </row>
      </sheetData>
      <sheetData sheetId="3569">
        <row r="1">
          <cell r="J1">
            <v>1.7453292519943295E-2</v>
          </cell>
        </row>
      </sheetData>
      <sheetData sheetId="3570">
        <row r="1">
          <cell r="J1">
            <v>1.7453292519943295E-2</v>
          </cell>
        </row>
      </sheetData>
      <sheetData sheetId="3571">
        <row r="1">
          <cell r="J1">
            <v>1.7453292519943295E-2</v>
          </cell>
        </row>
      </sheetData>
      <sheetData sheetId="3572">
        <row r="1">
          <cell r="J1">
            <v>1.7453292519943295E-2</v>
          </cell>
        </row>
      </sheetData>
      <sheetData sheetId="3573">
        <row r="1">
          <cell r="J1">
            <v>1.7453292519943295E-2</v>
          </cell>
        </row>
      </sheetData>
      <sheetData sheetId="3574">
        <row r="1">
          <cell r="J1">
            <v>1.7453292519943295E-2</v>
          </cell>
        </row>
      </sheetData>
      <sheetData sheetId="3575">
        <row r="1">
          <cell r="J1">
            <v>1.7453292519943295E-2</v>
          </cell>
        </row>
      </sheetData>
      <sheetData sheetId="3576">
        <row r="1">
          <cell r="J1">
            <v>1.7453292519943295E-2</v>
          </cell>
        </row>
      </sheetData>
      <sheetData sheetId="3577">
        <row r="1">
          <cell r="J1">
            <v>1.7453292519943295E-2</v>
          </cell>
        </row>
      </sheetData>
      <sheetData sheetId="3578">
        <row r="1">
          <cell r="J1">
            <v>1.7453292519943295E-2</v>
          </cell>
        </row>
      </sheetData>
      <sheetData sheetId="3579">
        <row r="1">
          <cell r="J1">
            <v>1.7453292519943295E-2</v>
          </cell>
        </row>
      </sheetData>
      <sheetData sheetId="3580">
        <row r="1">
          <cell r="J1">
            <v>1.7453292519943295E-2</v>
          </cell>
        </row>
      </sheetData>
      <sheetData sheetId="3581">
        <row r="1">
          <cell r="J1">
            <v>1.7453292519943295E-2</v>
          </cell>
        </row>
      </sheetData>
      <sheetData sheetId="3582">
        <row r="1">
          <cell r="J1">
            <v>1.7453292519943295E-2</v>
          </cell>
        </row>
      </sheetData>
      <sheetData sheetId="3583">
        <row r="1">
          <cell r="J1">
            <v>1.7453292519943295E-2</v>
          </cell>
        </row>
      </sheetData>
      <sheetData sheetId="3584">
        <row r="1">
          <cell r="J1">
            <v>1.7453292519943295E-2</v>
          </cell>
        </row>
      </sheetData>
      <sheetData sheetId="3585">
        <row r="1">
          <cell r="J1">
            <v>1.7453292519943295E-2</v>
          </cell>
        </row>
      </sheetData>
      <sheetData sheetId="3586">
        <row r="1">
          <cell r="J1">
            <v>1.7453292519943295E-2</v>
          </cell>
        </row>
      </sheetData>
      <sheetData sheetId="3587">
        <row r="1">
          <cell r="J1">
            <v>1.7453292519943295E-2</v>
          </cell>
        </row>
      </sheetData>
      <sheetData sheetId="3588">
        <row r="1">
          <cell r="J1">
            <v>1.7453292519943295E-2</v>
          </cell>
        </row>
      </sheetData>
      <sheetData sheetId="3589">
        <row r="1">
          <cell r="J1">
            <v>1.7453292519943295E-2</v>
          </cell>
        </row>
      </sheetData>
      <sheetData sheetId="3590">
        <row r="1">
          <cell r="J1">
            <v>1.7453292519943295E-2</v>
          </cell>
        </row>
      </sheetData>
      <sheetData sheetId="3591">
        <row r="1">
          <cell r="J1">
            <v>1.7453292519943295E-2</v>
          </cell>
        </row>
      </sheetData>
      <sheetData sheetId="3592">
        <row r="1">
          <cell r="J1">
            <v>1.7453292519943295E-2</v>
          </cell>
        </row>
      </sheetData>
      <sheetData sheetId="3593">
        <row r="1">
          <cell r="J1">
            <v>1.7453292519943295E-2</v>
          </cell>
        </row>
      </sheetData>
      <sheetData sheetId="3594">
        <row r="1">
          <cell r="J1">
            <v>1.7453292519943295E-2</v>
          </cell>
        </row>
      </sheetData>
      <sheetData sheetId="3595">
        <row r="1">
          <cell r="J1">
            <v>1.7453292519943295E-2</v>
          </cell>
        </row>
      </sheetData>
      <sheetData sheetId="3596">
        <row r="1">
          <cell r="J1">
            <v>1.7453292519943295E-2</v>
          </cell>
        </row>
      </sheetData>
      <sheetData sheetId="3597">
        <row r="1">
          <cell r="J1">
            <v>1.7453292519943295E-2</v>
          </cell>
        </row>
      </sheetData>
      <sheetData sheetId="3598">
        <row r="1">
          <cell r="J1">
            <v>1.7453292519943295E-2</v>
          </cell>
        </row>
      </sheetData>
      <sheetData sheetId="3599">
        <row r="1">
          <cell r="J1">
            <v>1.7453292519943295E-2</v>
          </cell>
        </row>
      </sheetData>
      <sheetData sheetId="3600">
        <row r="1">
          <cell r="J1">
            <v>1.7453292519943295E-2</v>
          </cell>
        </row>
      </sheetData>
      <sheetData sheetId="3601">
        <row r="1">
          <cell r="J1">
            <v>1.7453292519943295E-2</v>
          </cell>
        </row>
      </sheetData>
      <sheetData sheetId="3602">
        <row r="1">
          <cell r="J1">
            <v>1.7453292519943295E-2</v>
          </cell>
        </row>
      </sheetData>
      <sheetData sheetId="3603">
        <row r="1">
          <cell r="J1">
            <v>1.7453292519943295E-2</v>
          </cell>
        </row>
      </sheetData>
      <sheetData sheetId="3604" refreshError="1"/>
      <sheetData sheetId="3605" refreshError="1"/>
      <sheetData sheetId="3606" refreshError="1"/>
      <sheetData sheetId="3607" refreshError="1"/>
      <sheetData sheetId="3608">
        <row r="1">
          <cell r="J1">
            <v>1.7453292519943295E-2</v>
          </cell>
        </row>
      </sheetData>
      <sheetData sheetId="3609" refreshError="1"/>
      <sheetData sheetId="3610" refreshError="1"/>
      <sheetData sheetId="3611">
        <row r="1">
          <cell r="J1">
            <v>1.7453292519943295E-2</v>
          </cell>
        </row>
      </sheetData>
      <sheetData sheetId="3612">
        <row r="1">
          <cell r="J1">
            <v>1.7453292519943295E-2</v>
          </cell>
        </row>
      </sheetData>
      <sheetData sheetId="3613">
        <row r="1">
          <cell r="J1">
            <v>1.7453292519943295E-2</v>
          </cell>
        </row>
      </sheetData>
      <sheetData sheetId="3614" refreshError="1"/>
      <sheetData sheetId="3615">
        <row r="1">
          <cell r="J1">
            <v>1.7453292519943295E-2</v>
          </cell>
        </row>
      </sheetData>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ow r="1">
          <cell r="J1">
            <v>1.7453292519943295E-2</v>
          </cell>
        </row>
      </sheetData>
      <sheetData sheetId="3627" refreshError="1"/>
      <sheetData sheetId="3628" refreshError="1"/>
      <sheetData sheetId="3629">
        <row r="1">
          <cell r="J1">
            <v>1.7453292519943295E-2</v>
          </cell>
        </row>
      </sheetData>
      <sheetData sheetId="3630">
        <row r="1">
          <cell r="J1">
            <v>1.7453292519943295E-2</v>
          </cell>
        </row>
      </sheetData>
      <sheetData sheetId="3631">
        <row r="1">
          <cell r="J1">
            <v>1.7453292519943295E-2</v>
          </cell>
        </row>
      </sheetData>
      <sheetData sheetId="3632" refreshError="1"/>
      <sheetData sheetId="3633">
        <row r="1">
          <cell r="J1">
            <v>1.7453292519943295E-2</v>
          </cell>
        </row>
      </sheetData>
      <sheetData sheetId="3634" refreshError="1"/>
      <sheetData sheetId="3635" refreshError="1"/>
      <sheetData sheetId="3636">
        <row r="1">
          <cell r="J1">
            <v>1.7453292519943295E-2</v>
          </cell>
        </row>
      </sheetData>
      <sheetData sheetId="3637">
        <row r="1">
          <cell r="J1">
            <v>1.7453292519943295E-2</v>
          </cell>
        </row>
      </sheetData>
      <sheetData sheetId="3638" refreshError="1"/>
      <sheetData sheetId="3639" refreshError="1"/>
      <sheetData sheetId="3640" refreshError="1"/>
      <sheetData sheetId="3641">
        <row r="1">
          <cell r="J1">
            <v>1.7453292519943295E-2</v>
          </cell>
        </row>
      </sheetData>
      <sheetData sheetId="3642">
        <row r="1">
          <cell r="J1">
            <v>1.7453292519943295E-2</v>
          </cell>
        </row>
      </sheetData>
      <sheetData sheetId="3643" refreshError="1"/>
      <sheetData sheetId="3644">
        <row r="1">
          <cell r="J1">
            <v>1.7453292519943295E-2</v>
          </cell>
        </row>
      </sheetData>
      <sheetData sheetId="3645" refreshError="1"/>
      <sheetData sheetId="3646">
        <row r="1">
          <cell r="J1">
            <v>1.7453292519943295E-2</v>
          </cell>
        </row>
      </sheetData>
      <sheetData sheetId="3647">
        <row r="1">
          <cell r="J1">
            <v>1.7453292519943295E-2</v>
          </cell>
        </row>
      </sheetData>
      <sheetData sheetId="3648">
        <row r="1">
          <cell r="J1">
            <v>1.7453292519943295E-2</v>
          </cell>
        </row>
      </sheetData>
      <sheetData sheetId="3649">
        <row r="1">
          <cell r="J1">
            <v>1.7453292519943295E-2</v>
          </cell>
        </row>
      </sheetData>
      <sheetData sheetId="3650">
        <row r="1">
          <cell r="J1">
            <v>1.7453292519943295E-2</v>
          </cell>
        </row>
      </sheetData>
      <sheetData sheetId="3651">
        <row r="1">
          <cell r="J1">
            <v>1.7453292519943295E-2</v>
          </cell>
        </row>
      </sheetData>
      <sheetData sheetId="3652">
        <row r="1">
          <cell r="J1">
            <v>1.7453292519943295E-2</v>
          </cell>
        </row>
      </sheetData>
      <sheetData sheetId="3653">
        <row r="1">
          <cell r="J1">
            <v>1.7453292519943295E-2</v>
          </cell>
        </row>
      </sheetData>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ow r="1">
          <cell r="J1">
            <v>1.7453292519943295E-2</v>
          </cell>
        </row>
      </sheetData>
      <sheetData sheetId="3675">
        <row r="1">
          <cell r="J1">
            <v>1.7453292519943295E-2</v>
          </cell>
        </row>
      </sheetData>
      <sheetData sheetId="3676" refreshError="1"/>
      <sheetData sheetId="3677" refreshError="1"/>
      <sheetData sheetId="3678" refreshError="1"/>
      <sheetData sheetId="3679" refreshError="1"/>
      <sheetData sheetId="3680" refreshError="1"/>
      <sheetData sheetId="3681" refreshError="1"/>
      <sheetData sheetId="3682">
        <row r="1">
          <cell r="J1">
            <v>1.7453292519943295E-2</v>
          </cell>
        </row>
      </sheetData>
      <sheetData sheetId="3683" refreshError="1"/>
      <sheetData sheetId="3684" refreshError="1"/>
      <sheetData sheetId="3685" refreshError="1"/>
      <sheetData sheetId="3686">
        <row r="1">
          <cell r="J1">
            <v>1.7453292519943295E-2</v>
          </cell>
        </row>
      </sheetData>
      <sheetData sheetId="3687">
        <row r="1">
          <cell r="J1">
            <v>1.7453292519943295E-2</v>
          </cell>
        </row>
      </sheetData>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ow r="1">
          <cell r="J1">
            <v>1.7453292519943295E-2</v>
          </cell>
        </row>
      </sheetData>
      <sheetData sheetId="3706">
        <row r="1">
          <cell r="J1">
            <v>1.7453292519943295E-2</v>
          </cell>
        </row>
      </sheetData>
      <sheetData sheetId="3707" refreshError="1"/>
      <sheetData sheetId="3708" refreshError="1"/>
      <sheetData sheetId="3709">
        <row r="1">
          <cell r="J1">
            <v>1.7453292519943295E-2</v>
          </cell>
        </row>
      </sheetData>
      <sheetData sheetId="3710">
        <row r="1">
          <cell r="J1">
            <v>1.7453292519943295E-2</v>
          </cell>
        </row>
      </sheetData>
      <sheetData sheetId="3711" refreshError="1"/>
      <sheetData sheetId="3712" refreshError="1"/>
      <sheetData sheetId="3713">
        <row r="1">
          <cell r="J1">
            <v>1.7453292519943295E-2</v>
          </cell>
        </row>
      </sheetData>
      <sheetData sheetId="3714" refreshError="1"/>
      <sheetData sheetId="3715" refreshError="1"/>
      <sheetData sheetId="3716">
        <row r="1">
          <cell r="J1">
            <v>1.7453292519943295E-2</v>
          </cell>
        </row>
      </sheetData>
      <sheetData sheetId="3717">
        <row r="1">
          <cell r="J1">
            <v>1.7453292519943295E-2</v>
          </cell>
        </row>
      </sheetData>
      <sheetData sheetId="3718">
        <row r="1">
          <cell r="J1">
            <v>1.7453292519943295E-2</v>
          </cell>
        </row>
      </sheetData>
      <sheetData sheetId="3719" refreshError="1"/>
      <sheetData sheetId="3720">
        <row r="1">
          <cell r="J1">
            <v>1.7453292519943295E-2</v>
          </cell>
        </row>
      </sheetData>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ow r="1">
          <cell r="J1">
            <v>1.7453292519943295E-2</v>
          </cell>
        </row>
      </sheetData>
      <sheetData sheetId="3732">
        <row r="1">
          <cell r="J1">
            <v>1.7453292519943295E-2</v>
          </cell>
        </row>
      </sheetData>
      <sheetData sheetId="3733">
        <row r="1">
          <cell r="J1">
            <v>1.7453292519943295E-2</v>
          </cell>
        </row>
      </sheetData>
      <sheetData sheetId="3734">
        <row r="1">
          <cell r="J1">
            <v>1.7453292519943295E-2</v>
          </cell>
        </row>
      </sheetData>
      <sheetData sheetId="3735">
        <row r="1">
          <cell r="J1">
            <v>1.7453292519943295E-2</v>
          </cell>
        </row>
      </sheetData>
      <sheetData sheetId="3736">
        <row r="1">
          <cell r="J1">
            <v>1.7453292519943295E-2</v>
          </cell>
        </row>
      </sheetData>
      <sheetData sheetId="3737">
        <row r="1">
          <cell r="J1">
            <v>1.7453292519943295E-2</v>
          </cell>
        </row>
      </sheetData>
      <sheetData sheetId="3738">
        <row r="1">
          <cell r="J1">
            <v>1.7453292519943295E-2</v>
          </cell>
        </row>
      </sheetData>
      <sheetData sheetId="3739">
        <row r="1">
          <cell r="J1">
            <v>1.7453292519943295E-2</v>
          </cell>
        </row>
      </sheetData>
      <sheetData sheetId="3740">
        <row r="1">
          <cell r="J1">
            <v>1.7453292519943295E-2</v>
          </cell>
        </row>
      </sheetData>
      <sheetData sheetId="3741" refreshError="1"/>
      <sheetData sheetId="3742" refreshError="1"/>
      <sheetData sheetId="3743">
        <row r="1">
          <cell r="J1">
            <v>1.7453292519943295E-2</v>
          </cell>
        </row>
      </sheetData>
      <sheetData sheetId="3744">
        <row r="1">
          <cell r="J1">
            <v>1.7453292519943295E-2</v>
          </cell>
        </row>
      </sheetData>
      <sheetData sheetId="3745" refreshError="1"/>
      <sheetData sheetId="3746" refreshError="1"/>
      <sheetData sheetId="3747" refreshError="1"/>
      <sheetData sheetId="3748">
        <row r="1">
          <cell r="J1">
            <v>1.7453292519943295E-2</v>
          </cell>
        </row>
      </sheetData>
      <sheetData sheetId="3749">
        <row r="1">
          <cell r="J1">
            <v>1.7453292519943295E-2</v>
          </cell>
        </row>
      </sheetData>
      <sheetData sheetId="3750" refreshError="1"/>
      <sheetData sheetId="3751" refreshError="1"/>
      <sheetData sheetId="3752">
        <row r="1">
          <cell r="J1">
            <v>1.7453292519943295E-2</v>
          </cell>
        </row>
      </sheetData>
      <sheetData sheetId="3753">
        <row r="1">
          <cell r="J1">
            <v>1.7453292519943295E-2</v>
          </cell>
        </row>
      </sheetData>
      <sheetData sheetId="3754" refreshError="1"/>
      <sheetData sheetId="3755" refreshError="1"/>
      <sheetData sheetId="3756">
        <row r="1">
          <cell r="J1">
            <v>1.7453292519943295E-2</v>
          </cell>
        </row>
      </sheetData>
      <sheetData sheetId="3757" refreshError="1"/>
      <sheetData sheetId="3758" refreshError="1"/>
      <sheetData sheetId="3759" refreshError="1"/>
      <sheetData sheetId="3760" refreshError="1"/>
      <sheetData sheetId="3761">
        <row r="1">
          <cell r="J1">
            <v>1.7453292519943295E-2</v>
          </cell>
        </row>
      </sheetData>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ow r="1">
          <cell r="J1">
            <v>1.7453292519943295E-2</v>
          </cell>
        </row>
      </sheetData>
      <sheetData sheetId="3810" refreshError="1"/>
      <sheetData sheetId="3811" refreshError="1"/>
      <sheetData sheetId="3812">
        <row r="1">
          <cell r="J1">
            <v>1.7453292519943295E-2</v>
          </cell>
        </row>
      </sheetData>
      <sheetData sheetId="3813">
        <row r="1">
          <cell r="J1">
            <v>1.7453292519943295E-2</v>
          </cell>
        </row>
      </sheetData>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ow r="1">
          <cell r="J1">
            <v>1.7453292519943295E-2</v>
          </cell>
        </row>
      </sheetData>
      <sheetData sheetId="3824">
        <row r="1">
          <cell r="J1">
            <v>1.7453292519943295E-2</v>
          </cell>
        </row>
      </sheetData>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ow r="1">
          <cell r="J1">
            <v>1.7453292519943295E-2</v>
          </cell>
        </row>
      </sheetData>
      <sheetData sheetId="3893">
        <row r="1">
          <cell r="J1">
            <v>1.7453292519943295E-2</v>
          </cell>
        </row>
      </sheetData>
      <sheetData sheetId="3894">
        <row r="1">
          <cell r="J1">
            <v>1.7453292519943295E-2</v>
          </cell>
        </row>
      </sheetData>
      <sheetData sheetId="3895">
        <row r="1">
          <cell r="J1">
            <v>1.7453292519943295E-2</v>
          </cell>
        </row>
      </sheetData>
      <sheetData sheetId="3896">
        <row r="1">
          <cell r="J1">
            <v>1.7453292519943295E-2</v>
          </cell>
        </row>
      </sheetData>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ow r="1">
          <cell r="J1">
            <v>1.7453292519943295E-2</v>
          </cell>
        </row>
      </sheetData>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ow r="1">
          <cell r="J1">
            <v>1.7453292519943295E-2</v>
          </cell>
        </row>
      </sheetData>
      <sheetData sheetId="3945">
        <row r="1">
          <cell r="J1">
            <v>1.7453292519943295E-2</v>
          </cell>
        </row>
      </sheetData>
      <sheetData sheetId="3946">
        <row r="1">
          <cell r="J1">
            <v>1.7453292519943295E-2</v>
          </cell>
        </row>
      </sheetData>
      <sheetData sheetId="3947">
        <row r="1">
          <cell r="J1">
            <v>1.7453292519943295E-2</v>
          </cell>
        </row>
      </sheetData>
      <sheetData sheetId="3948">
        <row r="1">
          <cell r="J1">
            <v>1.7453292519943295E-2</v>
          </cell>
        </row>
      </sheetData>
      <sheetData sheetId="3949">
        <row r="1">
          <cell r="J1">
            <v>1.7453292519943295E-2</v>
          </cell>
        </row>
      </sheetData>
      <sheetData sheetId="3950">
        <row r="1">
          <cell r="J1">
            <v>1.7453292519943295E-2</v>
          </cell>
        </row>
      </sheetData>
      <sheetData sheetId="3951">
        <row r="1">
          <cell r="J1">
            <v>1.7453292519943295E-2</v>
          </cell>
        </row>
      </sheetData>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ow r="1">
          <cell r="J1">
            <v>1.7453292519943295E-2</v>
          </cell>
        </row>
      </sheetData>
      <sheetData sheetId="3963" refreshError="1"/>
      <sheetData sheetId="3964" refreshError="1"/>
      <sheetData sheetId="3965" refreshError="1"/>
      <sheetData sheetId="3966" refreshError="1"/>
      <sheetData sheetId="3967" refreshError="1"/>
      <sheetData sheetId="3968">
        <row r="1">
          <cell r="J1">
            <v>1.7453292519943295E-2</v>
          </cell>
        </row>
      </sheetData>
      <sheetData sheetId="3969">
        <row r="1">
          <cell r="J1">
            <v>1.7453292519943295E-2</v>
          </cell>
        </row>
      </sheetData>
      <sheetData sheetId="3970">
        <row r="1">
          <cell r="J1">
            <v>1.7453292519943295E-2</v>
          </cell>
        </row>
      </sheetData>
      <sheetData sheetId="3971" refreshError="1"/>
      <sheetData sheetId="3972" refreshError="1"/>
      <sheetData sheetId="3973" refreshError="1"/>
      <sheetData sheetId="3974">
        <row r="1">
          <cell r="J1">
            <v>1.7453292519943295E-2</v>
          </cell>
        </row>
      </sheetData>
      <sheetData sheetId="3975" refreshError="1"/>
      <sheetData sheetId="3976">
        <row r="1">
          <cell r="J1">
            <v>1.7453292519943295E-2</v>
          </cell>
        </row>
      </sheetData>
      <sheetData sheetId="3977" refreshError="1"/>
      <sheetData sheetId="3978">
        <row r="1">
          <cell r="J1">
            <v>1.7453292519943295E-2</v>
          </cell>
        </row>
      </sheetData>
      <sheetData sheetId="3979">
        <row r="1">
          <cell r="J1">
            <v>1.7453292519943295E-2</v>
          </cell>
        </row>
      </sheetData>
      <sheetData sheetId="3980">
        <row r="1">
          <cell r="J1">
            <v>1.7453292519943295E-2</v>
          </cell>
        </row>
      </sheetData>
      <sheetData sheetId="3981">
        <row r="1">
          <cell r="J1">
            <v>1.7453292519943295E-2</v>
          </cell>
        </row>
      </sheetData>
      <sheetData sheetId="3982">
        <row r="1">
          <cell r="J1">
            <v>1.7453292519943295E-2</v>
          </cell>
        </row>
      </sheetData>
      <sheetData sheetId="3983">
        <row r="1">
          <cell r="J1">
            <v>1.7453292519943295E-2</v>
          </cell>
        </row>
      </sheetData>
      <sheetData sheetId="3984">
        <row r="1">
          <cell r="J1">
            <v>1.7453292519943295E-2</v>
          </cell>
        </row>
      </sheetData>
      <sheetData sheetId="3985">
        <row r="1">
          <cell r="J1">
            <v>1.7453292519943295E-2</v>
          </cell>
        </row>
      </sheetData>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ow r="1">
          <cell r="J1">
            <v>1.7453292519943295E-2</v>
          </cell>
        </row>
      </sheetData>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ow r="1">
          <cell r="J1">
            <v>1.7453292519943295E-2</v>
          </cell>
        </row>
      </sheetData>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ow r="1">
          <cell r="J1">
            <v>1.7453292519943295E-2</v>
          </cell>
        </row>
      </sheetData>
      <sheetData sheetId="4079">
        <row r="1">
          <cell r="J1">
            <v>1.7453292519943295E-2</v>
          </cell>
        </row>
      </sheetData>
      <sheetData sheetId="4080" refreshError="1"/>
      <sheetData sheetId="4081" refreshError="1"/>
      <sheetData sheetId="4082" refreshError="1"/>
      <sheetData sheetId="4083" refreshError="1"/>
      <sheetData sheetId="4084">
        <row r="1">
          <cell r="J1">
            <v>1.7453292519943295E-2</v>
          </cell>
        </row>
      </sheetData>
      <sheetData sheetId="4085">
        <row r="1">
          <cell r="J1">
            <v>1.7453292519943295E-2</v>
          </cell>
        </row>
      </sheetData>
      <sheetData sheetId="4086">
        <row r="1">
          <cell r="J1">
            <v>1.7453292519943295E-2</v>
          </cell>
        </row>
      </sheetData>
      <sheetData sheetId="4087" refreshError="1"/>
      <sheetData sheetId="4088">
        <row r="1">
          <cell r="J1">
            <v>1.7453292519943295E-2</v>
          </cell>
        </row>
      </sheetData>
      <sheetData sheetId="4089" refreshError="1"/>
      <sheetData sheetId="4090">
        <row r="1">
          <cell r="J1">
            <v>1.7453292519943295E-2</v>
          </cell>
        </row>
      </sheetData>
      <sheetData sheetId="4091" refreshError="1"/>
      <sheetData sheetId="4092">
        <row r="1">
          <cell r="J1">
            <v>1.7453292519943295E-2</v>
          </cell>
        </row>
      </sheetData>
      <sheetData sheetId="4093" refreshError="1"/>
      <sheetData sheetId="4094" refreshError="1"/>
      <sheetData sheetId="4095" refreshError="1"/>
      <sheetData sheetId="4096">
        <row r="1">
          <cell r="J1">
            <v>1.7453292519943295E-2</v>
          </cell>
        </row>
      </sheetData>
      <sheetData sheetId="4097">
        <row r="1">
          <cell r="J1">
            <v>1.7453292519943295E-2</v>
          </cell>
        </row>
      </sheetData>
      <sheetData sheetId="4098">
        <row r="1">
          <cell r="J1">
            <v>1.7453292519943295E-2</v>
          </cell>
        </row>
      </sheetData>
      <sheetData sheetId="4099">
        <row r="1">
          <cell r="J1">
            <v>1.7453292519943295E-2</v>
          </cell>
        </row>
      </sheetData>
      <sheetData sheetId="4100">
        <row r="1">
          <cell r="J1">
            <v>1.7453292519943295E-2</v>
          </cell>
        </row>
      </sheetData>
      <sheetData sheetId="4101">
        <row r="1">
          <cell r="J1">
            <v>1.7453292519943295E-2</v>
          </cell>
        </row>
      </sheetData>
      <sheetData sheetId="4102">
        <row r="1">
          <cell r="J1">
            <v>1.7453292519943295E-2</v>
          </cell>
        </row>
      </sheetData>
      <sheetData sheetId="4103" refreshError="1"/>
      <sheetData sheetId="4104" refreshError="1"/>
      <sheetData sheetId="4105">
        <row r="1">
          <cell r="J1">
            <v>1.7453292519943295E-2</v>
          </cell>
        </row>
      </sheetData>
      <sheetData sheetId="4106">
        <row r="1">
          <cell r="J1">
            <v>1.7453292519943295E-2</v>
          </cell>
        </row>
      </sheetData>
      <sheetData sheetId="4107">
        <row r="1">
          <cell r="J1">
            <v>1.7453292519943295E-2</v>
          </cell>
        </row>
      </sheetData>
      <sheetData sheetId="4108" refreshError="1"/>
      <sheetData sheetId="4109">
        <row r="1">
          <cell r="J1">
            <v>1.7453292519943295E-2</v>
          </cell>
        </row>
      </sheetData>
      <sheetData sheetId="4110" refreshError="1"/>
      <sheetData sheetId="4111">
        <row r="1">
          <cell r="J1">
            <v>1.7453292519943295E-2</v>
          </cell>
        </row>
      </sheetData>
      <sheetData sheetId="4112">
        <row r="1">
          <cell r="J1">
            <v>1.7453292519943295E-2</v>
          </cell>
        </row>
      </sheetData>
      <sheetData sheetId="4113">
        <row r="1">
          <cell r="J1">
            <v>1.7453292519943295E-2</v>
          </cell>
        </row>
      </sheetData>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ow r="1">
          <cell r="J1">
            <v>1.7453292519943295E-2</v>
          </cell>
        </row>
      </sheetData>
      <sheetData sheetId="4164">
        <row r="1">
          <cell r="J1">
            <v>1.7453292519943295E-2</v>
          </cell>
        </row>
      </sheetData>
      <sheetData sheetId="4165">
        <row r="1">
          <cell r="J1">
            <v>1.7453292519943295E-2</v>
          </cell>
        </row>
      </sheetData>
      <sheetData sheetId="4166">
        <row r="1">
          <cell r="J1">
            <v>1.7453292519943295E-2</v>
          </cell>
        </row>
      </sheetData>
      <sheetData sheetId="4167">
        <row r="1">
          <cell r="J1">
            <v>1.7453292519943295E-2</v>
          </cell>
        </row>
      </sheetData>
      <sheetData sheetId="4168">
        <row r="1">
          <cell r="J1">
            <v>1.7453292519943295E-2</v>
          </cell>
        </row>
      </sheetData>
      <sheetData sheetId="4169">
        <row r="1">
          <cell r="J1">
            <v>1.7453292519943295E-2</v>
          </cell>
        </row>
      </sheetData>
      <sheetData sheetId="4170">
        <row r="1">
          <cell r="J1">
            <v>1.7453292519943295E-2</v>
          </cell>
        </row>
      </sheetData>
      <sheetData sheetId="4171">
        <row r="1">
          <cell r="J1">
            <v>1.7453292519943295E-2</v>
          </cell>
        </row>
      </sheetData>
      <sheetData sheetId="4172">
        <row r="1">
          <cell r="J1">
            <v>1.7453292519943295E-2</v>
          </cell>
        </row>
      </sheetData>
      <sheetData sheetId="4173">
        <row r="1">
          <cell r="J1">
            <v>1.7453292519943295E-2</v>
          </cell>
        </row>
      </sheetData>
      <sheetData sheetId="4174">
        <row r="1">
          <cell r="J1">
            <v>1.7453292519943295E-2</v>
          </cell>
        </row>
      </sheetData>
      <sheetData sheetId="4175">
        <row r="1">
          <cell r="J1">
            <v>1.7453292519943295E-2</v>
          </cell>
        </row>
      </sheetData>
      <sheetData sheetId="4176">
        <row r="1">
          <cell r="J1">
            <v>1.7453292519943295E-2</v>
          </cell>
        </row>
      </sheetData>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ow r="1">
          <cell r="J1">
            <v>1.7453292519943295E-2</v>
          </cell>
        </row>
      </sheetData>
      <sheetData sheetId="4275">
        <row r="1">
          <cell r="J1">
            <v>1.7453292519943295E-2</v>
          </cell>
        </row>
      </sheetData>
      <sheetData sheetId="4276">
        <row r="1">
          <cell r="J1">
            <v>1.7453292519943295E-2</v>
          </cell>
        </row>
      </sheetData>
      <sheetData sheetId="4277">
        <row r="1">
          <cell r="J1">
            <v>1.7453292519943295E-2</v>
          </cell>
        </row>
      </sheetData>
      <sheetData sheetId="4278">
        <row r="1">
          <cell r="J1">
            <v>1.7453292519943295E-2</v>
          </cell>
        </row>
      </sheetData>
      <sheetData sheetId="4279">
        <row r="1">
          <cell r="J1">
            <v>1.7453292519943295E-2</v>
          </cell>
        </row>
      </sheetData>
      <sheetData sheetId="4280">
        <row r="1">
          <cell r="J1">
            <v>1.7453292519943295E-2</v>
          </cell>
        </row>
      </sheetData>
      <sheetData sheetId="4281">
        <row r="1">
          <cell r="J1">
            <v>1.7453292519943295E-2</v>
          </cell>
        </row>
      </sheetData>
      <sheetData sheetId="4282">
        <row r="1">
          <cell r="J1">
            <v>1.7453292519943295E-2</v>
          </cell>
        </row>
      </sheetData>
      <sheetData sheetId="4283">
        <row r="1">
          <cell r="J1">
            <v>1.7453292519943295E-2</v>
          </cell>
        </row>
      </sheetData>
      <sheetData sheetId="4284">
        <row r="1">
          <cell r="J1">
            <v>1.7453292519943295E-2</v>
          </cell>
        </row>
      </sheetData>
      <sheetData sheetId="4285">
        <row r="1">
          <cell r="J1">
            <v>1.7453292519943295E-2</v>
          </cell>
        </row>
      </sheetData>
      <sheetData sheetId="4286">
        <row r="1">
          <cell r="J1">
            <v>1.7453292519943295E-2</v>
          </cell>
        </row>
      </sheetData>
      <sheetData sheetId="4287">
        <row r="1">
          <cell r="J1">
            <v>1.7453292519943295E-2</v>
          </cell>
        </row>
      </sheetData>
      <sheetData sheetId="4288">
        <row r="1">
          <cell r="J1">
            <v>1.7453292519943295E-2</v>
          </cell>
        </row>
      </sheetData>
      <sheetData sheetId="4289">
        <row r="1">
          <cell r="J1">
            <v>1.7453292519943295E-2</v>
          </cell>
        </row>
      </sheetData>
      <sheetData sheetId="4290">
        <row r="1">
          <cell r="J1">
            <v>1.7453292519943295E-2</v>
          </cell>
        </row>
      </sheetData>
      <sheetData sheetId="4291">
        <row r="1">
          <cell r="J1">
            <v>1.7453292519943295E-2</v>
          </cell>
        </row>
      </sheetData>
      <sheetData sheetId="4292">
        <row r="1">
          <cell r="J1">
            <v>1.7453292519943295E-2</v>
          </cell>
        </row>
      </sheetData>
      <sheetData sheetId="4293">
        <row r="1">
          <cell r="J1">
            <v>1.7453292519943295E-2</v>
          </cell>
        </row>
      </sheetData>
      <sheetData sheetId="4294">
        <row r="1">
          <cell r="J1">
            <v>1.7453292519943295E-2</v>
          </cell>
        </row>
      </sheetData>
      <sheetData sheetId="4295">
        <row r="1">
          <cell r="J1">
            <v>1.7453292519943295E-2</v>
          </cell>
        </row>
      </sheetData>
      <sheetData sheetId="4296">
        <row r="1">
          <cell r="J1">
            <v>1.7453292519943295E-2</v>
          </cell>
        </row>
      </sheetData>
      <sheetData sheetId="4297">
        <row r="1">
          <cell r="J1">
            <v>1.7453292519943295E-2</v>
          </cell>
        </row>
      </sheetData>
      <sheetData sheetId="4298">
        <row r="1">
          <cell r="J1">
            <v>1.7453292519943295E-2</v>
          </cell>
        </row>
      </sheetData>
      <sheetData sheetId="4299">
        <row r="1">
          <cell r="J1">
            <v>1.7453292519943295E-2</v>
          </cell>
        </row>
      </sheetData>
      <sheetData sheetId="4300">
        <row r="1">
          <cell r="J1">
            <v>1.7453292519943295E-2</v>
          </cell>
        </row>
      </sheetData>
      <sheetData sheetId="4301">
        <row r="1">
          <cell r="J1">
            <v>1.7453292519943295E-2</v>
          </cell>
        </row>
      </sheetData>
      <sheetData sheetId="4302">
        <row r="1">
          <cell r="J1">
            <v>1.7453292519943295E-2</v>
          </cell>
        </row>
      </sheetData>
      <sheetData sheetId="4303">
        <row r="1">
          <cell r="J1">
            <v>1.7453292519943295E-2</v>
          </cell>
        </row>
      </sheetData>
      <sheetData sheetId="4304">
        <row r="1">
          <cell r="J1">
            <v>1.7453292519943295E-2</v>
          </cell>
        </row>
      </sheetData>
      <sheetData sheetId="4305">
        <row r="1">
          <cell r="J1">
            <v>1.7453292519943295E-2</v>
          </cell>
        </row>
      </sheetData>
      <sheetData sheetId="4306">
        <row r="1">
          <cell r="J1">
            <v>1.7453292519943295E-2</v>
          </cell>
        </row>
      </sheetData>
      <sheetData sheetId="4307">
        <row r="1">
          <cell r="J1">
            <v>1.7453292519943295E-2</v>
          </cell>
        </row>
      </sheetData>
      <sheetData sheetId="4308">
        <row r="1">
          <cell r="J1">
            <v>1.7453292519943295E-2</v>
          </cell>
        </row>
      </sheetData>
      <sheetData sheetId="4309">
        <row r="1">
          <cell r="J1">
            <v>1.7453292519943295E-2</v>
          </cell>
        </row>
      </sheetData>
      <sheetData sheetId="4310">
        <row r="1">
          <cell r="J1">
            <v>1.7453292519943295E-2</v>
          </cell>
        </row>
      </sheetData>
      <sheetData sheetId="4311">
        <row r="1">
          <cell r="J1">
            <v>1.7453292519943295E-2</v>
          </cell>
        </row>
      </sheetData>
      <sheetData sheetId="4312">
        <row r="1">
          <cell r="J1">
            <v>1.7453292519943295E-2</v>
          </cell>
        </row>
      </sheetData>
      <sheetData sheetId="4313">
        <row r="1">
          <cell r="J1">
            <v>1.7453292519943295E-2</v>
          </cell>
        </row>
      </sheetData>
      <sheetData sheetId="4314">
        <row r="1">
          <cell r="J1">
            <v>1.7453292519943295E-2</v>
          </cell>
        </row>
      </sheetData>
      <sheetData sheetId="4315">
        <row r="1">
          <cell r="J1">
            <v>1.7453292519943295E-2</v>
          </cell>
        </row>
      </sheetData>
      <sheetData sheetId="4316">
        <row r="1">
          <cell r="J1">
            <v>1.7453292519943295E-2</v>
          </cell>
        </row>
      </sheetData>
      <sheetData sheetId="4317">
        <row r="1">
          <cell r="J1">
            <v>1.7453292519943295E-2</v>
          </cell>
        </row>
      </sheetData>
      <sheetData sheetId="4318">
        <row r="1">
          <cell r="J1">
            <v>1.7453292519943295E-2</v>
          </cell>
        </row>
      </sheetData>
      <sheetData sheetId="4319">
        <row r="1">
          <cell r="J1">
            <v>1.7453292519943295E-2</v>
          </cell>
        </row>
      </sheetData>
      <sheetData sheetId="4320">
        <row r="1">
          <cell r="J1">
            <v>1.7453292519943295E-2</v>
          </cell>
        </row>
      </sheetData>
      <sheetData sheetId="4321">
        <row r="1">
          <cell r="J1">
            <v>1.7453292519943295E-2</v>
          </cell>
        </row>
      </sheetData>
      <sheetData sheetId="4322">
        <row r="1">
          <cell r="J1">
            <v>1.7453292519943295E-2</v>
          </cell>
        </row>
      </sheetData>
      <sheetData sheetId="4323">
        <row r="1">
          <cell r="J1">
            <v>1.7453292519943295E-2</v>
          </cell>
        </row>
      </sheetData>
      <sheetData sheetId="4324">
        <row r="1">
          <cell r="J1">
            <v>1.7453292519943295E-2</v>
          </cell>
        </row>
      </sheetData>
      <sheetData sheetId="4325">
        <row r="1">
          <cell r="J1">
            <v>1.7453292519943295E-2</v>
          </cell>
        </row>
      </sheetData>
      <sheetData sheetId="4326">
        <row r="1">
          <cell r="J1">
            <v>1.7453292519943295E-2</v>
          </cell>
        </row>
      </sheetData>
      <sheetData sheetId="4327">
        <row r="1">
          <cell r="J1">
            <v>1.7453292519943295E-2</v>
          </cell>
        </row>
      </sheetData>
      <sheetData sheetId="4328">
        <row r="1">
          <cell r="J1">
            <v>1.7453292519943295E-2</v>
          </cell>
        </row>
      </sheetData>
      <sheetData sheetId="4329">
        <row r="1">
          <cell r="J1">
            <v>1.7453292519943295E-2</v>
          </cell>
        </row>
      </sheetData>
      <sheetData sheetId="4330">
        <row r="1">
          <cell r="J1">
            <v>1.7453292519943295E-2</v>
          </cell>
        </row>
      </sheetData>
      <sheetData sheetId="4331">
        <row r="1">
          <cell r="J1">
            <v>1.7453292519943295E-2</v>
          </cell>
        </row>
      </sheetData>
      <sheetData sheetId="4332">
        <row r="1">
          <cell r="J1">
            <v>1.7453292519943295E-2</v>
          </cell>
        </row>
      </sheetData>
      <sheetData sheetId="4333">
        <row r="1">
          <cell r="J1">
            <v>1.7453292519943295E-2</v>
          </cell>
        </row>
      </sheetData>
      <sheetData sheetId="4334">
        <row r="1">
          <cell r="J1">
            <v>1.7453292519943295E-2</v>
          </cell>
        </row>
      </sheetData>
      <sheetData sheetId="4335">
        <row r="1">
          <cell r="J1">
            <v>1.7453292519943295E-2</v>
          </cell>
        </row>
      </sheetData>
      <sheetData sheetId="4336">
        <row r="1">
          <cell r="J1">
            <v>1.7453292519943295E-2</v>
          </cell>
        </row>
      </sheetData>
      <sheetData sheetId="4337">
        <row r="1">
          <cell r="J1">
            <v>1.7453292519943295E-2</v>
          </cell>
        </row>
      </sheetData>
      <sheetData sheetId="4338">
        <row r="1">
          <cell r="J1">
            <v>1.7453292519943295E-2</v>
          </cell>
        </row>
      </sheetData>
      <sheetData sheetId="4339">
        <row r="1">
          <cell r="J1">
            <v>1.7453292519943295E-2</v>
          </cell>
        </row>
      </sheetData>
      <sheetData sheetId="4340">
        <row r="1">
          <cell r="J1">
            <v>1.7453292519943295E-2</v>
          </cell>
        </row>
      </sheetData>
      <sheetData sheetId="4341">
        <row r="1">
          <cell r="J1">
            <v>1.7453292519943295E-2</v>
          </cell>
        </row>
      </sheetData>
      <sheetData sheetId="4342">
        <row r="1">
          <cell r="J1">
            <v>1.7453292519943295E-2</v>
          </cell>
        </row>
      </sheetData>
      <sheetData sheetId="4343">
        <row r="1">
          <cell r="J1">
            <v>1.7453292519943295E-2</v>
          </cell>
        </row>
      </sheetData>
      <sheetData sheetId="4344">
        <row r="1">
          <cell r="J1">
            <v>1.7453292519943295E-2</v>
          </cell>
        </row>
      </sheetData>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ow r="1">
          <cell r="J1">
            <v>1.7453292519943295E-2</v>
          </cell>
        </row>
      </sheetData>
      <sheetData sheetId="4397">
        <row r="1">
          <cell r="J1">
            <v>1.7453292519943295E-2</v>
          </cell>
        </row>
      </sheetData>
      <sheetData sheetId="4398" refreshError="1"/>
      <sheetData sheetId="4399">
        <row r="1">
          <cell r="J1">
            <v>1.7453292519943295E-2</v>
          </cell>
        </row>
      </sheetData>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ow r="1">
          <cell r="J1">
            <v>1.7453292519943295E-2</v>
          </cell>
        </row>
      </sheetData>
      <sheetData sheetId="4419">
        <row r="1">
          <cell r="J1">
            <v>1.7453292519943295E-2</v>
          </cell>
        </row>
      </sheetData>
      <sheetData sheetId="4420">
        <row r="1">
          <cell r="J1">
            <v>1.7453292519943295E-2</v>
          </cell>
        </row>
      </sheetData>
      <sheetData sheetId="4421">
        <row r="1">
          <cell r="J1">
            <v>1.7453292519943295E-2</v>
          </cell>
        </row>
      </sheetData>
      <sheetData sheetId="4422">
        <row r="1">
          <cell r="J1">
            <v>1.7453292519943295E-2</v>
          </cell>
        </row>
      </sheetData>
      <sheetData sheetId="4423">
        <row r="1">
          <cell r="J1">
            <v>1.7453292519943295E-2</v>
          </cell>
        </row>
      </sheetData>
      <sheetData sheetId="4424">
        <row r="1">
          <cell r="J1">
            <v>1.7453292519943295E-2</v>
          </cell>
        </row>
      </sheetData>
      <sheetData sheetId="4425">
        <row r="1">
          <cell r="J1">
            <v>1.7453292519943295E-2</v>
          </cell>
        </row>
      </sheetData>
      <sheetData sheetId="4426">
        <row r="1">
          <cell r="J1">
            <v>1.7453292519943295E-2</v>
          </cell>
        </row>
      </sheetData>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ow r="1">
          <cell r="J1">
            <v>1.7453292519943295E-2</v>
          </cell>
        </row>
      </sheetData>
      <sheetData sheetId="4490">
        <row r="1">
          <cell r="J1">
            <v>1.7453292519943295E-2</v>
          </cell>
        </row>
      </sheetData>
      <sheetData sheetId="4491">
        <row r="1">
          <cell r="J1">
            <v>1.7453292519943295E-2</v>
          </cell>
        </row>
      </sheetData>
      <sheetData sheetId="4492">
        <row r="1">
          <cell r="J1">
            <v>1.7453292519943295E-2</v>
          </cell>
        </row>
      </sheetData>
      <sheetData sheetId="4493">
        <row r="1">
          <cell r="J1">
            <v>1.7453292519943295E-2</v>
          </cell>
        </row>
      </sheetData>
      <sheetData sheetId="4494">
        <row r="1">
          <cell r="J1">
            <v>1.7453292519943295E-2</v>
          </cell>
        </row>
      </sheetData>
      <sheetData sheetId="4495">
        <row r="1">
          <cell r="J1">
            <v>1.7453292519943295E-2</v>
          </cell>
        </row>
      </sheetData>
      <sheetData sheetId="4496">
        <row r="1">
          <cell r="J1">
            <v>1.7453292519943295E-2</v>
          </cell>
        </row>
      </sheetData>
      <sheetData sheetId="4497">
        <row r="1">
          <cell r="J1">
            <v>1.7453292519943295E-2</v>
          </cell>
        </row>
      </sheetData>
      <sheetData sheetId="4498">
        <row r="1">
          <cell r="J1">
            <v>1.7453292519943295E-2</v>
          </cell>
        </row>
      </sheetData>
      <sheetData sheetId="4499">
        <row r="1">
          <cell r="J1">
            <v>1.7453292519943295E-2</v>
          </cell>
        </row>
      </sheetData>
      <sheetData sheetId="4500">
        <row r="1">
          <cell r="J1">
            <v>1.7453292519943295E-2</v>
          </cell>
        </row>
      </sheetData>
      <sheetData sheetId="4501">
        <row r="1">
          <cell r="J1">
            <v>1.7453292519943295E-2</v>
          </cell>
        </row>
      </sheetData>
      <sheetData sheetId="4502">
        <row r="1">
          <cell r="J1">
            <v>1.7453292519943295E-2</v>
          </cell>
        </row>
      </sheetData>
      <sheetData sheetId="4503">
        <row r="1">
          <cell r="J1">
            <v>1.7453292519943295E-2</v>
          </cell>
        </row>
      </sheetData>
      <sheetData sheetId="4504">
        <row r="1">
          <cell r="J1">
            <v>1.7453292519943295E-2</v>
          </cell>
        </row>
      </sheetData>
      <sheetData sheetId="4505">
        <row r="1">
          <cell r="J1">
            <v>1.7453292519943295E-2</v>
          </cell>
        </row>
      </sheetData>
      <sheetData sheetId="4506">
        <row r="1">
          <cell r="J1">
            <v>1.7453292519943295E-2</v>
          </cell>
        </row>
      </sheetData>
      <sheetData sheetId="4507">
        <row r="1">
          <cell r="J1">
            <v>1.7453292519943295E-2</v>
          </cell>
        </row>
      </sheetData>
      <sheetData sheetId="4508">
        <row r="1">
          <cell r="J1">
            <v>1.7453292519943295E-2</v>
          </cell>
        </row>
      </sheetData>
      <sheetData sheetId="4509">
        <row r="1">
          <cell r="J1">
            <v>1.7453292519943295E-2</v>
          </cell>
        </row>
      </sheetData>
      <sheetData sheetId="4510">
        <row r="1">
          <cell r="J1">
            <v>1.7453292519943295E-2</v>
          </cell>
        </row>
      </sheetData>
      <sheetData sheetId="4511">
        <row r="1">
          <cell r="J1">
            <v>1.7453292519943295E-2</v>
          </cell>
        </row>
      </sheetData>
      <sheetData sheetId="4512">
        <row r="1">
          <cell r="J1">
            <v>1.7453292519943295E-2</v>
          </cell>
        </row>
      </sheetData>
      <sheetData sheetId="4513">
        <row r="1">
          <cell r="J1">
            <v>1.7453292519943295E-2</v>
          </cell>
        </row>
      </sheetData>
      <sheetData sheetId="4514">
        <row r="1">
          <cell r="J1">
            <v>1.7453292519943295E-2</v>
          </cell>
        </row>
      </sheetData>
      <sheetData sheetId="4515">
        <row r="1">
          <cell r="J1">
            <v>1.7453292519943295E-2</v>
          </cell>
        </row>
      </sheetData>
      <sheetData sheetId="4516">
        <row r="1">
          <cell r="J1">
            <v>1.7453292519943295E-2</v>
          </cell>
        </row>
      </sheetData>
      <sheetData sheetId="4517">
        <row r="1">
          <cell r="J1">
            <v>1.7453292519943295E-2</v>
          </cell>
        </row>
      </sheetData>
      <sheetData sheetId="4518">
        <row r="1">
          <cell r="J1">
            <v>1.7453292519943295E-2</v>
          </cell>
        </row>
      </sheetData>
      <sheetData sheetId="4519">
        <row r="1">
          <cell r="J1">
            <v>1.7453292519943295E-2</v>
          </cell>
        </row>
      </sheetData>
      <sheetData sheetId="4520">
        <row r="1">
          <cell r="J1">
            <v>1.7453292519943295E-2</v>
          </cell>
        </row>
      </sheetData>
      <sheetData sheetId="4521">
        <row r="1">
          <cell r="J1">
            <v>1.7453292519943295E-2</v>
          </cell>
        </row>
      </sheetData>
      <sheetData sheetId="4522">
        <row r="1">
          <cell r="J1">
            <v>1.7453292519943295E-2</v>
          </cell>
        </row>
      </sheetData>
      <sheetData sheetId="4523">
        <row r="1">
          <cell r="J1">
            <v>1.7453292519943295E-2</v>
          </cell>
        </row>
      </sheetData>
      <sheetData sheetId="4524">
        <row r="1">
          <cell r="J1">
            <v>1.7453292519943295E-2</v>
          </cell>
        </row>
      </sheetData>
      <sheetData sheetId="4525">
        <row r="1">
          <cell r="J1">
            <v>1.7453292519943295E-2</v>
          </cell>
        </row>
      </sheetData>
      <sheetData sheetId="4526">
        <row r="1">
          <cell r="J1">
            <v>1.7453292519943295E-2</v>
          </cell>
        </row>
      </sheetData>
      <sheetData sheetId="4527">
        <row r="1">
          <cell r="J1">
            <v>1.7453292519943295E-2</v>
          </cell>
        </row>
      </sheetData>
      <sheetData sheetId="4528">
        <row r="1">
          <cell r="J1">
            <v>1.7453292519943295E-2</v>
          </cell>
        </row>
      </sheetData>
      <sheetData sheetId="4529">
        <row r="1">
          <cell r="J1">
            <v>1.7453292519943295E-2</v>
          </cell>
        </row>
      </sheetData>
      <sheetData sheetId="4530">
        <row r="1">
          <cell r="J1">
            <v>1.7453292519943295E-2</v>
          </cell>
        </row>
      </sheetData>
      <sheetData sheetId="4531">
        <row r="1">
          <cell r="J1">
            <v>1.7453292519943295E-2</v>
          </cell>
        </row>
      </sheetData>
      <sheetData sheetId="4532">
        <row r="1">
          <cell r="J1">
            <v>1.7453292519943295E-2</v>
          </cell>
        </row>
      </sheetData>
      <sheetData sheetId="4533">
        <row r="1">
          <cell r="J1">
            <v>1.7453292519943295E-2</v>
          </cell>
        </row>
      </sheetData>
      <sheetData sheetId="4534">
        <row r="1">
          <cell r="J1">
            <v>1.7453292519943295E-2</v>
          </cell>
        </row>
      </sheetData>
      <sheetData sheetId="4535">
        <row r="1">
          <cell r="J1">
            <v>1.7453292519943295E-2</v>
          </cell>
        </row>
      </sheetData>
      <sheetData sheetId="4536">
        <row r="1">
          <cell r="J1">
            <v>1.7453292519943295E-2</v>
          </cell>
        </row>
      </sheetData>
      <sheetData sheetId="4537">
        <row r="1">
          <cell r="J1">
            <v>1.7453292519943295E-2</v>
          </cell>
        </row>
      </sheetData>
      <sheetData sheetId="4538">
        <row r="1">
          <cell r="J1">
            <v>1.7453292519943295E-2</v>
          </cell>
        </row>
      </sheetData>
      <sheetData sheetId="4539">
        <row r="1">
          <cell r="J1">
            <v>1.7453292519943295E-2</v>
          </cell>
        </row>
      </sheetData>
      <sheetData sheetId="4540">
        <row r="1">
          <cell r="J1">
            <v>1.7453292519943295E-2</v>
          </cell>
        </row>
      </sheetData>
      <sheetData sheetId="4541">
        <row r="1">
          <cell r="J1">
            <v>1.7453292519943295E-2</v>
          </cell>
        </row>
      </sheetData>
      <sheetData sheetId="4542">
        <row r="1">
          <cell r="J1">
            <v>1.7453292519943295E-2</v>
          </cell>
        </row>
      </sheetData>
      <sheetData sheetId="4543">
        <row r="1">
          <cell r="J1">
            <v>1.7453292519943295E-2</v>
          </cell>
        </row>
      </sheetData>
      <sheetData sheetId="4544">
        <row r="1">
          <cell r="J1">
            <v>1.7453292519943295E-2</v>
          </cell>
        </row>
      </sheetData>
      <sheetData sheetId="4545">
        <row r="1">
          <cell r="J1">
            <v>1.7453292519943295E-2</v>
          </cell>
        </row>
      </sheetData>
      <sheetData sheetId="4546">
        <row r="1">
          <cell r="J1">
            <v>1.7453292519943295E-2</v>
          </cell>
        </row>
      </sheetData>
      <sheetData sheetId="4547">
        <row r="1">
          <cell r="J1">
            <v>1.7453292519943295E-2</v>
          </cell>
        </row>
      </sheetData>
      <sheetData sheetId="4548">
        <row r="1">
          <cell r="J1">
            <v>1.7453292519943295E-2</v>
          </cell>
        </row>
      </sheetData>
      <sheetData sheetId="4549">
        <row r="1">
          <cell r="J1">
            <v>1.7453292519943295E-2</v>
          </cell>
        </row>
      </sheetData>
      <sheetData sheetId="4550">
        <row r="1">
          <cell r="J1">
            <v>1.7453292519943295E-2</v>
          </cell>
        </row>
      </sheetData>
      <sheetData sheetId="4551">
        <row r="1">
          <cell r="J1">
            <v>1.7453292519943295E-2</v>
          </cell>
        </row>
      </sheetData>
      <sheetData sheetId="4552">
        <row r="1">
          <cell r="J1">
            <v>1.7453292519943295E-2</v>
          </cell>
        </row>
      </sheetData>
      <sheetData sheetId="4553">
        <row r="1">
          <cell r="J1">
            <v>1.7453292519943295E-2</v>
          </cell>
        </row>
      </sheetData>
      <sheetData sheetId="4554">
        <row r="1">
          <cell r="J1">
            <v>1.7453292519943295E-2</v>
          </cell>
        </row>
      </sheetData>
      <sheetData sheetId="4555">
        <row r="1">
          <cell r="J1">
            <v>1.7453292519943295E-2</v>
          </cell>
        </row>
      </sheetData>
      <sheetData sheetId="4556">
        <row r="1">
          <cell r="J1">
            <v>1.7453292519943295E-2</v>
          </cell>
        </row>
      </sheetData>
      <sheetData sheetId="4557">
        <row r="1">
          <cell r="J1">
            <v>1.7453292519943295E-2</v>
          </cell>
        </row>
      </sheetData>
      <sheetData sheetId="4558">
        <row r="1">
          <cell r="J1">
            <v>1.7453292519943295E-2</v>
          </cell>
        </row>
      </sheetData>
      <sheetData sheetId="4559">
        <row r="1">
          <cell r="J1">
            <v>1.7453292519943295E-2</v>
          </cell>
        </row>
      </sheetData>
      <sheetData sheetId="4560">
        <row r="1">
          <cell r="J1">
            <v>1.7453292519943295E-2</v>
          </cell>
        </row>
      </sheetData>
      <sheetData sheetId="4561">
        <row r="1">
          <cell r="J1">
            <v>1.7453292519943295E-2</v>
          </cell>
        </row>
      </sheetData>
      <sheetData sheetId="4562">
        <row r="1">
          <cell r="J1">
            <v>1.7453292519943295E-2</v>
          </cell>
        </row>
      </sheetData>
      <sheetData sheetId="4563">
        <row r="1">
          <cell r="J1">
            <v>1.7453292519943295E-2</v>
          </cell>
        </row>
      </sheetData>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ow r="1">
          <cell r="J1">
            <v>1.7453292519943295E-2</v>
          </cell>
        </row>
      </sheetData>
      <sheetData sheetId="4636">
        <row r="1">
          <cell r="J1">
            <v>1.7453292519943295E-2</v>
          </cell>
        </row>
      </sheetData>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ow r="1">
          <cell r="J1">
            <v>1.7453292519943295E-2</v>
          </cell>
        </row>
      </sheetData>
      <sheetData sheetId="4693">
        <row r="1">
          <cell r="J1">
            <v>1.7453292519943295E-2</v>
          </cell>
        </row>
      </sheetData>
      <sheetData sheetId="4694">
        <row r="1">
          <cell r="J1">
            <v>1.7453292519943295E-2</v>
          </cell>
        </row>
      </sheetData>
      <sheetData sheetId="4695">
        <row r="1">
          <cell r="J1">
            <v>1.7453292519943295E-2</v>
          </cell>
        </row>
      </sheetData>
      <sheetData sheetId="4696">
        <row r="1">
          <cell r="J1">
            <v>1.7453292519943295E-2</v>
          </cell>
        </row>
      </sheetData>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ow r="1">
          <cell r="J1">
            <v>1.7453292519943295E-2</v>
          </cell>
        </row>
      </sheetData>
      <sheetData sheetId="4784">
        <row r="1">
          <cell r="J1">
            <v>1.7453292519943295E-2</v>
          </cell>
        </row>
      </sheetData>
      <sheetData sheetId="4785">
        <row r="1">
          <cell r="J1">
            <v>1.7453292519943295E-2</v>
          </cell>
        </row>
      </sheetData>
      <sheetData sheetId="4786">
        <row r="1">
          <cell r="J1">
            <v>1.7453292519943295E-2</v>
          </cell>
        </row>
      </sheetData>
      <sheetData sheetId="4787">
        <row r="1">
          <cell r="J1">
            <v>1.7453292519943295E-2</v>
          </cell>
        </row>
      </sheetData>
      <sheetData sheetId="4788">
        <row r="1">
          <cell r="J1">
            <v>1.7453292519943295E-2</v>
          </cell>
        </row>
      </sheetData>
      <sheetData sheetId="4789">
        <row r="1">
          <cell r="J1">
            <v>1.7453292519943295E-2</v>
          </cell>
        </row>
      </sheetData>
      <sheetData sheetId="4790">
        <row r="1">
          <cell r="J1">
            <v>1.7453292519943295E-2</v>
          </cell>
        </row>
      </sheetData>
      <sheetData sheetId="4791">
        <row r="1">
          <cell r="J1">
            <v>1.7453292519943295E-2</v>
          </cell>
        </row>
      </sheetData>
      <sheetData sheetId="4792">
        <row r="1">
          <cell r="J1">
            <v>1.7453292519943295E-2</v>
          </cell>
        </row>
      </sheetData>
      <sheetData sheetId="4793">
        <row r="1">
          <cell r="J1">
            <v>1.7453292519943295E-2</v>
          </cell>
        </row>
      </sheetData>
      <sheetData sheetId="4794">
        <row r="1">
          <cell r="J1">
            <v>1.7453292519943295E-2</v>
          </cell>
        </row>
      </sheetData>
      <sheetData sheetId="4795">
        <row r="1">
          <cell r="J1">
            <v>1.7453292519943295E-2</v>
          </cell>
        </row>
      </sheetData>
      <sheetData sheetId="4796">
        <row r="1">
          <cell r="J1">
            <v>1.7453292519943295E-2</v>
          </cell>
        </row>
      </sheetData>
      <sheetData sheetId="4797">
        <row r="1">
          <cell r="J1">
            <v>1.7453292519943295E-2</v>
          </cell>
        </row>
      </sheetData>
      <sheetData sheetId="4798">
        <row r="1">
          <cell r="J1">
            <v>1.7453292519943295E-2</v>
          </cell>
        </row>
      </sheetData>
      <sheetData sheetId="4799">
        <row r="1">
          <cell r="J1">
            <v>1.7453292519943295E-2</v>
          </cell>
        </row>
      </sheetData>
      <sheetData sheetId="4800">
        <row r="1">
          <cell r="J1">
            <v>1.7453292519943295E-2</v>
          </cell>
        </row>
      </sheetData>
      <sheetData sheetId="4801">
        <row r="1">
          <cell r="J1">
            <v>1.7453292519943295E-2</v>
          </cell>
        </row>
      </sheetData>
      <sheetData sheetId="4802">
        <row r="1">
          <cell r="J1">
            <v>1.7453292519943295E-2</v>
          </cell>
        </row>
      </sheetData>
      <sheetData sheetId="4803">
        <row r="1">
          <cell r="J1">
            <v>1.7453292519943295E-2</v>
          </cell>
        </row>
      </sheetData>
      <sheetData sheetId="4804">
        <row r="1">
          <cell r="J1">
            <v>1.7453292519943295E-2</v>
          </cell>
        </row>
      </sheetData>
      <sheetData sheetId="4805">
        <row r="1">
          <cell r="J1">
            <v>1.7453292519943295E-2</v>
          </cell>
        </row>
      </sheetData>
      <sheetData sheetId="4806">
        <row r="1">
          <cell r="J1">
            <v>1.7453292519943295E-2</v>
          </cell>
        </row>
      </sheetData>
      <sheetData sheetId="4807">
        <row r="1">
          <cell r="J1">
            <v>1.7453292519943295E-2</v>
          </cell>
        </row>
      </sheetData>
      <sheetData sheetId="4808">
        <row r="1">
          <cell r="J1">
            <v>1.7453292519943295E-2</v>
          </cell>
        </row>
      </sheetData>
      <sheetData sheetId="4809">
        <row r="1">
          <cell r="J1">
            <v>1.7453292519943295E-2</v>
          </cell>
        </row>
      </sheetData>
      <sheetData sheetId="4810">
        <row r="1">
          <cell r="J1">
            <v>1.7453292519943295E-2</v>
          </cell>
        </row>
      </sheetData>
      <sheetData sheetId="4811">
        <row r="1">
          <cell r="J1">
            <v>1.7453292519943295E-2</v>
          </cell>
        </row>
      </sheetData>
      <sheetData sheetId="4812">
        <row r="1">
          <cell r="J1">
            <v>1.7453292519943295E-2</v>
          </cell>
        </row>
      </sheetData>
      <sheetData sheetId="4813">
        <row r="1">
          <cell r="J1">
            <v>1.7453292519943295E-2</v>
          </cell>
        </row>
      </sheetData>
      <sheetData sheetId="4814">
        <row r="1">
          <cell r="J1">
            <v>1.7453292519943295E-2</v>
          </cell>
        </row>
      </sheetData>
      <sheetData sheetId="4815">
        <row r="1">
          <cell r="J1">
            <v>1.7453292519943295E-2</v>
          </cell>
        </row>
      </sheetData>
      <sheetData sheetId="4816">
        <row r="1">
          <cell r="J1">
            <v>1.7453292519943295E-2</v>
          </cell>
        </row>
      </sheetData>
      <sheetData sheetId="4817">
        <row r="1">
          <cell r="J1">
            <v>1.7453292519943295E-2</v>
          </cell>
        </row>
      </sheetData>
      <sheetData sheetId="4818">
        <row r="1">
          <cell r="J1">
            <v>1.7453292519943295E-2</v>
          </cell>
        </row>
      </sheetData>
      <sheetData sheetId="4819">
        <row r="1">
          <cell r="J1">
            <v>1.7453292519943295E-2</v>
          </cell>
        </row>
      </sheetData>
      <sheetData sheetId="4820">
        <row r="1">
          <cell r="J1">
            <v>1.7453292519943295E-2</v>
          </cell>
        </row>
      </sheetData>
      <sheetData sheetId="4821">
        <row r="1">
          <cell r="J1">
            <v>1.7453292519943295E-2</v>
          </cell>
        </row>
      </sheetData>
      <sheetData sheetId="4822">
        <row r="1">
          <cell r="J1">
            <v>1.7453292519943295E-2</v>
          </cell>
        </row>
      </sheetData>
      <sheetData sheetId="4823">
        <row r="1">
          <cell r="J1">
            <v>1.7453292519943295E-2</v>
          </cell>
        </row>
      </sheetData>
      <sheetData sheetId="4824">
        <row r="1">
          <cell r="J1">
            <v>1.7453292519943295E-2</v>
          </cell>
        </row>
      </sheetData>
      <sheetData sheetId="4825">
        <row r="1">
          <cell r="J1">
            <v>1.7453292519943295E-2</v>
          </cell>
        </row>
      </sheetData>
      <sheetData sheetId="4826">
        <row r="1">
          <cell r="J1">
            <v>1.7453292519943295E-2</v>
          </cell>
        </row>
      </sheetData>
      <sheetData sheetId="4827">
        <row r="1">
          <cell r="J1">
            <v>1.7453292519943295E-2</v>
          </cell>
        </row>
      </sheetData>
      <sheetData sheetId="4828">
        <row r="1">
          <cell r="J1">
            <v>1.7453292519943295E-2</v>
          </cell>
        </row>
      </sheetData>
      <sheetData sheetId="4829">
        <row r="1">
          <cell r="J1">
            <v>1.7453292519943295E-2</v>
          </cell>
        </row>
      </sheetData>
      <sheetData sheetId="4830">
        <row r="1">
          <cell r="J1">
            <v>1.7453292519943295E-2</v>
          </cell>
        </row>
      </sheetData>
      <sheetData sheetId="4831">
        <row r="1">
          <cell r="J1">
            <v>1.7453292519943295E-2</v>
          </cell>
        </row>
      </sheetData>
      <sheetData sheetId="4832">
        <row r="1">
          <cell r="J1">
            <v>1.7453292519943295E-2</v>
          </cell>
        </row>
      </sheetData>
      <sheetData sheetId="4833">
        <row r="1">
          <cell r="J1">
            <v>1.7453292519943295E-2</v>
          </cell>
        </row>
      </sheetData>
      <sheetData sheetId="4834">
        <row r="1">
          <cell r="J1">
            <v>1.7453292519943295E-2</v>
          </cell>
        </row>
      </sheetData>
      <sheetData sheetId="4835">
        <row r="1">
          <cell r="J1">
            <v>1.7453292519943295E-2</v>
          </cell>
        </row>
      </sheetData>
      <sheetData sheetId="4836">
        <row r="1">
          <cell r="J1">
            <v>1.7453292519943295E-2</v>
          </cell>
        </row>
      </sheetData>
      <sheetData sheetId="4837">
        <row r="1">
          <cell r="J1">
            <v>1.7453292519943295E-2</v>
          </cell>
        </row>
      </sheetData>
      <sheetData sheetId="4838">
        <row r="1">
          <cell r="J1">
            <v>1.7453292519943295E-2</v>
          </cell>
        </row>
      </sheetData>
      <sheetData sheetId="4839">
        <row r="1">
          <cell r="J1">
            <v>1.7453292519943295E-2</v>
          </cell>
        </row>
      </sheetData>
      <sheetData sheetId="4840">
        <row r="1">
          <cell r="J1">
            <v>1.7453292519943295E-2</v>
          </cell>
        </row>
      </sheetData>
      <sheetData sheetId="4841">
        <row r="1">
          <cell r="J1">
            <v>1.7453292519943295E-2</v>
          </cell>
        </row>
      </sheetData>
      <sheetData sheetId="4842">
        <row r="1">
          <cell r="J1">
            <v>1.7453292519943295E-2</v>
          </cell>
        </row>
      </sheetData>
      <sheetData sheetId="4843">
        <row r="1">
          <cell r="J1">
            <v>1.7453292519943295E-2</v>
          </cell>
        </row>
      </sheetData>
      <sheetData sheetId="4844">
        <row r="1">
          <cell r="J1">
            <v>1.7453292519943295E-2</v>
          </cell>
        </row>
      </sheetData>
      <sheetData sheetId="4845">
        <row r="1">
          <cell r="J1">
            <v>1.7453292519943295E-2</v>
          </cell>
        </row>
      </sheetData>
      <sheetData sheetId="4846">
        <row r="1">
          <cell r="J1">
            <v>1.7453292519943295E-2</v>
          </cell>
        </row>
      </sheetData>
      <sheetData sheetId="4847">
        <row r="1">
          <cell r="J1">
            <v>1.7453292519943295E-2</v>
          </cell>
        </row>
      </sheetData>
      <sheetData sheetId="4848">
        <row r="1">
          <cell r="J1">
            <v>1.7453292519943295E-2</v>
          </cell>
        </row>
      </sheetData>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ow r="1">
          <cell r="J1">
            <v>1.7453292519943295E-2</v>
          </cell>
        </row>
      </sheetData>
      <sheetData sheetId="5006">
        <row r="1">
          <cell r="J1">
            <v>1.7453292519943295E-2</v>
          </cell>
        </row>
      </sheetData>
      <sheetData sheetId="5007">
        <row r="1">
          <cell r="J1">
            <v>1.7453292519943295E-2</v>
          </cell>
        </row>
      </sheetData>
      <sheetData sheetId="5008">
        <row r="1">
          <cell r="J1">
            <v>1.7453292519943295E-2</v>
          </cell>
        </row>
      </sheetData>
      <sheetData sheetId="5009">
        <row r="1">
          <cell r="J1">
            <v>1.7453292519943295E-2</v>
          </cell>
        </row>
      </sheetData>
      <sheetData sheetId="5010">
        <row r="1">
          <cell r="J1">
            <v>1.7453292519943295E-2</v>
          </cell>
        </row>
      </sheetData>
      <sheetData sheetId="5011">
        <row r="1">
          <cell r="J1">
            <v>1.7453292519943295E-2</v>
          </cell>
        </row>
      </sheetData>
      <sheetData sheetId="5012">
        <row r="1">
          <cell r="J1">
            <v>1.7453292519943295E-2</v>
          </cell>
        </row>
      </sheetData>
      <sheetData sheetId="5013">
        <row r="1">
          <cell r="J1">
            <v>1.7453292519943295E-2</v>
          </cell>
        </row>
      </sheetData>
      <sheetData sheetId="5014">
        <row r="1">
          <cell r="J1">
            <v>1.7453292519943295E-2</v>
          </cell>
        </row>
      </sheetData>
      <sheetData sheetId="5015">
        <row r="1">
          <cell r="J1">
            <v>1.7453292519943295E-2</v>
          </cell>
        </row>
      </sheetData>
      <sheetData sheetId="5016">
        <row r="1">
          <cell r="J1">
            <v>1.7453292519943295E-2</v>
          </cell>
        </row>
      </sheetData>
      <sheetData sheetId="5017">
        <row r="1">
          <cell r="J1">
            <v>1.7453292519943295E-2</v>
          </cell>
        </row>
      </sheetData>
      <sheetData sheetId="5018">
        <row r="1">
          <cell r="J1">
            <v>1.7453292519943295E-2</v>
          </cell>
        </row>
      </sheetData>
      <sheetData sheetId="5019">
        <row r="1">
          <cell r="J1">
            <v>1.7453292519943295E-2</v>
          </cell>
        </row>
      </sheetData>
      <sheetData sheetId="5020">
        <row r="1">
          <cell r="J1">
            <v>1.7453292519943295E-2</v>
          </cell>
        </row>
      </sheetData>
      <sheetData sheetId="5021">
        <row r="1">
          <cell r="J1">
            <v>1.7453292519943295E-2</v>
          </cell>
        </row>
      </sheetData>
      <sheetData sheetId="5022">
        <row r="1">
          <cell r="J1">
            <v>1.7453292519943295E-2</v>
          </cell>
        </row>
      </sheetData>
      <sheetData sheetId="5023">
        <row r="1">
          <cell r="J1">
            <v>1.7453292519943295E-2</v>
          </cell>
        </row>
      </sheetData>
      <sheetData sheetId="5024">
        <row r="1">
          <cell r="J1">
            <v>1.7453292519943295E-2</v>
          </cell>
        </row>
      </sheetData>
      <sheetData sheetId="5025">
        <row r="1">
          <cell r="J1">
            <v>1.7453292519943295E-2</v>
          </cell>
        </row>
      </sheetData>
      <sheetData sheetId="5026">
        <row r="1">
          <cell r="J1">
            <v>1.7453292519943295E-2</v>
          </cell>
        </row>
      </sheetData>
      <sheetData sheetId="5027">
        <row r="1">
          <cell r="J1">
            <v>1.7453292519943295E-2</v>
          </cell>
        </row>
      </sheetData>
      <sheetData sheetId="5028">
        <row r="1">
          <cell r="J1">
            <v>1.7453292519943295E-2</v>
          </cell>
        </row>
      </sheetData>
      <sheetData sheetId="5029">
        <row r="1">
          <cell r="J1">
            <v>1.7453292519943295E-2</v>
          </cell>
        </row>
      </sheetData>
      <sheetData sheetId="5030">
        <row r="1">
          <cell r="J1">
            <v>1.7453292519943295E-2</v>
          </cell>
        </row>
      </sheetData>
      <sheetData sheetId="5031">
        <row r="1">
          <cell r="J1">
            <v>1.7453292519943295E-2</v>
          </cell>
        </row>
      </sheetData>
      <sheetData sheetId="5032">
        <row r="1">
          <cell r="J1">
            <v>1.7453292519943295E-2</v>
          </cell>
        </row>
      </sheetData>
      <sheetData sheetId="5033">
        <row r="1">
          <cell r="J1">
            <v>1.7453292519943295E-2</v>
          </cell>
        </row>
      </sheetData>
      <sheetData sheetId="5034">
        <row r="1">
          <cell r="J1">
            <v>1.7453292519943295E-2</v>
          </cell>
        </row>
      </sheetData>
      <sheetData sheetId="5035">
        <row r="1">
          <cell r="J1">
            <v>1.7453292519943295E-2</v>
          </cell>
        </row>
      </sheetData>
      <sheetData sheetId="5036">
        <row r="1">
          <cell r="J1">
            <v>1.7453292519943295E-2</v>
          </cell>
        </row>
      </sheetData>
      <sheetData sheetId="5037">
        <row r="1">
          <cell r="J1">
            <v>1.7453292519943295E-2</v>
          </cell>
        </row>
      </sheetData>
      <sheetData sheetId="5038">
        <row r="1">
          <cell r="J1">
            <v>1.7453292519943295E-2</v>
          </cell>
        </row>
      </sheetData>
      <sheetData sheetId="5039">
        <row r="1">
          <cell r="J1">
            <v>1.7453292519943295E-2</v>
          </cell>
        </row>
      </sheetData>
      <sheetData sheetId="5040">
        <row r="1">
          <cell r="J1">
            <v>1.7453292519943295E-2</v>
          </cell>
        </row>
      </sheetData>
      <sheetData sheetId="5041">
        <row r="1">
          <cell r="J1">
            <v>1.7453292519943295E-2</v>
          </cell>
        </row>
      </sheetData>
      <sheetData sheetId="5042">
        <row r="1">
          <cell r="J1">
            <v>1.7453292519943295E-2</v>
          </cell>
        </row>
      </sheetData>
      <sheetData sheetId="5043">
        <row r="1">
          <cell r="J1">
            <v>1.7453292519943295E-2</v>
          </cell>
        </row>
      </sheetData>
      <sheetData sheetId="5044">
        <row r="1">
          <cell r="J1">
            <v>1.7453292519943295E-2</v>
          </cell>
        </row>
      </sheetData>
      <sheetData sheetId="5045">
        <row r="1">
          <cell r="J1">
            <v>1.7453292519943295E-2</v>
          </cell>
        </row>
      </sheetData>
      <sheetData sheetId="5046">
        <row r="1">
          <cell r="J1">
            <v>1.7453292519943295E-2</v>
          </cell>
        </row>
      </sheetData>
      <sheetData sheetId="5047">
        <row r="1">
          <cell r="J1">
            <v>1.7453292519943295E-2</v>
          </cell>
        </row>
      </sheetData>
      <sheetData sheetId="5048">
        <row r="1">
          <cell r="J1">
            <v>1.7453292519943295E-2</v>
          </cell>
        </row>
      </sheetData>
      <sheetData sheetId="5049">
        <row r="1">
          <cell r="J1">
            <v>1.7453292519943295E-2</v>
          </cell>
        </row>
      </sheetData>
      <sheetData sheetId="5050">
        <row r="1">
          <cell r="J1">
            <v>1.7453292519943295E-2</v>
          </cell>
        </row>
      </sheetData>
      <sheetData sheetId="5051">
        <row r="1">
          <cell r="J1">
            <v>1.7453292519943295E-2</v>
          </cell>
        </row>
      </sheetData>
      <sheetData sheetId="5052">
        <row r="1">
          <cell r="J1">
            <v>1.7453292519943295E-2</v>
          </cell>
        </row>
      </sheetData>
      <sheetData sheetId="5053">
        <row r="1">
          <cell r="J1">
            <v>1.7453292519943295E-2</v>
          </cell>
        </row>
      </sheetData>
      <sheetData sheetId="5054">
        <row r="1">
          <cell r="J1">
            <v>1.7453292519943295E-2</v>
          </cell>
        </row>
      </sheetData>
      <sheetData sheetId="5055">
        <row r="1">
          <cell r="J1">
            <v>1.7453292519943295E-2</v>
          </cell>
        </row>
      </sheetData>
      <sheetData sheetId="5056">
        <row r="1">
          <cell r="J1">
            <v>1.7453292519943295E-2</v>
          </cell>
        </row>
      </sheetData>
      <sheetData sheetId="5057">
        <row r="1">
          <cell r="J1">
            <v>1.7453292519943295E-2</v>
          </cell>
        </row>
      </sheetData>
      <sheetData sheetId="5058">
        <row r="1">
          <cell r="J1">
            <v>1.7453292519943295E-2</v>
          </cell>
        </row>
      </sheetData>
      <sheetData sheetId="5059">
        <row r="1">
          <cell r="J1">
            <v>1.7453292519943295E-2</v>
          </cell>
        </row>
      </sheetData>
      <sheetData sheetId="5060">
        <row r="1">
          <cell r="J1">
            <v>1.7453292519943295E-2</v>
          </cell>
        </row>
      </sheetData>
      <sheetData sheetId="5061">
        <row r="1">
          <cell r="J1">
            <v>1.7453292519943295E-2</v>
          </cell>
        </row>
      </sheetData>
      <sheetData sheetId="5062">
        <row r="1">
          <cell r="J1">
            <v>1.7453292519943295E-2</v>
          </cell>
        </row>
      </sheetData>
      <sheetData sheetId="5063">
        <row r="1">
          <cell r="J1">
            <v>1.7453292519943295E-2</v>
          </cell>
        </row>
      </sheetData>
      <sheetData sheetId="5064">
        <row r="1">
          <cell r="J1">
            <v>1.7453292519943295E-2</v>
          </cell>
        </row>
      </sheetData>
      <sheetData sheetId="5065">
        <row r="1">
          <cell r="J1">
            <v>1.7453292519943295E-2</v>
          </cell>
        </row>
      </sheetData>
      <sheetData sheetId="5066">
        <row r="1">
          <cell r="J1">
            <v>1.7453292519943295E-2</v>
          </cell>
        </row>
      </sheetData>
      <sheetData sheetId="5067">
        <row r="1">
          <cell r="J1">
            <v>1.7453292519943295E-2</v>
          </cell>
        </row>
      </sheetData>
      <sheetData sheetId="5068">
        <row r="1">
          <cell r="J1">
            <v>1.7453292519943295E-2</v>
          </cell>
        </row>
      </sheetData>
      <sheetData sheetId="5069">
        <row r="1">
          <cell r="J1">
            <v>1.7453292519943295E-2</v>
          </cell>
        </row>
      </sheetData>
      <sheetData sheetId="5070">
        <row r="1">
          <cell r="J1">
            <v>1.7453292519943295E-2</v>
          </cell>
        </row>
      </sheetData>
      <sheetData sheetId="5071">
        <row r="1">
          <cell r="J1">
            <v>1.7453292519943295E-2</v>
          </cell>
        </row>
      </sheetData>
      <sheetData sheetId="5072">
        <row r="1">
          <cell r="J1">
            <v>1.7453292519943295E-2</v>
          </cell>
        </row>
      </sheetData>
      <sheetData sheetId="5073">
        <row r="1">
          <cell r="J1">
            <v>1.7453292519943295E-2</v>
          </cell>
        </row>
      </sheetData>
      <sheetData sheetId="5074">
        <row r="1">
          <cell r="J1">
            <v>1.7453292519943295E-2</v>
          </cell>
        </row>
      </sheetData>
      <sheetData sheetId="5075">
        <row r="1">
          <cell r="J1">
            <v>1.7453292519943295E-2</v>
          </cell>
        </row>
      </sheetData>
      <sheetData sheetId="5076">
        <row r="1">
          <cell r="J1">
            <v>1.7453292519943295E-2</v>
          </cell>
        </row>
      </sheetData>
      <sheetData sheetId="5077">
        <row r="1">
          <cell r="J1">
            <v>1.7453292519943295E-2</v>
          </cell>
        </row>
      </sheetData>
      <sheetData sheetId="5078">
        <row r="1">
          <cell r="J1">
            <v>1.7453292519943295E-2</v>
          </cell>
        </row>
      </sheetData>
      <sheetData sheetId="5079">
        <row r="1">
          <cell r="J1">
            <v>1.7453292519943295E-2</v>
          </cell>
        </row>
      </sheetData>
      <sheetData sheetId="5080">
        <row r="1">
          <cell r="J1">
            <v>1.7453292519943295E-2</v>
          </cell>
        </row>
      </sheetData>
      <sheetData sheetId="5081">
        <row r="1">
          <cell r="J1">
            <v>1.7453292519943295E-2</v>
          </cell>
        </row>
      </sheetData>
      <sheetData sheetId="5082">
        <row r="1">
          <cell r="J1">
            <v>1.7453292519943295E-2</v>
          </cell>
        </row>
      </sheetData>
      <sheetData sheetId="5083">
        <row r="1">
          <cell r="J1">
            <v>1.7453292519943295E-2</v>
          </cell>
        </row>
      </sheetData>
      <sheetData sheetId="5084">
        <row r="1">
          <cell r="J1">
            <v>1.7453292519943295E-2</v>
          </cell>
        </row>
      </sheetData>
      <sheetData sheetId="5085">
        <row r="1">
          <cell r="J1">
            <v>1.7453292519943295E-2</v>
          </cell>
        </row>
      </sheetData>
      <sheetData sheetId="5086">
        <row r="1">
          <cell r="J1">
            <v>1.7453292519943295E-2</v>
          </cell>
        </row>
      </sheetData>
      <sheetData sheetId="5087">
        <row r="1">
          <cell r="J1">
            <v>1.7453292519943295E-2</v>
          </cell>
        </row>
      </sheetData>
      <sheetData sheetId="5088">
        <row r="1">
          <cell r="J1">
            <v>1.7453292519943295E-2</v>
          </cell>
        </row>
      </sheetData>
      <sheetData sheetId="5089">
        <row r="1">
          <cell r="J1">
            <v>1.7453292519943295E-2</v>
          </cell>
        </row>
      </sheetData>
      <sheetData sheetId="5090">
        <row r="1">
          <cell r="J1">
            <v>1.7453292519943295E-2</v>
          </cell>
        </row>
      </sheetData>
      <sheetData sheetId="5091">
        <row r="1">
          <cell r="J1">
            <v>1.7453292519943295E-2</v>
          </cell>
        </row>
      </sheetData>
      <sheetData sheetId="5092">
        <row r="1">
          <cell r="J1">
            <v>1.7453292519943295E-2</v>
          </cell>
        </row>
      </sheetData>
      <sheetData sheetId="5093">
        <row r="1">
          <cell r="J1">
            <v>1.7453292519943295E-2</v>
          </cell>
        </row>
      </sheetData>
      <sheetData sheetId="5094">
        <row r="1">
          <cell r="J1">
            <v>1.7453292519943295E-2</v>
          </cell>
        </row>
      </sheetData>
      <sheetData sheetId="5095">
        <row r="1">
          <cell r="J1">
            <v>1.7453292519943295E-2</v>
          </cell>
        </row>
      </sheetData>
      <sheetData sheetId="5096">
        <row r="1">
          <cell r="J1">
            <v>1.7453292519943295E-2</v>
          </cell>
        </row>
      </sheetData>
      <sheetData sheetId="5097">
        <row r="1">
          <cell r="J1">
            <v>1.7453292519943295E-2</v>
          </cell>
        </row>
      </sheetData>
      <sheetData sheetId="5098">
        <row r="1">
          <cell r="J1">
            <v>1.7453292519943295E-2</v>
          </cell>
        </row>
      </sheetData>
      <sheetData sheetId="5099">
        <row r="1">
          <cell r="J1">
            <v>1.7453292519943295E-2</v>
          </cell>
        </row>
      </sheetData>
      <sheetData sheetId="5100">
        <row r="1">
          <cell r="J1">
            <v>1.7453292519943295E-2</v>
          </cell>
        </row>
      </sheetData>
      <sheetData sheetId="5101">
        <row r="1">
          <cell r="J1">
            <v>1.7453292519943295E-2</v>
          </cell>
        </row>
      </sheetData>
      <sheetData sheetId="5102">
        <row r="1">
          <cell r="J1">
            <v>1.7453292519943295E-2</v>
          </cell>
        </row>
      </sheetData>
      <sheetData sheetId="5103">
        <row r="1">
          <cell r="J1">
            <v>1.7453292519943295E-2</v>
          </cell>
        </row>
      </sheetData>
      <sheetData sheetId="5104">
        <row r="1">
          <cell r="J1">
            <v>1.7453292519943295E-2</v>
          </cell>
        </row>
      </sheetData>
      <sheetData sheetId="5105">
        <row r="1">
          <cell r="J1">
            <v>1.7453292519943295E-2</v>
          </cell>
        </row>
      </sheetData>
      <sheetData sheetId="5106">
        <row r="1">
          <cell r="J1">
            <v>1.7453292519943295E-2</v>
          </cell>
        </row>
      </sheetData>
      <sheetData sheetId="5107">
        <row r="1">
          <cell r="J1">
            <v>1.7453292519943295E-2</v>
          </cell>
        </row>
      </sheetData>
      <sheetData sheetId="5108">
        <row r="1">
          <cell r="J1">
            <v>1.7453292519943295E-2</v>
          </cell>
        </row>
      </sheetData>
      <sheetData sheetId="5109">
        <row r="1">
          <cell r="J1">
            <v>1.7453292519943295E-2</v>
          </cell>
        </row>
      </sheetData>
      <sheetData sheetId="5110">
        <row r="1">
          <cell r="J1">
            <v>1.7453292519943295E-2</v>
          </cell>
        </row>
      </sheetData>
      <sheetData sheetId="5111">
        <row r="1">
          <cell r="J1">
            <v>1.7453292519943295E-2</v>
          </cell>
        </row>
      </sheetData>
      <sheetData sheetId="5112">
        <row r="1">
          <cell r="J1">
            <v>1.7453292519943295E-2</v>
          </cell>
        </row>
      </sheetData>
      <sheetData sheetId="5113">
        <row r="1">
          <cell r="J1">
            <v>1.7453292519943295E-2</v>
          </cell>
        </row>
      </sheetData>
      <sheetData sheetId="5114">
        <row r="1">
          <cell r="J1">
            <v>1.7453292519943295E-2</v>
          </cell>
        </row>
      </sheetData>
      <sheetData sheetId="5115">
        <row r="1">
          <cell r="J1">
            <v>1.7453292519943295E-2</v>
          </cell>
        </row>
      </sheetData>
      <sheetData sheetId="5116">
        <row r="1">
          <cell r="J1">
            <v>1.7453292519943295E-2</v>
          </cell>
        </row>
      </sheetData>
      <sheetData sheetId="5117">
        <row r="1">
          <cell r="J1">
            <v>1.7453292519943295E-2</v>
          </cell>
        </row>
      </sheetData>
      <sheetData sheetId="5118">
        <row r="1">
          <cell r="J1">
            <v>1.7453292519943295E-2</v>
          </cell>
        </row>
      </sheetData>
      <sheetData sheetId="5119">
        <row r="1">
          <cell r="J1">
            <v>1.7453292519943295E-2</v>
          </cell>
        </row>
      </sheetData>
      <sheetData sheetId="5120">
        <row r="1">
          <cell r="J1">
            <v>1.7453292519943295E-2</v>
          </cell>
        </row>
      </sheetData>
      <sheetData sheetId="5121">
        <row r="1">
          <cell r="J1">
            <v>1.7453292519943295E-2</v>
          </cell>
        </row>
      </sheetData>
      <sheetData sheetId="5122">
        <row r="1">
          <cell r="J1">
            <v>1.7453292519943295E-2</v>
          </cell>
        </row>
      </sheetData>
      <sheetData sheetId="5123">
        <row r="1">
          <cell r="J1">
            <v>1.7453292519943295E-2</v>
          </cell>
        </row>
      </sheetData>
      <sheetData sheetId="5124">
        <row r="1">
          <cell r="J1">
            <v>1.7453292519943295E-2</v>
          </cell>
        </row>
      </sheetData>
      <sheetData sheetId="5125">
        <row r="1">
          <cell r="J1">
            <v>1.7453292519943295E-2</v>
          </cell>
        </row>
      </sheetData>
      <sheetData sheetId="5126">
        <row r="1">
          <cell r="J1">
            <v>1.7453292519943295E-2</v>
          </cell>
        </row>
      </sheetData>
      <sheetData sheetId="5127">
        <row r="1">
          <cell r="J1">
            <v>1.7453292519943295E-2</v>
          </cell>
        </row>
      </sheetData>
      <sheetData sheetId="5128">
        <row r="1">
          <cell r="J1">
            <v>1.7453292519943295E-2</v>
          </cell>
        </row>
      </sheetData>
      <sheetData sheetId="5129">
        <row r="1">
          <cell r="J1">
            <v>1.7453292519943295E-2</v>
          </cell>
        </row>
      </sheetData>
      <sheetData sheetId="5130">
        <row r="1">
          <cell r="J1">
            <v>1.7453292519943295E-2</v>
          </cell>
        </row>
      </sheetData>
      <sheetData sheetId="5131">
        <row r="1">
          <cell r="J1">
            <v>1.7453292519943295E-2</v>
          </cell>
        </row>
      </sheetData>
      <sheetData sheetId="5132">
        <row r="1">
          <cell r="J1">
            <v>1.7453292519943295E-2</v>
          </cell>
        </row>
      </sheetData>
      <sheetData sheetId="5133">
        <row r="1">
          <cell r="J1">
            <v>1.7453292519943295E-2</v>
          </cell>
        </row>
      </sheetData>
      <sheetData sheetId="5134">
        <row r="1">
          <cell r="J1">
            <v>1.7453292519943295E-2</v>
          </cell>
        </row>
      </sheetData>
      <sheetData sheetId="5135">
        <row r="1">
          <cell r="J1">
            <v>1.7453292519943295E-2</v>
          </cell>
        </row>
      </sheetData>
      <sheetData sheetId="5136">
        <row r="1">
          <cell r="J1">
            <v>1.7453292519943295E-2</v>
          </cell>
        </row>
      </sheetData>
      <sheetData sheetId="5137">
        <row r="1">
          <cell r="J1">
            <v>1.7453292519943295E-2</v>
          </cell>
        </row>
      </sheetData>
      <sheetData sheetId="5138">
        <row r="1">
          <cell r="J1">
            <v>1.7453292519943295E-2</v>
          </cell>
        </row>
      </sheetData>
      <sheetData sheetId="5139">
        <row r="1">
          <cell r="J1">
            <v>1.7453292519943295E-2</v>
          </cell>
        </row>
      </sheetData>
      <sheetData sheetId="5140">
        <row r="1">
          <cell r="J1">
            <v>1.7453292519943295E-2</v>
          </cell>
        </row>
      </sheetData>
      <sheetData sheetId="5141">
        <row r="1">
          <cell r="J1">
            <v>1.7453292519943295E-2</v>
          </cell>
        </row>
      </sheetData>
      <sheetData sheetId="5142">
        <row r="1">
          <cell r="J1">
            <v>1.7453292519943295E-2</v>
          </cell>
        </row>
      </sheetData>
      <sheetData sheetId="5143">
        <row r="1">
          <cell r="J1">
            <v>1.7453292519943295E-2</v>
          </cell>
        </row>
      </sheetData>
      <sheetData sheetId="5144">
        <row r="1">
          <cell r="J1">
            <v>1.7453292519943295E-2</v>
          </cell>
        </row>
      </sheetData>
      <sheetData sheetId="5145">
        <row r="1">
          <cell r="J1">
            <v>1.7453292519943295E-2</v>
          </cell>
        </row>
      </sheetData>
      <sheetData sheetId="5146">
        <row r="1">
          <cell r="J1">
            <v>1.7453292519943295E-2</v>
          </cell>
        </row>
      </sheetData>
      <sheetData sheetId="5147">
        <row r="1">
          <cell r="J1">
            <v>1.7453292519943295E-2</v>
          </cell>
        </row>
      </sheetData>
      <sheetData sheetId="5148">
        <row r="1">
          <cell r="J1">
            <v>1.7453292519943295E-2</v>
          </cell>
        </row>
      </sheetData>
      <sheetData sheetId="5149">
        <row r="1">
          <cell r="J1">
            <v>1.7453292519943295E-2</v>
          </cell>
        </row>
      </sheetData>
      <sheetData sheetId="5150">
        <row r="1">
          <cell r="J1">
            <v>1.7453292519943295E-2</v>
          </cell>
        </row>
      </sheetData>
      <sheetData sheetId="5151">
        <row r="1">
          <cell r="J1">
            <v>1.7453292519943295E-2</v>
          </cell>
        </row>
      </sheetData>
      <sheetData sheetId="5152">
        <row r="1">
          <cell r="J1">
            <v>1.7453292519943295E-2</v>
          </cell>
        </row>
      </sheetData>
      <sheetData sheetId="5153">
        <row r="1">
          <cell r="J1">
            <v>1.7453292519943295E-2</v>
          </cell>
        </row>
      </sheetData>
      <sheetData sheetId="5154">
        <row r="1">
          <cell r="J1">
            <v>1.7453292519943295E-2</v>
          </cell>
        </row>
      </sheetData>
      <sheetData sheetId="5155">
        <row r="1">
          <cell r="J1">
            <v>1.7453292519943295E-2</v>
          </cell>
        </row>
      </sheetData>
      <sheetData sheetId="5156">
        <row r="1">
          <cell r="J1">
            <v>1.7453292519943295E-2</v>
          </cell>
        </row>
      </sheetData>
      <sheetData sheetId="5157">
        <row r="1">
          <cell r="J1">
            <v>1.7453292519943295E-2</v>
          </cell>
        </row>
      </sheetData>
      <sheetData sheetId="5158">
        <row r="1">
          <cell r="J1">
            <v>1.7453292519943295E-2</v>
          </cell>
        </row>
      </sheetData>
      <sheetData sheetId="5159">
        <row r="1">
          <cell r="J1">
            <v>1.7453292519943295E-2</v>
          </cell>
        </row>
      </sheetData>
      <sheetData sheetId="5160">
        <row r="1">
          <cell r="J1">
            <v>1.7453292519943295E-2</v>
          </cell>
        </row>
      </sheetData>
      <sheetData sheetId="5161">
        <row r="1">
          <cell r="J1">
            <v>1.7453292519943295E-2</v>
          </cell>
        </row>
      </sheetData>
      <sheetData sheetId="5162">
        <row r="1">
          <cell r="J1">
            <v>1.7453292519943295E-2</v>
          </cell>
        </row>
      </sheetData>
      <sheetData sheetId="5163">
        <row r="1">
          <cell r="J1">
            <v>1.7453292519943295E-2</v>
          </cell>
        </row>
      </sheetData>
      <sheetData sheetId="5164">
        <row r="1">
          <cell r="J1">
            <v>1.7453292519943295E-2</v>
          </cell>
        </row>
      </sheetData>
      <sheetData sheetId="5165">
        <row r="1">
          <cell r="J1">
            <v>1.7453292519943295E-2</v>
          </cell>
        </row>
      </sheetData>
      <sheetData sheetId="5166">
        <row r="1">
          <cell r="J1">
            <v>1.7453292519943295E-2</v>
          </cell>
        </row>
      </sheetData>
      <sheetData sheetId="5167">
        <row r="1">
          <cell r="J1">
            <v>1.7453292519943295E-2</v>
          </cell>
        </row>
      </sheetData>
      <sheetData sheetId="5168">
        <row r="1">
          <cell r="J1">
            <v>1.7453292519943295E-2</v>
          </cell>
        </row>
      </sheetData>
      <sheetData sheetId="5169">
        <row r="1">
          <cell r="J1">
            <v>1.7453292519943295E-2</v>
          </cell>
        </row>
      </sheetData>
      <sheetData sheetId="5170">
        <row r="1">
          <cell r="J1">
            <v>1.7453292519943295E-2</v>
          </cell>
        </row>
      </sheetData>
      <sheetData sheetId="5171">
        <row r="1">
          <cell r="J1">
            <v>1.7453292519943295E-2</v>
          </cell>
        </row>
      </sheetData>
      <sheetData sheetId="5172">
        <row r="1">
          <cell r="J1">
            <v>1.7453292519943295E-2</v>
          </cell>
        </row>
      </sheetData>
      <sheetData sheetId="5173">
        <row r="1">
          <cell r="J1">
            <v>1.7453292519943295E-2</v>
          </cell>
        </row>
      </sheetData>
      <sheetData sheetId="5174">
        <row r="1">
          <cell r="J1">
            <v>1.7453292519943295E-2</v>
          </cell>
        </row>
      </sheetData>
      <sheetData sheetId="5175">
        <row r="1">
          <cell r="J1">
            <v>1.7453292519943295E-2</v>
          </cell>
        </row>
      </sheetData>
      <sheetData sheetId="5176">
        <row r="1">
          <cell r="J1">
            <v>1.7453292519943295E-2</v>
          </cell>
        </row>
      </sheetData>
      <sheetData sheetId="5177">
        <row r="1">
          <cell r="J1">
            <v>1.7453292519943295E-2</v>
          </cell>
        </row>
      </sheetData>
      <sheetData sheetId="5178">
        <row r="1">
          <cell r="J1">
            <v>1.7453292519943295E-2</v>
          </cell>
        </row>
      </sheetData>
      <sheetData sheetId="5179">
        <row r="1">
          <cell r="J1">
            <v>1.7453292519943295E-2</v>
          </cell>
        </row>
      </sheetData>
      <sheetData sheetId="5180">
        <row r="1">
          <cell r="J1">
            <v>1.7453292519943295E-2</v>
          </cell>
        </row>
      </sheetData>
      <sheetData sheetId="5181">
        <row r="1">
          <cell r="J1">
            <v>1.7453292519943295E-2</v>
          </cell>
        </row>
      </sheetData>
      <sheetData sheetId="5182">
        <row r="1">
          <cell r="J1">
            <v>1.7453292519943295E-2</v>
          </cell>
        </row>
      </sheetData>
      <sheetData sheetId="5183">
        <row r="1">
          <cell r="J1">
            <v>1.7453292519943295E-2</v>
          </cell>
        </row>
      </sheetData>
      <sheetData sheetId="5184">
        <row r="1">
          <cell r="J1">
            <v>1.7453292519943295E-2</v>
          </cell>
        </row>
      </sheetData>
      <sheetData sheetId="5185">
        <row r="1">
          <cell r="J1">
            <v>1.7453292519943295E-2</v>
          </cell>
        </row>
      </sheetData>
      <sheetData sheetId="5186">
        <row r="1">
          <cell r="J1">
            <v>1.7453292519943295E-2</v>
          </cell>
        </row>
      </sheetData>
      <sheetData sheetId="5187">
        <row r="1">
          <cell r="J1">
            <v>1.7453292519943295E-2</v>
          </cell>
        </row>
      </sheetData>
      <sheetData sheetId="5188">
        <row r="1">
          <cell r="J1">
            <v>1.7453292519943295E-2</v>
          </cell>
        </row>
      </sheetData>
      <sheetData sheetId="5189">
        <row r="1">
          <cell r="J1">
            <v>1.7453292519943295E-2</v>
          </cell>
        </row>
      </sheetData>
      <sheetData sheetId="5190">
        <row r="1">
          <cell r="J1">
            <v>1.7453292519943295E-2</v>
          </cell>
        </row>
      </sheetData>
      <sheetData sheetId="5191">
        <row r="1">
          <cell r="J1">
            <v>1.7453292519943295E-2</v>
          </cell>
        </row>
      </sheetData>
      <sheetData sheetId="5192">
        <row r="1">
          <cell r="J1">
            <v>1.7453292519943295E-2</v>
          </cell>
        </row>
      </sheetData>
      <sheetData sheetId="5193">
        <row r="1">
          <cell r="J1">
            <v>1.7453292519943295E-2</v>
          </cell>
        </row>
      </sheetData>
      <sheetData sheetId="5194">
        <row r="1">
          <cell r="J1">
            <v>1.7453292519943295E-2</v>
          </cell>
        </row>
      </sheetData>
      <sheetData sheetId="5195">
        <row r="1">
          <cell r="J1">
            <v>1.7453292519943295E-2</v>
          </cell>
        </row>
      </sheetData>
      <sheetData sheetId="5196">
        <row r="1">
          <cell r="J1">
            <v>1.7453292519943295E-2</v>
          </cell>
        </row>
      </sheetData>
      <sheetData sheetId="5197">
        <row r="1">
          <cell r="J1">
            <v>1.7453292519943295E-2</v>
          </cell>
        </row>
      </sheetData>
      <sheetData sheetId="5198">
        <row r="1">
          <cell r="J1">
            <v>1.7453292519943295E-2</v>
          </cell>
        </row>
      </sheetData>
      <sheetData sheetId="5199">
        <row r="1">
          <cell r="J1">
            <v>1.7453292519943295E-2</v>
          </cell>
        </row>
      </sheetData>
      <sheetData sheetId="5200">
        <row r="1">
          <cell r="J1">
            <v>1.7453292519943295E-2</v>
          </cell>
        </row>
      </sheetData>
      <sheetData sheetId="5201">
        <row r="1">
          <cell r="J1">
            <v>1.7453292519943295E-2</v>
          </cell>
        </row>
      </sheetData>
      <sheetData sheetId="5202">
        <row r="1">
          <cell r="J1">
            <v>1.7453292519943295E-2</v>
          </cell>
        </row>
      </sheetData>
      <sheetData sheetId="5203">
        <row r="1">
          <cell r="J1">
            <v>1.7453292519943295E-2</v>
          </cell>
        </row>
      </sheetData>
      <sheetData sheetId="5204">
        <row r="1">
          <cell r="J1">
            <v>1.7453292519943295E-2</v>
          </cell>
        </row>
      </sheetData>
      <sheetData sheetId="5205">
        <row r="1">
          <cell r="J1">
            <v>1.7453292519943295E-2</v>
          </cell>
        </row>
      </sheetData>
      <sheetData sheetId="5206">
        <row r="1">
          <cell r="J1">
            <v>1.7453292519943295E-2</v>
          </cell>
        </row>
      </sheetData>
      <sheetData sheetId="5207">
        <row r="1">
          <cell r="J1">
            <v>1.7453292519943295E-2</v>
          </cell>
        </row>
      </sheetData>
      <sheetData sheetId="5208">
        <row r="1">
          <cell r="J1">
            <v>1.7453292519943295E-2</v>
          </cell>
        </row>
      </sheetData>
      <sheetData sheetId="5209">
        <row r="1">
          <cell r="J1">
            <v>1.7453292519943295E-2</v>
          </cell>
        </row>
      </sheetData>
      <sheetData sheetId="5210">
        <row r="1">
          <cell r="J1">
            <v>1.7453292519943295E-2</v>
          </cell>
        </row>
      </sheetData>
      <sheetData sheetId="5211">
        <row r="1">
          <cell r="J1">
            <v>1.7453292519943295E-2</v>
          </cell>
        </row>
      </sheetData>
      <sheetData sheetId="5212">
        <row r="1">
          <cell r="J1">
            <v>1.7453292519943295E-2</v>
          </cell>
        </row>
      </sheetData>
      <sheetData sheetId="5213">
        <row r="1">
          <cell r="J1">
            <v>1.7453292519943295E-2</v>
          </cell>
        </row>
      </sheetData>
      <sheetData sheetId="5214">
        <row r="1">
          <cell r="J1">
            <v>1.7453292519943295E-2</v>
          </cell>
        </row>
      </sheetData>
      <sheetData sheetId="5215">
        <row r="1">
          <cell r="J1">
            <v>1.7453292519943295E-2</v>
          </cell>
        </row>
      </sheetData>
      <sheetData sheetId="5216">
        <row r="1">
          <cell r="J1">
            <v>1.7453292519943295E-2</v>
          </cell>
        </row>
      </sheetData>
      <sheetData sheetId="5217">
        <row r="1">
          <cell r="J1">
            <v>1.7453292519943295E-2</v>
          </cell>
        </row>
      </sheetData>
      <sheetData sheetId="5218">
        <row r="1">
          <cell r="J1">
            <v>1.7453292519943295E-2</v>
          </cell>
        </row>
      </sheetData>
      <sheetData sheetId="5219">
        <row r="1">
          <cell r="J1">
            <v>1.7453292519943295E-2</v>
          </cell>
        </row>
      </sheetData>
      <sheetData sheetId="5220">
        <row r="1">
          <cell r="J1">
            <v>1.7453292519943295E-2</v>
          </cell>
        </row>
      </sheetData>
      <sheetData sheetId="5221">
        <row r="1">
          <cell r="J1">
            <v>1.7453292519943295E-2</v>
          </cell>
        </row>
      </sheetData>
      <sheetData sheetId="5222">
        <row r="1">
          <cell r="J1">
            <v>1.7453292519943295E-2</v>
          </cell>
        </row>
      </sheetData>
      <sheetData sheetId="5223">
        <row r="1">
          <cell r="J1">
            <v>1.7453292519943295E-2</v>
          </cell>
        </row>
      </sheetData>
      <sheetData sheetId="5224">
        <row r="1">
          <cell r="J1">
            <v>1.7453292519943295E-2</v>
          </cell>
        </row>
      </sheetData>
      <sheetData sheetId="5225">
        <row r="1">
          <cell r="J1">
            <v>1.7453292519943295E-2</v>
          </cell>
        </row>
      </sheetData>
      <sheetData sheetId="5226">
        <row r="1">
          <cell r="J1">
            <v>1.7453292519943295E-2</v>
          </cell>
        </row>
      </sheetData>
      <sheetData sheetId="5227">
        <row r="1">
          <cell r="J1">
            <v>1.7453292519943295E-2</v>
          </cell>
        </row>
      </sheetData>
      <sheetData sheetId="5228">
        <row r="1">
          <cell r="J1">
            <v>1.7453292519943295E-2</v>
          </cell>
        </row>
      </sheetData>
      <sheetData sheetId="5229">
        <row r="1">
          <cell r="J1">
            <v>1.7453292519943295E-2</v>
          </cell>
        </row>
      </sheetData>
      <sheetData sheetId="5230">
        <row r="1">
          <cell r="J1">
            <v>1.7453292519943295E-2</v>
          </cell>
        </row>
      </sheetData>
      <sheetData sheetId="5231">
        <row r="1">
          <cell r="J1">
            <v>1.7453292519943295E-2</v>
          </cell>
        </row>
      </sheetData>
      <sheetData sheetId="5232">
        <row r="1">
          <cell r="J1">
            <v>1.7453292519943295E-2</v>
          </cell>
        </row>
      </sheetData>
      <sheetData sheetId="5233">
        <row r="1">
          <cell r="J1">
            <v>1.7453292519943295E-2</v>
          </cell>
        </row>
      </sheetData>
      <sheetData sheetId="5234">
        <row r="1">
          <cell r="J1">
            <v>1.7453292519943295E-2</v>
          </cell>
        </row>
      </sheetData>
      <sheetData sheetId="5235">
        <row r="1">
          <cell r="J1">
            <v>1.7453292519943295E-2</v>
          </cell>
        </row>
      </sheetData>
      <sheetData sheetId="5236">
        <row r="1">
          <cell r="J1">
            <v>1.7453292519943295E-2</v>
          </cell>
        </row>
      </sheetData>
      <sheetData sheetId="5237">
        <row r="1">
          <cell r="J1">
            <v>1.7453292519943295E-2</v>
          </cell>
        </row>
      </sheetData>
      <sheetData sheetId="5238">
        <row r="1">
          <cell r="J1">
            <v>1.7453292519943295E-2</v>
          </cell>
        </row>
      </sheetData>
      <sheetData sheetId="5239">
        <row r="1">
          <cell r="J1">
            <v>1.7453292519943295E-2</v>
          </cell>
        </row>
      </sheetData>
      <sheetData sheetId="5240">
        <row r="1">
          <cell r="J1">
            <v>1.7453292519943295E-2</v>
          </cell>
        </row>
      </sheetData>
      <sheetData sheetId="5241">
        <row r="1">
          <cell r="J1">
            <v>1.7453292519943295E-2</v>
          </cell>
        </row>
      </sheetData>
      <sheetData sheetId="5242">
        <row r="1">
          <cell r="J1">
            <v>1.7453292519943295E-2</v>
          </cell>
        </row>
      </sheetData>
      <sheetData sheetId="5243">
        <row r="1">
          <cell r="J1">
            <v>1.7453292519943295E-2</v>
          </cell>
        </row>
      </sheetData>
      <sheetData sheetId="5244">
        <row r="1">
          <cell r="J1">
            <v>1.7453292519943295E-2</v>
          </cell>
        </row>
      </sheetData>
      <sheetData sheetId="5245">
        <row r="1">
          <cell r="J1">
            <v>1.7453292519943295E-2</v>
          </cell>
        </row>
      </sheetData>
      <sheetData sheetId="5246">
        <row r="1">
          <cell r="J1">
            <v>1.7453292519943295E-2</v>
          </cell>
        </row>
      </sheetData>
      <sheetData sheetId="5247">
        <row r="1">
          <cell r="J1">
            <v>1.7453292519943295E-2</v>
          </cell>
        </row>
      </sheetData>
      <sheetData sheetId="5248">
        <row r="1">
          <cell r="J1">
            <v>1.7453292519943295E-2</v>
          </cell>
        </row>
      </sheetData>
      <sheetData sheetId="5249">
        <row r="1">
          <cell r="J1">
            <v>1.7453292519943295E-2</v>
          </cell>
        </row>
      </sheetData>
      <sheetData sheetId="5250">
        <row r="1">
          <cell r="J1">
            <v>1.7453292519943295E-2</v>
          </cell>
        </row>
      </sheetData>
      <sheetData sheetId="5251">
        <row r="1">
          <cell r="J1">
            <v>1.7453292519943295E-2</v>
          </cell>
        </row>
      </sheetData>
      <sheetData sheetId="5252">
        <row r="1">
          <cell r="J1">
            <v>1.7453292519943295E-2</v>
          </cell>
        </row>
      </sheetData>
      <sheetData sheetId="5253">
        <row r="1">
          <cell r="J1">
            <v>1.7453292519943295E-2</v>
          </cell>
        </row>
      </sheetData>
      <sheetData sheetId="5254">
        <row r="1">
          <cell r="J1">
            <v>1.7453292519943295E-2</v>
          </cell>
        </row>
      </sheetData>
      <sheetData sheetId="5255">
        <row r="1">
          <cell r="J1">
            <v>1.7453292519943295E-2</v>
          </cell>
        </row>
      </sheetData>
      <sheetData sheetId="5256">
        <row r="1">
          <cell r="J1">
            <v>1.7453292519943295E-2</v>
          </cell>
        </row>
      </sheetData>
      <sheetData sheetId="5257">
        <row r="1">
          <cell r="J1">
            <v>1.7453292519943295E-2</v>
          </cell>
        </row>
      </sheetData>
      <sheetData sheetId="5258">
        <row r="1">
          <cell r="J1">
            <v>1.7453292519943295E-2</v>
          </cell>
        </row>
      </sheetData>
      <sheetData sheetId="5259">
        <row r="1">
          <cell r="J1">
            <v>1.7453292519943295E-2</v>
          </cell>
        </row>
      </sheetData>
      <sheetData sheetId="5260">
        <row r="1">
          <cell r="J1">
            <v>1.7453292519943295E-2</v>
          </cell>
        </row>
      </sheetData>
      <sheetData sheetId="5261">
        <row r="1">
          <cell r="J1">
            <v>1.7453292519943295E-2</v>
          </cell>
        </row>
      </sheetData>
      <sheetData sheetId="5262">
        <row r="1">
          <cell r="J1">
            <v>1.7453292519943295E-2</v>
          </cell>
        </row>
      </sheetData>
      <sheetData sheetId="5263">
        <row r="1">
          <cell r="J1">
            <v>1.7453292519943295E-2</v>
          </cell>
        </row>
      </sheetData>
      <sheetData sheetId="5264">
        <row r="1">
          <cell r="J1">
            <v>1.7453292519943295E-2</v>
          </cell>
        </row>
      </sheetData>
      <sheetData sheetId="5265">
        <row r="1">
          <cell r="J1">
            <v>1.7453292519943295E-2</v>
          </cell>
        </row>
      </sheetData>
      <sheetData sheetId="5266">
        <row r="1">
          <cell r="J1">
            <v>1.7453292519943295E-2</v>
          </cell>
        </row>
      </sheetData>
      <sheetData sheetId="5267">
        <row r="1">
          <cell r="J1">
            <v>1.7453292519943295E-2</v>
          </cell>
        </row>
      </sheetData>
      <sheetData sheetId="5268">
        <row r="1">
          <cell r="J1">
            <v>1.7453292519943295E-2</v>
          </cell>
        </row>
      </sheetData>
      <sheetData sheetId="5269">
        <row r="1">
          <cell r="J1">
            <v>1.7453292519943295E-2</v>
          </cell>
        </row>
      </sheetData>
      <sheetData sheetId="5270">
        <row r="1">
          <cell r="J1">
            <v>1.7453292519943295E-2</v>
          </cell>
        </row>
      </sheetData>
      <sheetData sheetId="5271">
        <row r="1">
          <cell r="J1">
            <v>1.7453292519943295E-2</v>
          </cell>
        </row>
      </sheetData>
      <sheetData sheetId="5272">
        <row r="1">
          <cell r="J1">
            <v>1.7453292519943295E-2</v>
          </cell>
        </row>
      </sheetData>
      <sheetData sheetId="5273">
        <row r="1">
          <cell r="J1">
            <v>1.7453292519943295E-2</v>
          </cell>
        </row>
      </sheetData>
      <sheetData sheetId="5274">
        <row r="1">
          <cell r="J1">
            <v>1.7453292519943295E-2</v>
          </cell>
        </row>
      </sheetData>
      <sheetData sheetId="5275">
        <row r="1">
          <cell r="J1">
            <v>1.7453292519943295E-2</v>
          </cell>
        </row>
      </sheetData>
      <sheetData sheetId="5276">
        <row r="1">
          <cell r="J1">
            <v>1.7453292519943295E-2</v>
          </cell>
        </row>
      </sheetData>
      <sheetData sheetId="5277">
        <row r="1">
          <cell r="J1">
            <v>1.7453292519943295E-2</v>
          </cell>
        </row>
      </sheetData>
      <sheetData sheetId="5278">
        <row r="1">
          <cell r="J1">
            <v>1.7453292519943295E-2</v>
          </cell>
        </row>
      </sheetData>
      <sheetData sheetId="5279">
        <row r="1">
          <cell r="J1">
            <v>1.7453292519943295E-2</v>
          </cell>
        </row>
      </sheetData>
      <sheetData sheetId="5280">
        <row r="1">
          <cell r="J1">
            <v>1.7453292519943295E-2</v>
          </cell>
        </row>
      </sheetData>
      <sheetData sheetId="5281">
        <row r="1">
          <cell r="J1">
            <v>1.7453292519943295E-2</v>
          </cell>
        </row>
      </sheetData>
      <sheetData sheetId="5282">
        <row r="1">
          <cell r="J1">
            <v>1.7453292519943295E-2</v>
          </cell>
        </row>
      </sheetData>
      <sheetData sheetId="5283">
        <row r="1">
          <cell r="J1">
            <v>1.7453292519943295E-2</v>
          </cell>
        </row>
      </sheetData>
      <sheetData sheetId="5284">
        <row r="1">
          <cell r="J1">
            <v>1.7453292519943295E-2</v>
          </cell>
        </row>
      </sheetData>
      <sheetData sheetId="5285">
        <row r="1">
          <cell r="J1">
            <v>1.7453292519943295E-2</v>
          </cell>
        </row>
      </sheetData>
      <sheetData sheetId="5286">
        <row r="1">
          <cell r="J1">
            <v>1.7453292519943295E-2</v>
          </cell>
        </row>
      </sheetData>
      <sheetData sheetId="5287">
        <row r="1">
          <cell r="J1">
            <v>1.7453292519943295E-2</v>
          </cell>
        </row>
      </sheetData>
      <sheetData sheetId="5288">
        <row r="1">
          <cell r="J1">
            <v>1.7453292519943295E-2</v>
          </cell>
        </row>
      </sheetData>
      <sheetData sheetId="5289">
        <row r="1">
          <cell r="J1">
            <v>1.7453292519943295E-2</v>
          </cell>
        </row>
      </sheetData>
      <sheetData sheetId="5290">
        <row r="1">
          <cell r="J1">
            <v>1.7453292519943295E-2</v>
          </cell>
        </row>
      </sheetData>
      <sheetData sheetId="5291">
        <row r="1">
          <cell r="J1">
            <v>1.7453292519943295E-2</v>
          </cell>
        </row>
      </sheetData>
      <sheetData sheetId="5292">
        <row r="1">
          <cell r="J1">
            <v>1.7453292519943295E-2</v>
          </cell>
        </row>
      </sheetData>
      <sheetData sheetId="5293">
        <row r="1">
          <cell r="J1">
            <v>1.7453292519943295E-2</v>
          </cell>
        </row>
      </sheetData>
      <sheetData sheetId="5294">
        <row r="1">
          <cell r="J1">
            <v>1.7453292519943295E-2</v>
          </cell>
        </row>
      </sheetData>
      <sheetData sheetId="5295">
        <row r="1">
          <cell r="J1">
            <v>1.7453292519943295E-2</v>
          </cell>
        </row>
      </sheetData>
      <sheetData sheetId="5296">
        <row r="1">
          <cell r="J1">
            <v>1.7453292519943295E-2</v>
          </cell>
        </row>
      </sheetData>
      <sheetData sheetId="5297">
        <row r="1">
          <cell r="J1">
            <v>1.7453292519943295E-2</v>
          </cell>
        </row>
      </sheetData>
      <sheetData sheetId="5298">
        <row r="1">
          <cell r="J1">
            <v>1.7453292519943295E-2</v>
          </cell>
        </row>
      </sheetData>
      <sheetData sheetId="5299">
        <row r="1">
          <cell r="J1">
            <v>1.7453292519943295E-2</v>
          </cell>
        </row>
      </sheetData>
      <sheetData sheetId="5300">
        <row r="1">
          <cell r="J1">
            <v>1.7453292519943295E-2</v>
          </cell>
        </row>
      </sheetData>
      <sheetData sheetId="5301">
        <row r="1">
          <cell r="J1">
            <v>1.7453292519943295E-2</v>
          </cell>
        </row>
      </sheetData>
      <sheetData sheetId="5302">
        <row r="1">
          <cell r="J1">
            <v>1.7453292519943295E-2</v>
          </cell>
        </row>
      </sheetData>
      <sheetData sheetId="5303">
        <row r="1">
          <cell r="J1">
            <v>1.7453292519943295E-2</v>
          </cell>
        </row>
      </sheetData>
      <sheetData sheetId="5304">
        <row r="1">
          <cell r="J1">
            <v>1.7453292519943295E-2</v>
          </cell>
        </row>
      </sheetData>
      <sheetData sheetId="5305">
        <row r="1">
          <cell r="J1">
            <v>1.7453292519943295E-2</v>
          </cell>
        </row>
      </sheetData>
      <sheetData sheetId="5306">
        <row r="1">
          <cell r="J1">
            <v>1.7453292519943295E-2</v>
          </cell>
        </row>
      </sheetData>
      <sheetData sheetId="5307">
        <row r="1">
          <cell r="J1">
            <v>1.7453292519943295E-2</v>
          </cell>
        </row>
      </sheetData>
      <sheetData sheetId="5308">
        <row r="1">
          <cell r="J1">
            <v>1.7453292519943295E-2</v>
          </cell>
        </row>
      </sheetData>
      <sheetData sheetId="5309">
        <row r="1">
          <cell r="J1">
            <v>1.7453292519943295E-2</v>
          </cell>
        </row>
      </sheetData>
      <sheetData sheetId="5310">
        <row r="1">
          <cell r="J1">
            <v>1.7453292519943295E-2</v>
          </cell>
        </row>
      </sheetData>
      <sheetData sheetId="5311">
        <row r="1">
          <cell r="J1">
            <v>1.7453292519943295E-2</v>
          </cell>
        </row>
      </sheetData>
      <sheetData sheetId="5312">
        <row r="1">
          <cell r="J1">
            <v>1.7453292519943295E-2</v>
          </cell>
        </row>
      </sheetData>
      <sheetData sheetId="5313">
        <row r="1">
          <cell r="J1">
            <v>1.7453292519943295E-2</v>
          </cell>
        </row>
      </sheetData>
      <sheetData sheetId="5314">
        <row r="1">
          <cell r="J1">
            <v>1.7453292519943295E-2</v>
          </cell>
        </row>
      </sheetData>
      <sheetData sheetId="5315">
        <row r="1">
          <cell r="J1">
            <v>1.7453292519943295E-2</v>
          </cell>
        </row>
      </sheetData>
      <sheetData sheetId="5316">
        <row r="1">
          <cell r="J1">
            <v>1.7453292519943295E-2</v>
          </cell>
        </row>
      </sheetData>
      <sheetData sheetId="5317">
        <row r="1">
          <cell r="J1">
            <v>1.7453292519943295E-2</v>
          </cell>
        </row>
      </sheetData>
      <sheetData sheetId="5318">
        <row r="1">
          <cell r="J1">
            <v>1.7453292519943295E-2</v>
          </cell>
        </row>
      </sheetData>
      <sheetData sheetId="5319">
        <row r="1">
          <cell r="J1">
            <v>1.7453292519943295E-2</v>
          </cell>
        </row>
      </sheetData>
      <sheetData sheetId="5320">
        <row r="1">
          <cell r="J1">
            <v>1.7453292519943295E-2</v>
          </cell>
        </row>
      </sheetData>
      <sheetData sheetId="5321">
        <row r="1">
          <cell r="J1">
            <v>1.7453292519943295E-2</v>
          </cell>
        </row>
      </sheetData>
      <sheetData sheetId="5322">
        <row r="1">
          <cell r="J1">
            <v>1.7453292519943295E-2</v>
          </cell>
        </row>
      </sheetData>
      <sheetData sheetId="5323">
        <row r="1">
          <cell r="J1">
            <v>1.7453292519943295E-2</v>
          </cell>
        </row>
      </sheetData>
      <sheetData sheetId="5324">
        <row r="1">
          <cell r="J1">
            <v>1.7453292519943295E-2</v>
          </cell>
        </row>
      </sheetData>
      <sheetData sheetId="5325">
        <row r="1">
          <cell r="J1">
            <v>1.7453292519943295E-2</v>
          </cell>
        </row>
      </sheetData>
      <sheetData sheetId="5326">
        <row r="1">
          <cell r="J1">
            <v>1.7453292519943295E-2</v>
          </cell>
        </row>
      </sheetData>
      <sheetData sheetId="5327">
        <row r="1">
          <cell r="J1">
            <v>1.7453292519943295E-2</v>
          </cell>
        </row>
      </sheetData>
      <sheetData sheetId="5328">
        <row r="1">
          <cell r="J1">
            <v>1.7453292519943295E-2</v>
          </cell>
        </row>
      </sheetData>
      <sheetData sheetId="5329">
        <row r="1">
          <cell r="J1">
            <v>1.7453292519943295E-2</v>
          </cell>
        </row>
      </sheetData>
      <sheetData sheetId="5330">
        <row r="1">
          <cell r="J1">
            <v>1.7453292519943295E-2</v>
          </cell>
        </row>
      </sheetData>
      <sheetData sheetId="5331">
        <row r="1">
          <cell r="J1">
            <v>1.7453292519943295E-2</v>
          </cell>
        </row>
      </sheetData>
      <sheetData sheetId="5332">
        <row r="1">
          <cell r="J1">
            <v>1.7453292519943295E-2</v>
          </cell>
        </row>
      </sheetData>
      <sheetData sheetId="5333">
        <row r="1">
          <cell r="J1">
            <v>1.7453292519943295E-2</v>
          </cell>
        </row>
      </sheetData>
      <sheetData sheetId="5334">
        <row r="1">
          <cell r="J1">
            <v>1.7453292519943295E-2</v>
          </cell>
        </row>
      </sheetData>
      <sheetData sheetId="5335">
        <row r="1">
          <cell r="J1">
            <v>1.7453292519943295E-2</v>
          </cell>
        </row>
      </sheetData>
      <sheetData sheetId="5336">
        <row r="1">
          <cell r="J1">
            <v>1.7453292519943295E-2</v>
          </cell>
        </row>
      </sheetData>
      <sheetData sheetId="5337">
        <row r="1">
          <cell r="J1">
            <v>1.7453292519943295E-2</v>
          </cell>
        </row>
      </sheetData>
      <sheetData sheetId="5338">
        <row r="1">
          <cell r="J1">
            <v>1.7453292519943295E-2</v>
          </cell>
        </row>
      </sheetData>
      <sheetData sheetId="5339">
        <row r="1">
          <cell r="J1">
            <v>1.7453292519943295E-2</v>
          </cell>
        </row>
      </sheetData>
      <sheetData sheetId="5340">
        <row r="1">
          <cell r="J1">
            <v>1.7453292519943295E-2</v>
          </cell>
        </row>
      </sheetData>
      <sheetData sheetId="5341">
        <row r="1">
          <cell r="J1">
            <v>1.7453292519943295E-2</v>
          </cell>
        </row>
      </sheetData>
      <sheetData sheetId="5342">
        <row r="1">
          <cell r="J1">
            <v>1.7453292519943295E-2</v>
          </cell>
        </row>
      </sheetData>
      <sheetData sheetId="5343">
        <row r="1">
          <cell r="J1">
            <v>1.7453292519943295E-2</v>
          </cell>
        </row>
      </sheetData>
      <sheetData sheetId="5344">
        <row r="1">
          <cell r="J1">
            <v>1.7453292519943295E-2</v>
          </cell>
        </row>
      </sheetData>
      <sheetData sheetId="5345">
        <row r="1">
          <cell r="J1">
            <v>1.7453292519943295E-2</v>
          </cell>
        </row>
      </sheetData>
      <sheetData sheetId="5346">
        <row r="1">
          <cell r="J1">
            <v>1.7453292519943295E-2</v>
          </cell>
        </row>
      </sheetData>
      <sheetData sheetId="5347">
        <row r="1">
          <cell r="J1">
            <v>1.7453292519943295E-2</v>
          </cell>
        </row>
      </sheetData>
      <sheetData sheetId="5348">
        <row r="1">
          <cell r="J1">
            <v>1.7453292519943295E-2</v>
          </cell>
        </row>
      </sheetData>
      <sheetData sheetId="5349">
        <row r="1">
          <cell r="J1">
            <v>1.7453292519943295E-2</v>
          </cell>
        </row>
      </sheetData>
      <sheetData sheetId="5350">
        <row r="1">
          <cell r="J1">
            <v>1.7453292519943295E-2</v>
          </cell>
        </row>
      </sheetData>
      <sheetData sheetId="5351">
        <row r="1">
          <cell r="J1">
            <v>1.7453292519943295E-2</v>
          </cell>
        </row>
      </sheetData>
      <sheetData sheetId="5352">
        <row r="1">
          <cell r="J1">
            <v>1.7453292519943295E-2</v>
          </cell>
        </row>
      </sheetData>
      <sheetData sheetId="5353">
        <row r="1">
          <cell r="J1">
            <v>1.7453292519943295E-2</v>
          </cell>
        </row>
      </sheetData>
      <sheetData sheetId="5354">
        <row r="1">
          <cell r="J1">
            <v>1.7453292519943295E-2</v>
          </cell>
        </row>
      </sheetData>
      <sheetData sheetId="5355">
        <row r="1">
          <cell r="J1">
            <v>1.7453292519943295E-2</v>
          </cell>
        </row>
      </sheetData>
      <sheetData sheetId="5356">
        <row r="1">
          <cell r="J1">
            <v>1.7453292519943295E-2</v>
          </cell>
        </row>
      </sheetData>
      <sheetData sheetId="5357">
        <row r="1">
          <cell r="J1">
            <v>1.7453292519943295E-2</v>
          </cell>
        </row>
      </sheetData>
      <sheetData sheetId="5358">
        <row r="1">
          <cell r="J1">
            <v>1.7453292519943295E-2</v>
          </cell>
        </row>
      </sheetData>
      <sheetData sheetId="5359">
        <row r="1">
          <cell r="J1">
            <v>1.7453292519943295E-2</v>
          </cell>
        </row>
      </sheetData>
      <sheetData sheetId="5360">
        <row r="1">
          <cell r="J1">
            <v>1.7453292519943295E-2</v>
          </cell>
        </row>
      </sheetData>
      <sheetData sheetId="5361">
        <row r="1">
          <cell r="J1">
            <v>1.7453292519943295E-2</v>
          </cell>
        </row>
      </sheetData>
      <sheetData sheetId="5362">
        <row r="1">
          <cell r="J1">
            <v>1.7453292519943295E-2</v>
          </cell>
        </row>
      </sheetData>
      <sheetData sheetId="5363">
        <row r="1">
          <cell r="J1">
            <v>1.7453292519943295E-2</v>
          </cell>
        </row>
      </sheetData>
      <sheetData sheetId="5364">
        <row r="1">
          <cell r="J1">
            <v>1.7453292519943295E-2</v>
          </cell>
        </row>
      </sheetData>
      <sheetData sheetId="5365">
        <row r="1">
          <cell r="J1">
            <v>1.7453292519943295E-2</v>
          </cell>
        </row>
      </sheetData>
      <sheetData sheetId="5366">
        <row r="1">
          <cell r="J1">
            <v>1.7453292519943295E-2</v>
          </cell>
        </row>
      </sheetData>
      <sheetData sheetId="5367">
        <row r="1">
          <cell r="J1">
            <v>1.7453292519943295E-2</v>
          </cell>
        </row>
      </sheetData>
      <sheetData sheetId="5368">
        <row r="1">
          <cell r="J1">
            <v>1.7453292519943295E-2</v>
          </cell>
        </row>
      </sheetData>
      <sheetData sheetId="5369">
        <row r="1">
          <cell r="J1">
            <v>1.7453292519943295E-2</v>
          </cell>
        </row>
      </sheetData>
      <sheetData sheetId="5370">
        <row r="1">
          <cell r="J1">
            <v>1.7453292519943295E-2</v>
          </cell>
        </row>
      </sheetData>
      <sheetData sheetId="5371">
        <row r="1">
          <cell r="J1">
            <v>1.7453292519943295E-2</v>
          </cell>
        </row>
      </sheetData>
      <sheetData sheetId="5372">
        <row r="1">
          <cell r="J1">
            <v>1.7453292519943295E-2</v>
          </cell>
        </row>
      </sheetData>
      <sheetData sheetId="5373">
        <row r="1">
          <cell r="J1">
            <v>1.7453292519943295E-2</v>
          </cell>
        </row>
      </sheetData>
      <sheetData sheetId="5374">
        <row r="1">
          <cell r="J1">
            <v>1.7453292519943295E-2</v>
          </cell>
        </row>
      </sheetData>
      <sheetData sheetId="5375">
        <row r="1">
          <cell r="J1">
            <v>1.7453292519943295E-2</v>
          </cell>
        </row>
      </sheetData>
      <sheetData sheetId="5376">
        <row r="1">
          <cell r="J1">
            <v>1.7453292519943295E-2</v>
          </cell>
        </row>
      </sheetData>
      <sheetData sheetId="5377">
        <row r="1">
          <cell r="J1">
            <v>1.7453292519943295E-2</v>
          </cell>
        </row>
      </sheetData>
      <sheetData sheetId="5378">
        <row r="1">
          <cell r="J1">
            <v>1.7453292519943295E-2</v>
          </cell>
        </row>
      </sheetData>
      <sheetData sheetId="5379">
        <row r="1">
          <cell r="J1">
            <v>1.7453292519943295E-2</v>
          </cell>
        </row>
      </sheetData>
      <sheetData sheetId="5380">
        <row r="1">
          <cell r="J1">
            <v>1.7453292519943295E-2</v>
          </cell>
        </row>
      </sheetData>
      <sheetData sheetId="5381">
        <row r="1">
          <cell r="J1">
            <v>1.7453292519943295E-2</v>
          </cell>
        </row>
      </sheetData>
      <sheetData sheetId="5382">
        <row r="1">
          <cell r="J1">
            <v>1.7453292519943295E-2</v>
          </cell>
        </row>
      </sheetData>
      <sheetData sheetId="5383">
        <row r="1">
          <cell r="J1">
            <v>1.7453292519943295E-2</v>
          </cell>
        </row>
      </sheetData>
      <sheetData sheetId="5384">
        <row r="1">
          <cell r="J1">
            <v>1.7453292519943295E-2</v>
          </cell>
        </row>
      </sheetData>
      <sheetData sheetId="5385">
        <row r="1">
          <cell r="J1">
            <v>1.7453292519943295E-2</v>
          </cell>
        </row>
      </sheetData>
      <sheetData sheetId="5386">
        <row r="1">
          <cell r="J1">
            <v>1.7453292519943295E-2</v>
          </cell>
        </row>
      </sheetData>
      <sheetData sheetId="5387">
        <row r="1">
          <cell r="J1">
            <v>1.7453292519943295E-2</v>
          </cell>
        </row>
      </sheetData>
      <sheetData sheetId="5388">
        <row r="1">
          <cell r="J1">
            <v>1.7453292519943295E-2</v>
          </cell>
        </row>
      </sheetData>
      <sheetData sheetId="5389">
        <row r="1">
          <cell r="J1">
            <v>1.7453292519943295E-2</v>
          </cell>
        </row>
      </sheetData>
      <sheetData sheetId="5390">
        <row r="1">
          <cell r="J1">
            <v>1.7453292519943295E-2</v>
          </cell>
        </row>
      </sheetData>
      <sheetData sheetId="5391">
        <row r="1">
          <cell r="J1">
            <v>1.7453292519943295E-2</v>
          </cell>
        </row>
      </sheetData>
      <sheetData sheetId="5392">
        <row r="1">
          <cell r="J1">
            <v>1.7453292519943295E-2</v>
          </cell>
        </row>
      </sheetData>
      <sheetData sheetId="5393">
        <row r="1">
          <cell r="J1">
            <v>1.7453292519943295E-2</v>
          </cell>
        </row>
      </sheetData>
      <sheetData sheetId="5394">
        <row r="1">
          <cell r="J1">
            <v>1.7453292519943295E-2</v>
          </cell>
        </row>
      </sheetData>
      <sheetData sheetId="5395">
        <row r="1">
          <cell r="J1">
            <v>1.7453292519943295E-2</v>
          </cell>
        </row>
      </sheetData>
      <sheetData sheetId="5396">
        <row r="1">
          <cell r="J1">
            <v>1.7453292519943295E-2</v>
          </cell>
        </row>
      </sheetData>
      <sheetData sheetId="5397">
        <row r="1">
          <cell r="J1">
            <v>1.7453292519943295E-2</v>
          </cell>
        </row>
      </sheetData>
      <sheetData sheetId="5398">
        <row r="1">
          <cell r="J1">
            <v>1.7453292519943295E-2</v>
          </cell>
        </row>
      </sheetData>
      <sheetData sheetId="5399">
        <row r="1">
          <cell r="J1">
            <v>1.7453292519943295E-2</v>
          </cell>
        </row>
      </sheetData>
      <sheetData sheetId="5400">
        <row r="1">
          <cell r="J1">
            <v>1.7453292519943295E-2</v>
          </cell>
        </row>
      </sheetData>
      <sheetData sheetId="5401">
        <row r="1">
          <cell r="J1">
            <v>1.7453292519943295E-2</v>
          </cell>
        </row>
      </sheetData>
      <sheetData sheetId="5402">
        <row r="1">
          <cell r="J1">
            <v>1.7453292519943295E-2</v>
          </cell>
        </row>
      </sheetData>
      <sheetData sheetId="5403">
        <row r="1">
          <cell r="J1">
            <v>1.7453292519943295E-2</v>
          </cell>
        </row>
      </sheetData>
      <sheetData sheetId="5404">
        <row r="1">
          <cell r="J1">
            <v>1.7453292519943295E-2</v>
          </cell>
        </row>
      </sheetData>
      <sheetData sheetId="5405">
        <row r="1">
          <cell r="J1">
            <v>1.7453292519943295E-2</v>
          </cell>
        </row>
      </sheetData>
      <sheetData sheetId="5406">
        <row r="1">
          <cell r="J1">
            <v>1.7453292519943295E-2</v>
          </cell>
        </row>
      </sheetData>
      <sheetData sheetId="5407">
        <row r="1">
          <cell r="J1">
            <v>1.7453292519943295E-2</v>
          </cell>
        </row>
      </sheetData>
      <sheetData sheetId="5408">
        <row r="1">
          <cell r="J1">
            <v>1.7453292519943295E-2</v>
          </cell>
        </row>
      </sheetData>
      <sheetData sheetId="5409">
        <row r="1">
          <cell r="J1">
            <v>1.7453292519943295E-2</v>
          </cell>
        </row>
      </sheetData>
      <sheetData sheetId="5410">
        <row r="1">
          <cell r="J1">
            <v>1.7453292519943295E-2</v>
          </cell>
        </row>
      </sheetData>
      <sheetData sheetId="5411">
        <row r="1">
          <cell r="J1">
            <v>1.7453292519943295E-2</v>
          </cell>
        </row>
      </sheetData>
      <sheetData sheetId="5412">
        <row r="1">
          <cell r="J1">
            <v>1.7453292519943295E-2</v>
          </cell>
        </row>
      </sheetData>
      <sheetData sheetId="5413">
        <row r="1">
          <cell r="J1">
            <v>1.7453292519943295E-2</v>
          </cell>
        </row>
      </sheetData>
      <sheetData sheetId="5414">
        <row r="1">
          <cell r="J1">
            <v>1.7453292519943295E-2</v>
          </cell>
        </row>
      </sheetData>
      <sheetData sheetId="5415">
        <row r="1">
          <cell r="J1">
            <v>1.7453292519943295E-2</v>
          </cell>
        </row>
      </sheetData>
      <sheetData sheetId="5416">
        <row r="1">
          <cell r="J1">
            <v>1.7453292519943295E-2</v>
          </cell>
        </row>
      </sheetData>
      <sheetData sheetId="5417">
        <row r="1">
          <cell r="J1">
            <v>1.7453292519943295E-2</v>
          </cell>
        </row>
      </sheetData>
      <sheetData sheetId="5418">
        <row r="1">
          <cell r="J1">
            <v>1.7453292519943295E-2</v>
          </cell>
        </row>
      </sheetData>
      <sheetData sheetId="5419">
        <row r="1">
          <cell r="J1">
            <v>1.7453292519943295E-2</v>
          </cell>
        </row>
      </sheetData>
      <sheetData sheetId="5420">
        <row r="1">
          <cell r="J1">
            <v>1.7453292519943295E-2</v>
          </cell>
        </row>
      </sheetData>
      <sheetData sheetId="5421">
        <row r="1">
          <cell r="J1">
            <v>1.7453292519943295E-2</v>
          </cell>
        </row>
      </sheetData>
      <sheetData sheetId="5422">
        <row r="1">
          <cell r="J1">
            <v>1.7453292519943295E-2</v>
          </cell>
        </row>
      </sheetData>
      <sheetData sheetId="5423">
        <row r="1">
          <cell r="J1">
            <v>1.7453292519943295E-2</v>
          </cell>
        </row>
      </sheetData>
      <sheetData sheetId="5424">
        <row r="1">
          <cell r="J1">
            <v>1.7453292519943295E-2</v>
          </cell>
        </row>
      </sheetData>
      <sheetData sheetId="5425">
        <row r="1">
          <cell r="J1">
            <v>1.7453292519943295E-2</v>
          </cell>
        </row>
      </sheetData>
      <sheetData sheetId="5426">
        <row r="1">
          <cell r="J1">
            <v>1.7453292519943295E-2</v>
          </cell>
        </row>
      </sheetData>
      <sheetData sheetId="5427">
        <row r="1">
          <cell r="J1">
            <v>1.7453292519943295E-2</v>
          </cell>
        </row>
      </sheetData>
      <sheetData sheetId="5428">
        <row r="1">
          <cell r="J1">
            <v>1.7453292519943295E-2</v>
          </cell>
        </row>
      </sheetData>
      <sheetData sheetId="5429">
        <row r="1">
          <cell r="J1">
            <v>1.7453292519943295E-2</v>
          </cell>
        </row>
      </sheetData>
      <sheetData sheetId="5430">
        <row r="1">
          <cell r="J1">
            <v>1.7453292519943295E-2</v>
          </cell>
        </row>
      </sheetData>
      <sheetData sheetId="5431">
        <row r="1">
          <cell r="J1">
            <v>1.7453292519943295E-2</v>
          </cell>
        </row>
      </sheetData>
      <sheetData sheetId="5432">
        <row r="1">
          <cell r="J1">
            <v>1.7453292519943295E-2</v>
          </cell>
        </row>
      </sheetData>
      <sheetData sheetId="5433">
        <row r="1">
          <cell r="J1">
            <v>1.7453292519943295E-2</v>
          </cell>
        </row>
      </sheetData>
      <sheetData sheetId="5434">
        <row r="1">
          <cell r="J1">
            <v>1.7453292519943295E-2</v>
          </cell>
        </row>
      </sheetData>
      <sheetData sheetId="5435">
        <row r="1">
          <cell r="J1">
            <v>1.7453292519943295E-2</v>
          </cell>
        </row>
      </sheetData>
      <sheetData sheetId="5436">
        <row r="1">
          <cell r="J1">
            <v>1.7453292519943295E-2</v>
          </cell>
        </row>
      </sheetData>
      <sheetData sheetId="5437">
        <row r="1">
          <cell r="J1">
            <v>1.7453292519943295E-2</v>
          </cell>
        </row>
      </sheetData>
      <sheetData sheetId="5438">
        <row r="1">
          <cell r="J1">
            <v>1.7453292519943295E-2</v>
          </cell>
        </row>
      </sheetData>
      <sheetData sheetId="5439">
        <row r="1">
          <cell r="J1">
            <v>1.7453292519943295E-2</v>
          </cell>
        </row>
      </sheetData>
      <sheetData sheetId="5440">
        <row r="1">
          <cell r="J1">
            <v>1.7453292519943295E-2</v>
          </cell>
        </row>
      </sheetData>
      <sheetData sheetId="5441">
        <row r="1">
          <cell r="J1">
            <v>1.7453292519943295E-2</v>
          </cell>
        </row>
      </sheetData>
      <sheetData sheetId="5442">
        <row r="1">
          <cell r="J1">
            <v>1.7453292519943295E-2</v>
          </cell>
        </row>
      </sheetData>
      <sheetData sheetId="5443">
        <row r="1">
          <cell r="J1">
            <v>1.7453292519943295E-2</v>
          </cell>
        </row>
      </sheetData>
      <sheetData sheetId="5444">
        <row r="1">
          <cell r="J1">
            <v>1.7453292519943295E-2</v>
          </cell>
        </row>
      </sheetData>
      <sheetData sheetId="5445">
        <row r="1">
          <cell r="J1">
            <v>1.7453292519943295E-2</v>
          </cell>
        </row>
      </sheetData>
      <sheetData sheetId="5446">
        <row r="1">
          <cell r="J1">
            <v>1.7453292519943295E-2</v>
          </cell>
        </row>
      </sheetData>
      <sheetData sheetId="5447">
        <row r="1">
          <cell r="J1">
            <v>1.7453292519943295E-2</v>
          </cell>
        </row>
      </sheetData>
      <sheetData sheetId="5448">
        <row r="1">
          <cell r="J1">
            <v>1.7453292519943295E-2</v>
          </cell>
        </row>
      </sheetData>
      <sheetData sheetId="5449">
        <row r="1">
          <cell r="J1">
            <v>1.7453292519943295E-2</v>
          </cell>
        </row>
      </sheetData>
      <sheetData sheetId="5450">
        <row r="1">
          <cell r="J1">
            <v>1.7453292519943295E-2</v>
          </cell>
        </row>
      </sheetData>
      <sheetData sheetId="5451">
        <row r="1">
          <cell r="J1">
            <v>1.7453292519943295E-2</v>
          </cell>
        </row>
      </sheetData>
      <sheetData sheetId="5452">
        <row r="1">
          <cell r="J1">
            <v>1.7453292519943295E-2</v>
          </cell>
        </row>
      </sheetData>
      <sheetData sheetId="5453">
        <row r="1">
          <cell r="J1">
            <v>1.7453292519943295E-2</v>
          </cell>
        </row>
      </sheetData>
      <sheetData sheetId="5454">
        <row r="1">
          <cell r="J1">
            <v>1.7453292519943295E-2</v>
          </cell>
        </row>
      </sheetData>
      <sheetData sheetId="5455">
        <row r="1">
          <cell r="J1">
            <v>1.7453292519943295E-2</v>
          </cell>
        </row>
      </sheetData>
      <sheetData sheetId="5456">
        <row r="1">
          <cell r="J1">
            <v>1.7453292519943295E-2</v>
          </cell>
        </row>
      </sheetData>
      <sheetData sheetId="5457">
        <row r="1">
          <cell r="J1">
            <v>1.7453292519943295E-2</v>
          </cell>
        </row>
      </sheetData>
      <sheetData sheetId="5458">
        <row r="1">
          <cell r="J1">
            <v>1.7453292519943295E-2</v>
          </cell>
        </row>
      </sheetData>
      <sheetData sheetId="5459">
        <row r="1">
          <cell r="J1">
            <v>1.7453292519943295E-2</v>
          </cell>
        </row>
      </sheetData>
      <sheetData sheetId="5460">
        <row r="1">
          <cell r="J1">
            <v>1.7453292519943295E-2</v>
          </cell>
        </row>
      </sheetData>
      <sheetData sheetId="5461">
        <row r="1">
          <cell r="J1">
            <v>1.7453292519943295E-2</v>
          </cell>
        </row>
      </sheetData>
      <sheetData sheetId="5462">
        <row r="1">
          <cell r="J1">
            <v>1.7453292519943295E-2</v>
          </cell>
        </row>
      </sheetData>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ow r="1">
          <cell r="J1">
            <v>1.7453292519943295E-2</v>
          </cell>
        </row>
      </sheetData>
      <sheetData sheetId="5614">
        <row r="1">
          <cell r="J1">
            <v>1.7453292519943295E-2</v>
          </cell>
        </row>
      </sheetData>
      <sheetData sheetId="5615">
        <row r="1">
          <cell r="J1">
            <v>1.7453292519943295E-2</v>
          </cell>
        </row>
      </sheetData>
      <sheetData sheetId="5616">
        <row r="1">
          <cell r="J1">
            <v>1.7453292519943295E-2</v>
          </cell>
        </row>
      </sheetData>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ow r="1">
          <cell r="J1">
            <v>1.7453292519943295E-2</v>
          </cell>
        </row>
      </sheetData>
      <sheetData sheetId="5646">
        <row r="1">
          <cell r="J1">
            <v>1.7453292519943295E-2</v>
          </cell>
        </row>
      </sheetData>
      <sheetData sheetId="5647">
        <row r="1">
          <cell r="J1">
            <v>1.7453292519943295E-2</v>
          </cell>
        </row>
      </sheetData>
      <sheetData sheetId="5648">
        <row r="1">
          <cell r="J1">
            <v>1.7453292519943295E-2</v>
          </cell>
        </row>
      </sheetData>
      <sheetData sheetId="5649">
        <row r="1">
          <cell r="J1">
            <v>1.7453292519943295E-2</v>
          </cell>
        </row>
      </sheetData>
      <sheetData sheetId="5650">
        <row r="1">
          <cell r="J1">
            <v>1.7453292519943295E-2</v>
          </cell>
        </row>
      </sheetData>
      <sheetData sheetId="5651">
        <row r="1">
          <cell r="J1">
            <v>1.7453292519943295E-2</v>
          </cell>
        </row>
      </sheetData>
      <sheetData sheetId="5652">
        <row r="1">
          <cell r="J1">
            <v>1.7453292519943295E-2</v>
          </cell>
        </row>
      </sheetData>
      <sheetData sheetId="5653">
        <row r="1">
          <cell r="J1">
            <v>1.7453292519943295E-2</v>
          </cell>
        </row>
      </sheetData>
      <sheetData sheetId="5654">
        <row r="1">
          <cell r="J1">
            <v>1.7453292519943295E-2</v>
          </cell>
        </row>
      </sheetData>
      <sheetData sheetId="5655">
        <row r="1">
          <cell r="J1">
            <v>1.7453292519943295E-2</v>
          </cell>
        </row>
      </sheetData>
      <sheetData sheetId="5656">
        <row r="1">
          <cell r="J1">
            <v>1.7453292519943295E-2</v>
          </cell>
        </row>
      </sheetData>
      <sheetData sheetId="5657">
        <row r="1">
          <cell r="J1">
            <v>1.7453292519943295E-2</v>
          </cell>
        </row>
      </sheetData>
      <sheetData sheetId="5658">
        <row r="1">
          <cell r="J1">
            <v>1.7453292519943295E-2</v>
          </cell>
        </row>
      </sheetData>
      <sheetData sheetId="5659">
        <row r="1">
          <cell r="J1">
            <v>1.7453292519943295E-2</v>
          </cell>
        </row>
      </sheetData>
      <sheetData sheetId="5660">
        <row r="1">
          <cell r="J1">
            <v>1.7453292519943295E-2</v>
          </cell>
        </row>
      </sheetData>
      <sheetData sheetId="5661">
        <row r="1">
          <cell r="J1">
            <v>1.7453292519943295E-2</v>
          </cell>
        </row>
      </sheetData>
      <sheetData sheetId="5662">
        <row r="1">
          <cell r="J1">
            <v>1.7453292519943295E-2</v>
          </cell>
        </row>
      </sheetData>
      <sheetData sheetId="5663">
        <row r="1">
          <cell r="J1">
            <v>1.7453292519943295E-2</v>
          </cell>
        </row>
      </sheetData>
      <sheetData sheetId="5664">
        <row r="1">
          <cell r="J1">
            <v>1.7453292519943295E-2</v>
          </cell>
        </row>
      </sheetData>
      <sheetData sheetId="5665">
        <row r="1">
          <cell r="J1">
            <v>1.7453292519943295E-2</v>
          </cell>
        </row>
      </sheetData>
      <sheetData sheetId="5666">
        <row r="1">
          <cell r="J1">
            <v>1.7453292519943295E-2</v>
          </cell>
        </row>
      </sheetData>
      <sheetData sheetId="5667">
        <row r="1">
          <cell r="J1">
            <v>1.7453292519943295E-2</v>
          </cell>
        </row>
      </sheetData>
      <sheetData sheetId="5668">
        <row r="1">
          <cell r="J1">
            <v>1.7453292519943295E-2</v>
          </cell>
        </row>
      </sheetData>
      <sheetData sheetId="5669">
        <row r="1">
          <cell r="J1">
            <v>1.7453292519943295E-2</v>
          </cell>
        </row>
      </sheetData>
      <sheetData sheetId="5670">
        <row r="1">
          <cell r="J1">
            <v>1.7453292519943295E-2</v>
          </cell>
        </row>
      </sheetData>
      <sheetData sheetId="5671">
        <row r="1">
          <cell r="J1">
            <v>1.7453292519943295E-2</v>
          </cell>
        </row>
      </sheetData>
      <sheetData sheetId="5672">
        <row r="1">
          <cell r="J1">
            <v>1.7453292519943295E-2</v>
          </cell>
        </row>
      </sheetData>
      <sheetData sheetId="5673">
        <row r="1">
          <cell r="J1">
            <v>1.7453292519943295E-2</v>
          </cell>
        </row>
      </sheetData>
      <sheetData sheetId="5674">
        <row r="1">
          <cell r="J1">
            <v>1.7453292519943295E-2</v>
          </cell>
        </row>
      </sheetData>
      <sheetData sheetId="5675">
        <row r="1">
          <cell r="J1">
            <v>1.7453292519943295E-2</v>
          </cell>
        </row>
      </sheetData>
      <sheetData sheetId="5676">
        <row r="1">
          <cell r="J1">
            <v>1.7453292519943295E-2</v>
          </cell>
        </row>
      </sheetData>
      <sheetData sheetId="5677">
        <row r="1">
          <cell r="J1">
            <v>1.7453292519943295E-2</v>
          </cell>
        </row>
      </sheetData>
      <sheetData sheetId="5678">
        <row r="1">
          <cell r="J1">
            <v>1.7453292519943295E-2</v>
          </cell>
        </row>
      </sheetData>
      <sheetData sheetId="5679">
        <row r="1">
          <cell r="J1">
            <v>1.7453292519943295E-2</v>
          </cell>
        </row>
      </sheetData>
      <sheetData sheetId="5680">
        <row r="1">
          <cell r="J1">
            <v>1.7453292519943295E-2</v>
          </cell>
        </row>
      </sheetData>
      <sheetData sheetId="5681">
        <row r="1">
          <cell r="J1">
            <v>1.7453292519943295E-2</v>
          </cell>
        </row>
      </sheetData>
      <sheetData sheetId="5682">
        <row r="1">
          <cell r="J1">
            <v>1.7453292519943295E-2</v>
          </cell>
        </row>
      </sheetData>
      <sheetData sheetId="5683">
        <row r="1">
          <cell r="J1">
            <v>1.7453292519943295E-2</v>
          </cell>
        </row>
      </sheetData>
      <sheetData sheetId="5684">
        <row r="1">
          <cell r="J1">
            <v>1.7453292519943295E-2</v>
          </cell>
        </row>
      </sheetData>
      <sheetData sheetId="5685">
        <row r="1">
          <cell r="J1">
            <v>1.7453292519943295E-2</v>
          </cell>
        </row>
      </sheetData>
      <sheetData sheetId="5686">
        <row r="1">
          <cell r="J1">
            <v>1.7453292519943295E-2</v>
          </cell>
        </row>
      </sheetData>
      <sheetData sheetId="5687" refreshError="1"/>
      <sheetData sheetId="5688" refreshError="1"/>
      <sheetData sheetId="5689">
        <row r="1">
          <cell r="J1">
            <v>1.7453292519943295E-2</v>
          </cell>
        </row>
      </sheetData>
      <sheetData sheetId="5690">
        <row r="1">
          <cell r="J1">
            <v>1.7453292519943295E-2</v>
          </cell>
        </row>
      </sheetData>
      <sheetData sheetId="5691">
        <row r="1">
          <cell r="J1">
            <v>1.7453292519943295E-2</v>
          </cell>
        </row>
      </sheetData>
      <sheetData sheetId="5692">
        <row r="1">
          <cell r="J1">
            <v>1.7453292519943295E-2</v>
          </cell>
        </row>
      </sheetData>
      <sheetData sheetId="5693">
        <row r="1">
          <cell r="J1">
            <v>1.7453292519943295E-2</v>
          </cell>
        </row>
      </sheetData>
      <sheetData sheetId="5694">
        <row r="1">
          <cell r="J1">
            <v>1.7453292519943295E-2</v>
          </cell>
        </row>
      </sheetData>
      <sheetData sheetId="5695">
        <row r="1">
          <cell r="J1">
            <v>1.7453292519943295E-2</v>
          </cell>
        </row>
      </sheetData>
      <sheetData sheetId="5696">
        <row r="1">
          <cell r="J1">
            <v>1.7453292519943295E-2</v>
          </cell>
        </row>
      </sheetData>
      <sheetData sheetId="5697">
        <row r="1">
          <cell r="J1">
            <v>1.7453292519943295E-2</v>
          </cell>
        </row>
      </sheetData>
      <sheetData sheetId="5698">
        <row r="1">
          <cell r="J1">
            <v>1.7453292519943295E-2</v>
          </cell>
        </row>
      </sheetData>
      <sheetData sheetId="5699">
        <row r="1">
          <cell r="J1">
            <v>1.7453292519943295E-2</v>
          </cell>
        </row>
      </sheetData>
      <sheetData sheetId="5700">
        <row r="1">
          <cell r="J1">
            <v>1.7453292519943295E-2</v>
          </cell>
        </row>
      </sheetData>
      <sheetData sheetId="5701">
        <row r="1">
          <cell r="J1">
            <v>1.7453292519943295E-2</v>
          </cell>
        </row>
      </sheetData>
      <sheetData sheetId="5702">
        <row r="1">
          <cell r="J1">
            <v>1.7453292519943295E-2</v>
          </cell>
        </row>
      </sheetData>
      <sheetData sheetId="5703">
        <row r="1">
          <cell r="J1">
            <v>1.7453292519943295E-2</v>
          </cell>
        </row>
      </sheetData>
      <sheetData sheetId="5704">
        <row r="1">
          <cell r="J1">
            <v>1.7453292519943295E-2</v>
          </cell>
        </row>
      </sheetData>
      <sheetData sheetId="5705">
        <row r="1">
          <cell r="J1">
            <v>1.7453292519943295E-2</v>
          </cell>
        </row>
      </sheetData>
      <sheetData sheetId="5706">
        <row r="1">
          <cell r="J1">
            <v>1.7453292519943295E-2</v>
          </cell>
        </row>
      </sheetData>
      <sheetData sheetId="5707">
        <row r="1">
          <cell r="J1">
            <v>1.7453292519943295E-2</v>
          </cell>
        </row>
      </sheetData>
      <sheetData sheetId="5708">
        <row r="1">
          <cell r="J1">
            <v>1.7453292519943295E-2</v>
          </cell>
        </row>
      </sheetData>
      <sheetData sheetId="5709">
        <row r="1">
          <cell r="J1">
            <v>1.7453292519943295E-2</v>
          </cell>
        </row>
      </sheetData>
      <sheetData sheetId="5710">
        <row r="1">
          <cell r="J1">
            <v>1.7453292519943295E-2</v>
          </cell>
        </row>
      </sheetData>
      <sheetData sheetId="5711">
        <row r="1">
          <cell r="J1">
            <v>1.7453292519943295E-2</v>
          </cell>
        </row>
      </sheetData>
      <sheetData sheetId="5712">
        <row r="1">
          <cell r="J1">
            <v>1.7453292519943295E-2</v>
          </cell>
        </row>
      </sheetData>
      <sheetData sheetId="5713">
        <row r="1">
          <cell r="J1">
            <v>1.7453292519943295E-2</v>
          </cell>
        </row>
      </sheetData>
      <sheetData sheetId="5714">
        <row r="1">
          <cell r="J1">
            <v>1.7453292519943295E-2</v>
          </cell>
        </row>
      </sheetData>
      <sheetData sheetId="5715">
        <row r="1">
          <cell r="J1">
            <v>1.7453292519943295E-2</v>
          </cell>
        </row>
      </sheetData>
      <sheetData sheetId="5716">
        <row r="1">
          <cell r="J1">
            <v>1.7453292519943295E-2</v>
          </cell>
        </row>
      </sheetData>
      <sheetData sheetId="5717">
        <row r="1">
          <cell r="J1">
            <v>1.7453292519943295E-2</v>
          </cell>
        </row>
      </sheetData>
      <sheetData sheetId="5718">
        <row r="1">
          <cell r="J1">
            <v>1.7453292519943295E-2</v>
          </cell>
        </row>
      </sheetData>
      <sheetData sheetId="5719">
        <row r="1">
          <cell r="J1">
            <v>1.7453292519943295E-2</v>
          </cell>
        </row>
      </sheetData>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ow r="1">
          <cell r="J1">
            <v>1.7453292519943295E-2</v>
          </cell>
        </row>
      </sheetData>
      <sheetData sheetId="5938">
        <row r="1">
          <cell r="J1">
            <v>1.7453292519943295E-2</v>
          </cell>
        </row>
      </sheetData>
      <sheetData sheetId="5939">
        <row r="1">
          <cell r="J1">
            <v>1.7453292519943295E-2</v>
          </cell>
        </row>
      </sheetData>
      <sheetData sheetId="5940">
        <row r="1">
          <cell r="J1">
            <v>1.7453292519943295E-2</v>
          </cell>
        </row>
      </sheetData>
      <sheetData sheetId="5941">
        <row r="1">
          <cell r="J1">
            <v>1.7453292519943295E-2</v>
          </cell>
        </row>
      </sheetData>
      <sheetData sheetId="5942">
        <row r="1">
          <cell r="J1">
            <v>1.7453292519943295E-2</v>
          </cell>
        </row>
      </sheetData>
      <sheetData sheetId="5943">
        <row r="1">
          <cell r="J1">
            <v>1.7453292519943295E-2</v>
          </cell>
        </row>
      </sheetData>
      <sheetData sheetId="5944">
        <row r="1">
          <cell r="J1">
            <v>1.7453292519943295E-2</v>
          </cell>
        </row>
      </sheetData>
      <sheetData sheetId="5945">
        <row r="1">
          <cell r="J1">
            <v>1.7453292519943295E-2</v>
          </cell>
        </row>
      </sheetData>
      <sheetData sheetId="5946">
        <row r="1">
          <cell r="J1">
            <v>1.7453292519943295E-2</v>
          </cell>
        </row>
      </sheetData>
      <sheetData sheetId="5947">
        <row r="1">
          <cell r="J1">
            <v>1.7453292519943295E-2</v>
          </cell>
        </row>
      </sheetData>
      <sheetData sheetId="5948">
        <row r="1">
          <cell r="J1">
            <v>1.7453292519943295E-2</v>
          </cell>
        </row>
      </sheetData>
      <sheetData sheetId="5949">
        <row r="1">
          <cell r="J1">
            <v>1.7453292519943295E-2</v>
          </cell>
        </row>
      </sheetData>
      <sheetData sheetId="5950">
        <row r="1">
          <cell r="J1">
            <v>1.7453292519943295E-2</v>
          </cell>
        </row>
      </sheetData>
      <sheetData sheetId="5951">
        <row r="1">
          <cell r="J1">
            <v>1.7453292519943295E-2</v>
          </cell>
        </row>
      </sheetData>
      <sheetData sheetId="5952">
        <row r="1">
          <cell r="J1">
            <v>1.7453292519943295E-2</v>
          </cell>
        </row>
      </sheetData>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ow r="1">
          <cell r="J1">
            <v>1.7453292519943295E-2</v>
          </cell>
        </row>
      </sheetData>
      <sheetData sheetId="6031" refreshError="1"/>
      <sheetData sheetId="6032">
        <row r="1">
          <cell r="J1">
            <v>1.7453292519943295E-2</v>
          </cell>
        </row>
      </sheetData>
      <sheetData sheetId="6033">
        <row r="1">
          <cell r="J1">
            <v>1.7453292519943295E-2</v>
          </cell>
        </row>
      </sheetData>
      <sheetData sheetId="6034">
        <row r="1">
          <cell r="J1">
            <v>1.7453292519943295E-2</v>
          </cell>
        </row>
      </sheetData>
      <sheetData sheetId="6035" refreshError="1"/>
      <sheetData sheetId="6036" refreshError="1"/>
      <sheetData sheetId="6037">
        <row r="1">
          <cell r="J1">
            <v>1.7453292519943295E-2</v>
          </cell>
        </row>
      </sheetData>
      <sheetData sheetId="6038">
        <row r="1">
          <cell r="J1">
            <v>1.7453292519943295E-2</v>
          </cell>
        </row>
      </sheetData>
      <sheetData sheetId="6039">
        <row r="1">
          <cell r="J1">
            <v>1.7453292519943295E-2</v>
          </cell>
        </row>
      </sheetData>
      <sheetData sheetId="6040" refreshError="1"/>
      <sheetData sheetId="6041">
        <row r="1">
          <cell r="J1">
            <v>1.7453292519943295E-2</v>
          </cell>
        </row>
      </sheetData>
      <sheetData sheetId="6042" refreshError="1"/>
      <sheetData sheetId="6043">
        <row r="1">
          <cell r="J1">
            <v>1.7453292519943295E-2</v>
          </cell>
        </row>
      </sheetData>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ow r="1">
          <cell r="J1">
            <v>1.7453292519943295E-2</v>
          </cell>
        </row>
      </sheetData>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ow r="1">
          <cell r="J1">
            <v>1.7453292519943295E-2</v>
          </cell>
        </row>
      </sheetData>
      <sheetData sheetId="6128" refreshError="1"/>
      <sheetData sheetId="6129">
        <row r="1">
          <cell r="J1">
            <v>1.7453292519943295E-2</v>
          </cell>
        </row>
      </sheetData>
      <sheetData sheetId="6130">
        <row r="1">
          <cell r="J1">
            <v>1.7453292519943295E-2</v>
          </cell>
        </row>
      </sheetData>
      <sheetData sheetId="6131">
        <row r="1">
          <cell r="J1">
            <v>1.7453292519943295E-2</v>
          </cell>
        </row>
      </sheetData>
      <sheetData sheetId="6132" refreshError="1"/>
      <sheetData sheetId="6133" refreshError="1"/>
      <sheetData sheetId="6134" refreshError="1"/>
      <sheetData sheetId="6135">
        <row r="1">
          <cell r="J1">
            <v>1.7453292519943295E-2</v>
          </cell>
        </row>
      </sheetData>
      <sheetData sheetId="6136" refreshError="1"/>
      <sheetData sheetId="6137" refreshError="1"/>
      <sheetData sheetId="6138" refreshError="1"/>
      <sheetData sheetId="6139">
        <row r="1">
          <cell r="J1">
            <v>1.7453292519943295E-2</v>
          </cell>
        </row>
      </sheetData>
      <sheetData sheetId="6140" refreshError="1"/>
      <sheetData sheetId="6141" refreshError="1"/>
      <sheetData sheetId="6142" refreshError="1"/>
      <sheetData sheetId="6143">
        <row r="1">
          <cell r="J1">
            <v>1.7453292519943295E-2</v>
          </cell>
        </row>
      </sheetData>
      <sheetData sheetId="6144" refreshError="1"/>
      <sheetData sheetId="6145" refreshError="1"/>
      <sheetData sheetId="6146">
        <row r="1">
          <cell r="J1">
            <v>1.7453292519943295E-2</v>
          </cell>
        </row>
      </sheetData>
      <sheetData sheetId="6147">
        <row r="1">
          <cell r="J1">
            <v>1.7453292519943295E-2</v>
          </cell>
        </row>
      </sheetData>
      <sheetData sheetId="6148">
        <row r="1">
          <cell r="J1">
            <v>1.7453292519943295E-2</v>
          </cell>
        </row>
      </sheetData>
      <sheetData sheetId="6149" refreshError="1"/>
      <sheetData sheetId="6150" refreshError="1"/>
      <sheetData sheetId="6151">
        <row r="1">
          <cell r="J1">
            <v>1.7453292519943295E-2</v>
          </cell>
        </row>
      </sheetData>
      <sheetData sheetId="6152">
        <row r="1">
          <cell r="J1">
            <v>1.7453292519943295E-2</v>
          </cell>
        </row>
      </sheetData>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ow r="1">
          <cell r="J1">
            <v>1.7453292519943295E-2</v>
          </cell>
        </row>
      </sheetData>
      <sheetData sheetId="6172">
        <row r="1">
          <cell r="J1">
            <v>1.7453292519943295E-2</v>
          </cell>
        </row>
      </sheetData>
      <sheetData sheetId="6173" refreshError="1"/>
      <sheetData sheetId="6174" refreshError="1"/>
      <sheetData sheetId="6175" refreshError="1"/>
      <sheetData sheetId="6176" refreshError="1"/>
      <sheetData sheetId="6177" refreshError="1"/>
      <sheetData sheetId="6178">
        <row r="1">
          <cell r="J1">
            <v>1.7453292519943295E-2</v>
          </cell>
        </row>
      </sheetData>
      <sheetData sheetId="6179" refreshError="1"/>
      <sheetData sheetId="6180">
        <row r="1">
          <cell r="J1">
            <v>1.7453292519943295E-2</v>
          </cell>
        </row>
      </sheetData>
      <sheetData sheetId="6181">
        <row r="1">
          <cell r="J1">
            <v>1.7453292519943295E-2</v>
          </cell>
        </row>
      </sheetData>
      <sheetData sheetId="6182" refreshError="1"/>
      <sheetData sheetId="6183" refreshError="1"/>
      <sheetData sheetId="6184">
        <row r="1">
          <cell r="J1">
            <v>1.7453292519943295E-2</v>
          </cell>
        </row>
      </sheetData>
      <sheetData sheetId="6185">
        <row r="1">
          <cell r="J1">
            <v>1.7453292519943295E-2</v>
          </cell>
        </row>
      </sheetData>
      <sheetData sheetId="6186">
        <row r="1">
          <cell r="J1">
            <v>1.7453292519943295E-2</v>
          </cell>
        </row>
      </sheetData>
      <sheetData sheetId="6187" refreshError="1"/>
      <sheetData sheetId="6188">
        <row r="1">
          <cell r="J1">
            <v>1.7453292519943295E-2</v>
          </cell>
        </row>
      </sheetData>
      <sheetData sheetId="6189" refreshError="1"/>
      <sheetData sheetId="6190">
        <row r="1">
          <cell r="J1">
            <v>1.7453292519943295E-2</v>
          </cell>
        </row>
      </sheetData>
      <sheetData sheetId="6191" refreshError="1"/>
      <sheetData sheetId="6192">
        <row r="1">
          <cell r="J1">
            <v>1.7453292519943295E-2</v>
          </cell>
        </row>
      </sheetData>
      <sheetData sheetId="6193" refreshError="1"/>
      <sheetData sheetId="6194">
        <row r="1">
          <cell r="J1">
            <v>1.7453292519943295E-2</v>
          </cell>
        </row>
      </sheetData>
      <sheetData sheetId="6195">
        <row r="1">
          <cell r="J1">
            <v>1.7453292519943295E-2</v>
          </cell>
        </row>
      </sheetData>
      <sheetData sheetId="6196">
        <row r="1">
          <cell r="J1">
            <v>1.7453292519943295E-2</v>
          </cell>
        </row>
      </sheetData>
      <sheetData sheetId="6197">
        <row r="1">
          <cell r="J1">
            <v>1.7453292519943295E-2</v>
          </cell>
        </row>
      </sheetData>
      <sheetData sheetId="6198">
        <row r="1">
          <cell r="J1">
            <v>1.7453292519943295E-2</v>
          </cell>
        </row>
      </sheetData>
      <sheetData sheetId="6199">
        <row r="1">
          <cell r="J1">
            <v>1.7453292519943295E-2</v>
          </cell>
        </row>
      </sheetData>
      <sheetData sheetId="6200">
        <row r="1">
          <cell r="J1">
            <v>1.7453292519943295E-2</v>
          </cell>
        </row>
      </sheetData>
      <sheetData sheetId="6201">
        <row r="1">
          <cell r="J1">
            <v>1.7453292519943295E-2</v>
          </cell>
        </row>
      </sheetData>
      <sheetData sheetId="6202" refreshError="1"/>
      <sheetData sheetId="6203" refreshError="1"/>
      <sheetData sheetId="6204" refreshError="1"/>
      <sheetData sheetId="6205">
        <row r="1">
          <cell r="J1">
            <v>1.7453292519943295E-2</v>
          </cell>
        </row>
      </sheetData>
      <sheetData sheetId="6206" refreshError="1"/>
      <sheetData sheetId="6207">
        <row r="1">
          <cell r="J1">
            <v>1.7453292519943295E-2</v>
          </cell>
        </row>
      </sheetData>
      <sheetData sheetId="6208">
        <row r="1">
          <cell r="J1">
            <v>1.7453292519943295E-2</v>
          </cell>
        </row>
      </sheetData>
      <sheetData sheetId="6209" refreshError="1"/>
      <sheetData sheetId="6210">
        <row r="1">
          <cell r="J1">
            <v>1.7453292519943295E-2</v>
          </cell>
        </row>
      </sheetData>
      <sheetData sheetId="6211" refreshError="1"/>
      <sheetData sheetId="6212" refreshError="1"/>
      <sheetData sheetId="6213">
        <row r="1">
          <cell r="J1">
            <v>1.7453292519943295E-2</v>
          </cell>
        </row>
      </sheetData>
      <sheetData sheetId="6214" refreshError="1"/>
      <sheetData sheetId="6215" refreshError="1"/>
      <sheetData sheetId="6216" refreshError="1"/>
      <sheetData sheetId="6217">
        <row r="1">
          <cell r="J1">
            <v>1.7453292519943295E-2</v>
          </cell>
        </row>
      </sheetData>
      <sheetData sheetId="6218">
        <row r="1">
          <cell r="J1">
            <v>1.7453292519943295E-2</v>
          </cell>
        </row>
      </sheetData>
      <sheetData sheetId="6219">
        <row r="1">
          <cell r="J1">
            <v>1.7453292519943295E-2</v>
          </cell>
        </row>
      </sheetData>
      <sheetData sheetId="6220">
        <row r="1">
          <cell r="J1">
            <v>1.7453292519943295E-2</v>
          </cell>
        </row>
      </sheetData>
      <sheetData sheetId="6221">
        <row r="1">
          <cell r="J1">
            <v>1.7453292519943295E-2</v>
          </cell>
        </row>
      </sheetData>
      <sheetData sheetId="6222">
        <row r="1">
          <cell r="J1">
            <v>1.7453292519943295E-2</v>
          </cell>
        </row>
      </sheetData>
      <sheetData sheetId="6223">
        <row r="1">
          <cell r="J1">
            <v>1.7453292519943295E-2</v>
          </cell>
        </row>
      </sheetData>
      <sheetData sheetId="6224">
        <row r="1">
          <cell r="J1">
            <v>1.7453292519943295E-2</v>
          </cell>
        </row>
      </sheetData>
      <sheetData sheetId="6225">
        <row r="1">
          <cell r="J1">
            <v>1.7453292519943295E-2</v>
          </cell>
        </row>
      </sheetData>
      <sheetData sheetId="6226" refreshError="1"/>
      <sheetData sheetId="6227">
        <row r="1">
          <cell r="J1">
            <v>1.7453292519943295E-2</v>
          </cell>
        </row>
      </sheetData>
      <sheetData sheetId="6228" refreshError="1"/>
      <sheetData sheetId="6229" refreshError="1"/>
      <sheetData sheetId="6230" refreshError="1"/>
      <sheetData sheetId="6231" refreshError="1"/>
      <sheetData sheetId="6232">
        <row r="1">
          <cell r="J1">
            <v>1.7453292519943295E-2</v>
          </cell>
        </row>
      </sheetData>
      <sheetData sheetId="6233">
        <row r="1">
          <cell r="J1">
            <v>1.7453292519943295E-2</v>
          </cell>
        </row>
      </sheetData>
      <sheetData sheetId="6234">
        <row r="1">
          <cell r="J1">
            <v>1.7453292519943295E-2</v>
          </cell>
        </row>
      </sheetData>
      <sheetData sheetId="6235">
        <row r="1">
          <cell r="J1">
            <v>1.7453292519943295E-2</v>
          </cell>
        </row>
      </sheetData>
      <sheetData sheetId="6236" refreshError="1"/>
      <sheetData sheetId="6237" refreshError="1"/>
      <sheetData sheetId="6238">
        <row r="1">
          <cell r="J1">
            <v>1.7453292519943295E-2</v>
          </cell>
        </row>
      </sheetData>
      <sheetData sheetId="6239" refreshError="1"/>
      <sheetData sheetId="6240" refreshError="1"/>
      <sheetData sheetId="6241" refreshError="1"/>
      <sheetData sheetId="6242" refreshError="1"/>
      <sheetData sheetId="6243">
        <row r="1">
          <cell r="J1">
            <v>1.7453292519943295E-2</v>
          </cell>
        </row>
      </sheetData>
      <sheetData sheetId="6244">
        <row r="1">
          <cell r="J1">
            <v>1.7453292519943295E-2</v>
          </cell>
        </row>
      </sheetData>
      <sheetData sheetId="6245">
        <row r="1">
          <cell r="J1">
            <v>1.7453292519943295E-2</v>
          </cell>
        </row>
      </sheetData>
      <sheetData sheetId="6246">
        <row r="1">
          <cell r="J1">
            <v>1.7453292519943295E-2</v>
          </cell>
        </row>
      </sheetData>
      <sheetData sheetId="6247">
        <row r="1">
          <cell r="J1">
            <v>1.7453292519943295E-2</v>
          </cell>
        </row>
      </sheetData>
      <sheetData sheetId="6248">
        <row r="1">
          <cell r="J1">
            <v>1.7453292519943295E-2</v>
          </cell>
        </row>
      </sheetData>
      <sheetData sheetId="6249">
        <row r="1">
          <cell r="J1">
            <v>1.7453292519943295E-2</v>
          </cell>
        </row>
      </sheetData>
      <sheetData sheetId="6250">
        <row r="1">
          <cell r="J1">
            <v>1.7453292519943295E-2</v>
          </cell>
        </row>
      </sheetData>
      <sheetData sheetId="6251">
        <row r="1">
          <cell r="J1">
            <v>1.7453292519943295E-2</v>
          </cell>
        </row>
      </sheetData>
      <sheetData sheetId="6252">
        <row r="1">
          <cell r="J1">
            <v>1.7453292519943295E-2</v>
          </cell>
        </row>
      </sheetData>
      <sheetData sheetId="6253">
        <row r="1">
          <cell r="J1">
            <v>1.7453292519943295E-2</v>
          </cell>
        </row>
      </sheetData>
      <sheetData sheetId="6254">
        <row r="1">
          <cell r="J1">
            <v>1.7453292519943295E-2</v>
          </cell>
        </row>
      </sheetData>
      <sheetData sheetId="6255">
        <row r="1">
          <cell r="J1">
            <v>1.7453292519943295E-2</v>
          </cell>
        </row>
      </sheetData>
      <sheetData sheetId="6256">
        <row r="1">
          <cell r="J1">
            <v>1.7453292519943295E-2</v>
          </cell>
        </row>
      </sheetData>
      <sheetData sheetId="6257">
        <row r="1">
          <cell r="J1">
            <v>1.7453292519943295E-2</v>
          </cell>
        </row>
      </sheetData>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ow r="2">
          <cell r="B2">
            <v>1</v>
          </cell>
        </row>
      </sheetData>
      <sheetData sheetId="6270">
        <row r="2">
          <cell r="B2">
            <v>1</v>
          </cell>
        </row>
      </sheetData>
      <sheetData sheetId="6271">
        <row r="2">
          <cell r="B2">
            <v>1</v>
          </cell>
        </row>
      </sheetData>
      <sheetData sheetId="6272">
        <row r="1">
          <cell r="J1">
            <v>1.7453292519943295E-2</v>
          </cell>
        </row>
      </sheetData>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ow r="1">
          <cell r="J1">
            <v>1.7453292519943295E-2</v>
          </cell>
        </row>
      </sheetData>
      <sheetData sheetId="6288" refreshError="1"/>
      <sheetData sheetId="6289" refreshError="1"/>
      <sheetData sheetId="6290" refreshError="1"/>
      <sheetData sheetId="6291" refreshError="1"/>
      <sheetData sheetId="6292" refreshError="1"/>
      <sheetData sheetId="6293">
        <row r="1">
          <cell r="J1">
            <v>1.7453292519943295E-2</v>
          </cell>
        </row>
      </sheetData>
      <sheetData sheetId="6294" refreshError="1"/>
      <sheetData sheetId="6295" refreshError="1"/>
      <sheetData sheetId="6296" refreshError="1"/>
      <sheetData sheetId="6297" refreshError="1"/>
      <sheetData sheetId="6298">
        <row r="1">
          <cell r="J1">
            <v>1.7453292519943295E-2</v>
          </cell>
        </row>
      </sheetData>
      <sheetData sheetId="6299">
        <row r="1">
          <cell r="J1">
            <v>1.7453292519943295E-2</v>
          </cell>
        </row>
      </sheetData>
      <sheetData sheetId="6300" refreshError="1"/>
      <sheetData sheetId="6301" refreshError="1"/>
      <sheetData sheetId="6302" refreshError="1"/>
      <sheetData sheetId="6303" refreshError="1"/>
      <sheetData sheetId="6304" refreshError="1"/>
      <sheetData sheetId="6305">
        <row r="1">
          <cell r="J1">
            <v>1.7453292519943295E-2</v>
          </cell>
        </row>
      </sheetData>
      <sheetData sheetId="6306">
        <row r="1">
          <cell r="J1">
            <v>1.7453292519943295E-2</v>
          </cell>
        </row>
      </sheetData>
      <sheetData sheetId="6307" refreshError="1"/>
      <sheetData sheetId="6308" refreshError="1"/>
      <sheetData sheetId="6309">
        <row r="1">
          <cell r="J1">
            <v>1.7453292519943295E-2</v>
          </cell>
        </row>
      </sheetData>
      <sheetData sheetId="6310">
        <row r="1">
          <cell r="J1">
            <v>1.7453292519943295E-2</v>
          </cell>
        </row>
      </sheetData>
      <sheetData sheetId="6311" refreshError="1"/>
      <sheetData sheetId="6312" refreshError="1"/>
      <sheetData sheetId="6313">
        <row r="1">
          <cell r="J1">
            <v>1.7453292519943295E-2</v>
          </cell>
        </row>
      </sheetData>
      <sheetData sheetId="6314" refreshError="1"/>
      <sheetData sheetId="6315" refreshError="1"/>
      <sheetData sheetId="6316" refreshError="1"/>
      <sheetData sheetId="6317" refreshError="1"/>
      <sheetData sheetId="6318" refreshError="1"/>
      <sheetData sheetId="6319">
        <row r="1">
          <cell r="J1">
            <v>1.7453292519943295E-2</v>
          </cell>
        </row>
      </sheetData>
      <sheetData sheetId="6320" refreshError="1"/>
      <sheetData sheetId="6321">
        <row r="1">
          <cell r="J1">
            <v>1.7453292519943295E-2</v>
          </cell>
        </row>
      </sheetData>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ow r="1">
          <cell r="J1">
            <v>1.7453292519943295E-2</v>
          </cell>
        </row>
      </sheetData>
      <sheetData sheetId="6407" refreshError="1"/>
      <sheetData sheetId="6408" refreshError="1"/>
      <sheetData sheetId="6409" refreshError="1"/>
      <sheetData sheetId="6410" refreshError="1"/>
      <sheetData sheetId="6411" refreshError="1"/>
      <sheetData sheetId="6412">
        <row r="1">
          <cell r="J1">
            <v>1.7453292519943295E-2</v>
          </cell>
        </row>
      </sheetData>
      <sheetData sheetId="6413">
        <row r="1">
          <cell r="J1">
            <v>1.7453292519943295E-2</v>
          </cell>
        </row>
      </sheetData>
      <sheetData sheetId="6414" refreshError="1"/>
      <sheetData sheetId="6415" refreshError="1"/>
      <sheetData sheetId="6416" refreshError="1"/>
      <sheetData sheetId="6417" refreshError="1"/>
      <sheetData sheetId="6418">
        <row r="1">
          <cell r="J1">
            <v>1.7453292519943295E-2</v>
          </cell>
        </row>
      </sheetData>
      <sheetData sheetId="6419" refreshError="1"/>
      <sheetData sheetId="6420" refreshError="1"/>
      <sheetData sheetId="6421" refreshError="1"/>
      <sheetData sheetId="6422" refreshError="1"/>
      <sheetData sheetId="6423" refreshError="1"/>
      <sheetData sheetId="6424" refreshError="1"/>
      <sheetData sheetId="6425" refreshError="1"/>
      <sheetData sheetId="6426">
        <row r="1">
          <cell r="J1">
            <v>1.7453292519943295E-2</v>
          </cell>
        </row>
      </sheetData>
      <sheetData sheetId="6427">
        <row r="1">
          <cell r="J1">
            <v>1.7453292519943295E-2</v>
          </cell>
        </row>
      </sheetData>
      <sheetData sheetId="6428">
        <row r="1">
          <cell r="J1">
            <v>1.7453292519943295E-2</v>
          </cell>
        </row>
      </sheetData>
      <sheetData sheetId="6429">
        <row r="1">
          <cell r="J1">
            <v>1.7453292519943295E-2</v>
          </cell>
        </row>
      </sheetData>
      <sheetData sheetId="6430">
        <row r="1">
          <cell r="J1">
            <v>1.7453292519943295E-2</v>
          </cell>
        </row>
      </sheetData>
      <sheetData sheetId="6431">
        <row r="1">
          <cell r="J1">
            <v>1.7453292519943295E-2</v>
          </cell>
        </row>
      </sheetData>
      <sheetData sheetId="6432">
        <row r="1">
          <cell r="J1">
            <v>1.7453292519943295E-2</v>
          </cell>
        </row>
      </sheetData>
      <sheetData sheetId="6433">
        <row r="1">
          <cell r="J1">
            <v>1.7453292519943295E-2</v>
          </cell>
        </row>
      </sheetData>
      <sheetData sheetId="6434">
        <row r="1">
          <cell r="J1">
            <v>1.7453292519943295E-2</v>
          </cell>
        </row>
      </sheetData>
      <sheetData sheetId="6435">
        <row r="1">
          <cell r="J1">
            <v>1.7453292519943295E-2</v>
          </cell>
        </row>
      </sheetData>
      <sheetData sheetId="6436">
        <row r="1">
          <cell r="J1">
            <v>1.7453292519943295E-2</v>
          </cell>
        </row>
      </sheetData>
      <sheetData sheetId="6437">
        <row r="1">
          <cell r="J1">
            <v>1.7453292519943295E-2</v>
          </cell>
        </row>
      </sheetData>
      <sheetData sheetId="6438">
        <row r="1">
          <cell r="J1">
            <v>1.7453292519943295E-2</v>
          </cell>
        </row>
      </sheetData>
      <sheetData sheetId="6439">
        <row r="1">
          <cell r="J1">
            <v>1.7453292519943295E-2</v>
          </cell>
        </row>
      </sheetData>
      <sheetData sheetId="6440">
        <row r="1">
          <cell r="J1">
            <v>1.7453292519943295E-2</v>
          </cell>
        </row>
      </sheetData>
      <sheetData sheetId="6441">
        <row r="1">
          <cell r="J1">
            <v>1.7453292519943295E-2</v>
          </cell>
        </row>
      </sheetData>
      <sheetData sheetId="6442">
        <row r="1">
          <cell r="J1">
            <v>1.7453292519943295E-2</v>
          </cell>
        </row>
      </sheetData>
      <sheetData sheetId="6443">
        <row r="1">
          <cell r="J1">
            <v>1.7453292519943295E-2</v>
          </cell>
        </row>
      </sheetData>
      <sheetData sheetId="6444">
        <row r="1">
          <cell r="J1">
            <v>1.7453292519943295E-2</v>
          </cell>
        </row>
      </sheetData>
      <sheetData sheetId="6445">
        <row r="1">
          <cell r="J1">
            <v>1.7453292519943295E-2</v>
          </cell>
        </row>
      </sheetData>
      <sheetData sheetId="6446">
        <row r="1">
          <cell r="J1">
            <v>1.7453292519943295E-2</v>
          </cell>
        </row>
      </sheetData>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ow r="1">
          <cell r="J1">
            <v>1.7453292519943295E-2</v>
          </cell>
        </row>
      </sheetData>
      <sheetData sheetId="6460" refreshError="1"/>
      <sheetData sheetId="6461" refreshError="1"/>
      <sheetData sheetId="6462">
        <row r="1">
          <cell r="J1">
            <v>1.7453292519943295E-2</v>
          </cell>
        </row>
      </sheetData>
      <sheetData sheetId="6463">
        <row r="1">
          <cell r="J1">
            <v>1.7453292519943295E-2</v>
          </cell>
        </row>
      </sheetData>
      <sheetData sheetId="6464">
        <row r="1">
          <cell r="J1">
            <v>1.7453292519943295E-2</v>
          </cell>
        </row>
      </sheetData>
      <sheetData sheetId="6465">
        <row r="1">
          <cell r="J1">
            <v>1.7453292519943295E-2</v>
          </cell>
        </row>
      </sheetData>
      <sheetData sheetId="6466">
        <row r="1">
          <cell r="J1">
            <v>1.7453292519943295E-2</v>
          </cell>
        </row>
      </sheetData>
      <sheetData sheetId="6467">
        <row r="1">
          <cell r="J1">
            <v>1.7453292519943295E-2</v>
          </cell>
        </row>
      </sheetData>
      <sheetData sheetId="6468">
        <row r="1">
          <cell r="J1">
            <v>1.7453292519943295E-2</v>
          </cell>
        </row>
      </sheetData>
      <sheetData sheetId="6469">
        <row r="1">
          <cell r="J1">
            <v>1.7453292519943295E-2</v>
          </cell>
        </row>
      </sheetData>
      <sheetData sheetId="6470">
        <row r="1">
          <cell r="J1">
            <v>1.7453292519943295E-2</v>
          </cell>
        </row>
      </sheetData>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ow r="1">
          <cell r="J1">
            <v>1.7453292519943295E-2</v>
          </cell>
        </row>
      </sheetData>
      <sheetData sheetId="6482">
        <row r="1">
          <cell r="J1">
            <v>1.7453292519943295E-2</v>
          </cell>
        </row>
      </sheetData>
      <sheetData sheetId="6483" refreshError="1"/>
      <sheetData sheetId="6484" refreshError="1"/>
      <sheetData sheetId="6485">
        <row r="1">
          <cell r="J1">
            <v>1.7453292519943295E-2</v>
          </cell>
        </row>
      </sheetData>
      <sheetData sheetId="6486" refreshError="1"/>
      <sheetData sheetId="6487" refreshError="1"/>
      <sheetData sheetId="6488" refreshError="1"/>
      <sheetData sheetId="6489">
        <row r="1">
          <cell r="J1">
            <v>1.7453292519943295E-2</v>
          </cell>
        </row>
      </sheetData>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ow r="1">
          <cell r="J1">
            <v>1.7453292519943295E-2</v>
          </cell>
        </row>
      </sheetData>
      <sheetData sheetId="6500" refreshError="1"/>
      <sheetData sheetId="6501" refreshError="1"/>
      <sheetData sheetId="6502" refreshError="1"/>
      <sheetData sheetId="6503">
        <row r="1">
          <cell r="J1">
            <v>1.7453292519943295E-2</v>
          </cell>
        </row>
      </sheetData>
      <sheetData sheetId="6504">
        <row r="1">
          <cell r="J1">
            <v>1.7453292519943295E-2</v>
          </cell>
        </row>
      </sheetData>
      <sheetData sheetId="6505" refreshError="1"/>
      <sheetData sheetId="6506">
        <row r="1">
          <cell r="J1">
            <v>1.7453292519943295E-2</v>
          </cell>
        </row>
      </sheetData>
      <sheetData sheetId="6507" refreshError="1"/>
      <sheetData sheetId="6508">
        <row r="1">
          <cell r="J1">
            <v>1.7453292519943295E-2</v>
          </cell>
        </row>
      </sheetData>
      <sheetData sheetId="6509" refreshError="1"/>
      <sheetData sheetId="6510">
        <row r="1">
          <cell r="J1">
            <v>1.7453292519943295E-2</v>
          </cell>
        </row>
      </sheetData>
      <sheetData sheetId="6511">
        <row r="1">
          <cell r="J1">
            <v>1.7453292519943295E-2</v>
          </cell>
        </row>
      </sheetData>
      <sheetData sheetId="6512" refreshError="1"/>
      <sheetData sheetId="6513">
        <row r="1">
          <cell r="J1">
            <v>1.7453292519943295E-2</v>
          </cell>
        </row>
      </sheetData>
      <sheetData sheetId="6514">
        <row r="1">
          <cell r="J1">
            <v>1.7453292519943295E-2</v>
          </cell>
        </row>
      </sheetData>
      <sheetData sheetId="6515" refreshError="1"/>
      <sheetData sheetId="6516">
        <row r="1">
          <cell r="J1">
            <v>1.7453292519943295E-2</v>
          </cell>
        </row>
      </sheetData>
      <sheetData sheetId="6517">
        <row r="1">
          <cell r="J1">
            <v>1.7453292519943295E-2</v>
          </cell>
        </row>
      </sheetData>
      <sheetData sheetId="6518" refreshError="1"/>
      <sheetData sheetId="6519" refreshError="1"/>
      <sheetData sheetId="6520" refreshError="1"/>
      <sheetData sheetId="6521" refreshError="1"/>
      <sheetData sheetId="6522">
        <row r="1">
          <cell r="J1">
            <v>1.7453292519943295E-2</v>
          </cell>
        </row>
      </sheetData>
      <sheetData sheetId="6523">
        <row r="1">
          <cell r="J1">
            <v>1.7453292519943295E-2</v>
          </cell>
        </row>
      </sheetData>
      <sheetData sheetId="6524">
        <row r="1">
          <cell r="J1">
            <v>1.7453292519943295E-2</v>
          </cell>
        </row>
      </sheetData>
      <sheetData sheetId="6525">
        <row r="1">
          <cell r="J1">
            <v>1.7453292519943295E-2</v>
          </cell>
        </row>
      </sheetData>
      <sheetData sheetId="6526">
        <row r="1">
          <cell r="J1">
            <v>1.7453292519943295E-2</v>
          </cell>
        </row>
      </sheetData>
      <sheetData sheetId="6527">
        <row r="1">
          <cell r="J1">
            <v>1.7453292519943295E-2</v>
          </cell>
        </row>
      </sheetData>
      <sheetData sheetId="6528">
        <row r="1">
          <cell r="J1">
            <v>1.7453292519943295E-2</v>
          </cell>
        </row>
      </sheetData>
      <sheetData sheetId="6529">
        <row r="1">
          <cell r="J1">
            <v>1.7453292519943295E-2</v>
          </cell>
        </row>
      </sheetData>
      <sheetData sheetId="6530">
        <row r="1">
          <cell r="J1">
            <v>1.7453292519943295E-2</v>
          </cell>
        </row>
      </sheetData>
      <sheetData sheetId="6531">
        <row r="1">
          <cell r="J1">
            <v>1.7453292519943295E-2</v>
          </cell>
        </row>
      </sheetData>
      <sheetData sheetId="6532">
        <row r="1">
          <cell r="J1">
            <v>1.7453292519943295E-2</v>
          </cell>
        </row>
      </sheetData>
      <sheetData sheetId="6533">
        <row r="1">
          <cell r="J1">
            <v>1.7453292519943295E-2</v>
          </cell>
        </row>
      </sheetData>
      <sheetData sheetId="6534">
        <row r="1">
          <cell r="J1">
            <v>1.7453292519943295E-2</v>
          </cell>
        </row>
      </sheetData>
      <sheetData sheetId="6535">
        <row r="1">
          <cell r="J1">
            <v>1.7453292519943295E-2</v>
          </cell>
        </row>
      </sheetData>
      <sheetData sheetId="6536">
        <row r="1">
          <cell r="J1">
            <v>1.7453292519943295E-2</v>
          </cell>
        </row>
      </sheetData>
      <sheetData sheetId="6537">
        <row r="1">
          <cell r="J1">
            <v>1.7453292519943295E-2</v>
          </cell>
        </row>
      </sheetData>
      <sheetData sheetId="6538">
        <row r="1">
          <cell r="J1">
            <v>1.7453292519943295E-2</v>
          </cell>
        </row>
      </sheetData>
      <sheetData sheetId="6539">
        <row r="1">
          <cell r="J1">
            <v>1.7453292519943295E-2</v>
          </cell>
        </row>
      </sheetData>
      <sheetData sheetId="6540">
        <row r="1">
          <cell r="J1">
            <v>1.7453292519943295E-2</v>
          </cell>
        </row>
      </sheetData>
      <sheetData sheetId="6541">
        <row r="1">
          <cell r="J1">
            <v>1.7453292519943295E-2</v>
          </cell>
        </row>
      </sheetData>
      <sheetData sheetId="6542">
        <row r="1">
          <cell r="J1">
            <v>1.7453292519943295E-2</v>
          </cell>
        </row>
      </sheetData>
      <sheetData sheetId="6543">
        <row r="1">
          <cell r="J1">
            <v>1.7453292519943295E-2</v>
          </cell>
        </row>
      </sheetData>
      <sheetData sheetId="6544">
        <row r="1">
          <cell r="J1">
            <v>1.7453292519943295E-2</v>
          </cell>
        </row>
      </sheetData>
      <sheetData sheetId="6545">
        <row r="1">
          <cell r="J1">
            <v>1.7453292519943295E-2</v>
          </cell>
        </row>
      </sheetData>
      <sheetData sheetId="6546">
        <row r="1">
          <cell r="J1">
            <v>1.7453292519943295E-2</v>
          </cell>
        </row>
      </sheetData>
      <sheetData sheetId="6547">
        <row r="1">
          <cell r="J1">
            <v>1.7453292519943295E-2</v>
          </cell>
        </row>
      </sheetData>
      <sheetData sheetId="6548">
        <row r="1">
          <cell r="J1">
            <v>1.7453292519943295E-2</v>
          </cell>
        </row>
      </sheetData>
      <sheetData sheetId="6549">
        <row r="1">
          <cell r="J1">
            <v>1.7453292519943295E-2</v>
          </cell>
        </row>
      </sheetData>
      <sheetData sheetId="6550">
        <row r="1">
          <cell r="J1">
            <v>1.7453292519943295E-2</v>
          </cell>
        </row>
      </sheetData>
      <sheetData sheetId="6551">
        <row r="1">
          <cell r="J1">
            <v>1.7453292519943295E-2</v>
          </cell>
        </row>
      </sheetData>
      <sheetData sheetId="6552" refreshError="1"/>
      <sheetData sheetId="6553">
        <row r="1">
          <cell r="J1">
            <v>1.7453292519943295E-2</v>
          </cell>
        </row>
      </sheetData>
      <sheetData sheetId="6554">
        <row r="1">
          <cell r="J1">
            <v>1.7453292519943295E-2</v>
          </cell>
        </row>
      </sheetData>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ow r="1">
          <cell r="J1">
            <v>1.7453292519943295E-2</v>
          </cell>
        </row>
      </sheetData>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ow r="1">
          <cell r="J1">
            <v>1.7453292519943295E-2</v>
          </cell>
        </row>
      </sheetData>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ow r="1">
          <cell r="J1">
            <v>1.7453292519943295E-2</v>
          </cell>
        </row>
      </sheetData>
      <sheetData sheetId="6609">
        <row r="1">
          <cell r="J1">
            <v>1.7453292519943295E-2</v>
          </cell>
        </row>
      </sheetData>
      <sheetData sheetId="6610">
        <row r="1">
          <cell r="J1">
            <v>1.7453292519943295E-2</v>
          </cell>
        </row>
      </sheetData>
      <sheetData sheetId="6611">
        <row r="1">
          <cell r="J1">
            <v>1.7453292519943295E-2</v>
          </cell>
        </row>
      </sheetData>
      <sheetData sheetId="6612">
        <row r="1">
          <cell r="J1">
            <v>1.7453292519943295E-2</v>
          </cell>
        </row>
      </sheetData>
      <sheetData sheetId="6613">
        <row r="1">
          <cell r="J1">
            <v>1.7453292519943295E-2</v>
          </cell>
        </row>
      </sheetData>
      <sheetData sheetId="6614">
        <row r="1">
          <cell r="J1">
            <v>1.7453292519943295E-2</v>
          </cell>
        </row>
      </sheetData>
      <sheetData sheetId="6615">
        <row r="1">
          <cell r="J1">
            <v>1.7453292519943295E-2</v>
          </cell>
        </row>
      </sheetData>
      <sheetData sheetId="6616">
        <row r="1">
          <cell r="J1">
            <v>1.7453292519943295E-2</v>
          </cell>
        </row>
      </sheetData>
      <sheetData sheetId="6617" refreshError="1"/>
      <sheetData sheetId="6618" refreshError="1"/>
      <sheetData sheetId="6619">
        <row r="1">
          <cell r="J1">
            <v>1.7453292519943295E-2</v>
          </cell>
        </row>
      </sheetData>
      <sheetData sheetId="6620">
        <row r="1">
          <cell r="J1">
            <v>1.7453292519943295E-2</v>
          </cell>
        </row>
      </sheetData>
      <sheetData sheetId="6621" refreshError="1"/>
      <sheetData sheetId="6622">
        <row r="1">
          <cell r="J1">
            <v>1.7453292519943295E-2</v>
          </cell>
        </row>
      </sheetData>
      <sheetData sheetId="6623" refreshError="1"/>
      <sheetData sheetId="6624">
        <row r="1">
          <cell r="J1">
            <v>1.7453292519943295E-2</v>
          </cell>
        </row>
      </sheetData>
      <sheetData sheetId="6625" refreshError="1"/>
      <sheetData sheetId="6626" refreshError="1"/>
      <sheetData sheetId="6627" refreshError="1"/>
      <sheetData sheetId="6628" refreshError="1"/>
      <sheetData sheetId="6629" refreshError="1"/>
      <sheetData sheetId="6630">
        <row r="1">
          <cell r="J1">
            <v>1.7453292519943295E-2</v>
          </cell>
        </row>
      </sheetData>
      <sheetData sheetId="6631" refreshError="1"/>
      <sheetData sheetId="6632" refreshError="1"/>
      <sheetData sheetId="6633">
        <row r="1">
          <cell r="J1">
            <v>1.7453292519943295E-2</v>
          </cell>
        </row>
      </sheetData>
      <sheetData sheetId="6634" refreshError="1"/>
      <sheetData sheetId="6635" refreshError="1"/>
      <sheetData sheetId="6636">
        <row r="1">
          <cell r="J1">
            <v>1.7453292519943295E-2</v>
          </cell>
        </row>
      </sheetData>
      <sheetData sheetId="6637">
        <row r="1">
          <cell r="J1">
            <v>1.7453292519943295E-2</v>
          </cell>
        </row>
      </sheetData>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ow r="1">
          <cell r="J1">
            <v>1.7453292519943295E-2</v>
          </cell>
        </row>
      </sheetData>
      <sheetData sheetId="6655">
        <row r="1">
          <cell r="J1">
            <v>1.7453292519943295E-2</v>
          </cell>
        </row>
      </sheetData>
      <sheetData sheetId="6656">
        <row r="1">
          <cell r="J1">
            <v>1.7453292519943295E-2</v>
          </cell>
        </row>
      </sheetData>
      <sheetData sheetId="6657" refreshError="1"/>
      <sheetData sheetId="6658">
        <row r="1">
          <cell r="J1">
            <v>1.7453292519943295E-2</v>
          </cell>
        </row>
      </sheetData>
      <sheetData sheetId="6659" refreshError="1"/>
      <sheetData sheetId="6660" refreshError="1"/>
      <sheetData sheetId="6661" refreshError="1"/>
      <sheetData sheetId="6662">
        <row r="1">
          <cell r="J1">
            <v>1.7453292519943295E-2</v>
          </cell>
        </row>
      </sheetData>
      <sheetData sheetId="6663">
        <row r="1">
          <cell r="J1">
            <v>1.7453292519943295E-2</v>
          </cell>
        </row>
      </sheetData>
      <sheetData sheetId="6664">
        <row r="1">
          <cell r="J1">
            <v>1.7453292519943295E-2</v>
          </cell>
        </row>
      </sheetData>
      <sheetData sheetId="6665">
        <row r="1">
          <cell r="J1">
            <v>1.7453292519943295E-2</v>
          </cell>
        </row>
      </sheetData>
      <sheetData sheetId="6666">
        <row r="1">
          <cell r="J1">
            <v>1.7453292519943295E-2</v>
          </cell>
        </row>
      </sheetData>
      <sheetData sheetId="6667">
        <row r="1">
          <cell r="J1">
            <v>1.7453292519943295E-2</v>
          </cell>
        </row>
      </sheetData>
      <sheetData sheetId="6668">
        <row r="1">
          <cell r="J1">
            <v>1.7453292519943295E-2</v>
          </cell>
        </row>
      </sheetData>
      <sheetData sheetId="6669">
        <row r="1">
          <cell r="J1">
            <v>1.7453292519943295E-2</v>
          </cell>
        </row>
      </sheetData>
      <sheetData sheetId="6670">
        <row r="1">
          <cell r="J1">
            <v>1.7453292519943295E-2</v>
          </cell>
        </row>
      </sheetData>
      <sheetData sheetId="6671">
        <row r="1">
          <cell r="J1">
            <v>1.7453292519943295E-2</v>
          </cell>
        </row>
      </sheetData>
      <sheetData sheetId="6672" refreshError="1"/>
      <sheetData sheetId="6673" refreshError="1"/>
      <sheetData sheetId="6674" refreshError="1"/>
      <sheetData sheetId="6675" refreshError="1"/>
      <sheetData sheetId="6676" refreshError="1"/>
      <sheetData sheetId="6677" refreshError="1"/>
      <sheetData sheetId="6678">
        <row r="1">
          <cell r="J1">
            <v>1.7453292519943295E-2</v>
          </cell>
        </row>
      </sheetData>
      <sheetData sheetId="6679" refreshError="1"/>
      <sheetData sheetId="6680">
        <row r="1">
          <cell r="J1">
            <v>1.7453292519943295E-2</v>
          </cell>
        </row>
      </sheetData>
      <sheetData sheetId="6681">
        <row r="1">
          <cell r="J1">
            <v>1.7453292519943295E-2</v>
          </cell>
        </row>
      </sheetData>
      <sheetData sheetId="6682">
        <row r="1">
          <cell r="J1">
            <v>1.7453292519943295E-2</v>
          </cell>
        </row>
      </sheetData>
      <sheetData sheetId="6683" refreshError="1"/>
      <sheetData sheetId="6684" refreshError="1"/>
      <sheetData sheetId="6685" refreshError="1"/>
      <sheetData sheetId="6686">
        <row r="1">
          <cell r="J1">
            <v>1.7453292519943295E-2</v>
          </cell>
        </row>
      </sheetData>
      <sheetData sheetId="6687" refreshError="1"/>
      <sheetData sheetId="6688">
        <row r="1">
          <cell r="J1">
            <v>1.7453292519943295E-2</v>
          </cell>
        </row>
      </sheetData>
      <sheetData sheetId="6689" refreshError="1"/>
      <sheetData sheetId="6690" refreshError="1"/>
      <sheetData sheetId="6691">
        <row r="1">
          <cell r="J1">
            <v>1.7453292519943295E-2</v>
          </cell>
        </row>
      </sheetData>
      <sheetData sheetId="6692" refreshError="1"/>
      <sheetData sheetId="6693" refreshError="1"/>
      <sheetData sheetId="6694">
        <row r="1">
          <cell r="J1">
            <v>1.7453292519943295E-2</v>
          </cell>
        </row>
      </sheetData>
      <sheetData sheetId="6695">
        <row r="1">
          <cell r="J1">
            <v>1.7453292519943295E-2</v>
          </cell>
        </row>
      </sheetData>
      <sheetData sheetId="6696" refreshError="1"/>
      <sheetData sheetId="6697">
        <row r="1">
          <cell r="J1">
            <v>1.7453292519943295E-2</v>
          </cell>
        </row>
      </sheetData>
      <sheetData sheetId="6698" refreshError="1"/>
      <sheetData sheetId="6699">
        <row r="1">
          <cell r="J1">
            <v>1.7453292519943295E-2</v>
          </cell>
        </row>
      </sheetData>
      <sheetData sheetId="6700">
        <row r="1">
          <cell r="J1">
            <v>1.7453292519943295E-2</v>
          </cell>
        </row>
      </sheetData>
      <sheetData sheetId="6701" refreshError="1"/>
      <sheetData sheetId="6702">
        <row r="1">
          <cell r="J1">
            <v>1.7453292519943295E-2</v>
          </cell>
        </row>
      </sheetData>
      <sheetData sheetId="6703">
        <row r="1">
          <cell r="J1">
            <v>1.7453292519943295E-2</v>
          </cell>
        </row>
      </sheetData>
      <sheetData sheetId="6704" refreshError="1"/>
      <sheetData sheetId="6705">
        <row r="1">
          <cell r="J1">
            <v>1.7453292519943295E-2</v>
          </cell>
        </row>
      </sheetData>
      <sheetData sheetId="6706" refreshError="1"/>
      <sheetData sheetId="6707">
        <row r="1">
          <cell r="J1">
            <v>1.7453292519943295E-2</v>
          </cell>
        </row>
      </sheetData>
      <sheetData sheetId="6708">
        <row r="1">
          <cell r="J1">
            <v>1.7453292519943295E-2</v>
          </cell>
        </row>
      </sheetData>
      <sheetData sheetId="6709">
        <row r="1">
          <cell r="J1">
            <v>1.7453292519943295E-2</v>
          </cell>
        </row>
      </sheetData>
      <sheetData sheetId="6710" refreshError="1"/>
      <sheetData sheetId="6711" refreshError="1"/>
      <sheetData sheetId="6712" refreshError="1"/>
      <sheetData sheetId="6713" refreshError="1"/>
      <sheetData sheetId="6714" refreshError="1"/>
      <sheetData sheetId="6715" refreshError="1"/>
      <sheetData sheetId="6716" refreshError="1"/>
      <sheetData sheetId="6717">
        <row r="1">
          <cell r="J1">
            <v>1.7453292519943295E-2</v>
          </cell>
        </row>
      </sheetData>
      <sheetData sheetId="6718" refreshError="1"/>
      <sheetData sheetId="6719" refreshError="1"/>
      <sheetData sheetId="6720"/>
      <sheetData sheetId="6721">
        <row r="1">
          <cell r="J1">
            <v>1.7453292519943295E-2</v>
          </cell>
        </row>
      </sheetData>
      <sheetData sheetId="6722">
        <row r="1">
          <cell r="J1">
            <v>1.7453292519943295E-2</v>
          </cell>
        </row>
      </sheetData>
      <sheetData sheetId="6723" refreshError="1"/>
      <sheetData sheetId="6724">
        <row r="1">
          <cell r="J1">
            <v>1.7453292519943295E-2</v>
          </cell>
        </row>
      </sheetData>
      <sheetData sheetId="6725" refreshError="1"/>
      <sheetData sheetId="6726" refreshError="1"/>
      <sheetData sheetId="6727" refreshError="1"/>
      <sheetData sheetId="6728">
        <row r="1">
          <cell r="J1">
            <v>1.7453292519943295E-2</v>
          </cell>
        </row>
      </sheetData>
      <sheetData sheetId="6729">
        <row r="1">
          <cell r="J1">
            <v>1.7453292519943295E-2</v>
          </cell>
        </row>
      </sheetData>
      <sheetData sheetId="6730">
        <row r="1">
          <cell r="J1">
            <v>1.7453292519943295E-2</v>
          </cell>
        </row>
      </sheetData>
      <sheetData sheetId="6731">
        <row r="1">
          <cell r="J1">
            <v>1.7453292519943295E-2</v>
          </cell>
        </row>
      </sheetData>
      <sheetData sheetId="6732">
        <row r="1">
          <cell r="J1">
            <v>1.7453292519943295E-2</v>
          </cell>
        </row>
      </sheetData>
      <sheetData sheetId="6733">
        <row r="1">
          <cell r="J1">
            <v>1.7453292519943295E-2</v>
          </cell>
        </row>
      </sheetData>
      <sheetData sheetId="6734">
        <row r="1">
          <cell r="J1">
            <v>1.7453292519943295E-2</v>
          </cell>
        </row>
      </sheetData>
      <sheetData sheetId="6735">
        <row r="1">
          <cell r="J1">
            <v>1.7453292519943295E-2</v>
          </cell>
        </row>
      </sheetData>
      <sheetData sheetId="6736" refreshError="1"/>
      <sheetData sheetId="6737" refreshError="1"/>
      <sheetData sheetId="6738">
        <row r="1">
          <cell r="J1">
            <v>1.7453292519943295E-2</v>
          </cell>
        </row>
      </sheetData>
      <sheetData sheetId="6739"/>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ow r="1">
          <cell r="J1">
            <v>1.7453292519943295E-2</v>
          </cell>
        </row>
      </sheetData>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ow r="1">
          <cell r="J1">
            <v>1.7453292519943295E-2</v>
          </cell>
        </row>
      </sheetData>
      <sheetData sheetId="6796">
        <row r="1">
          <cell r="J1">
            <v>1.7453292519943295E-2</v>
          </cell>
        </row>
      </sheetData>
      <sheetData sheetId="6797" refreshError="1"/>
      <sheetData sheetId="6798" refreshError="1"/>
      <sheetData sheetId="6799">
        <row r="1">
          <cell r="J1">
            <v>1.7453292519943295E-2</v>
          </cell>
        </row>
      </sheetData>
      <sheetData sheetId="6800">
        <row r="1">
          <cell r="J1">
            <v>1.7453292519943295E-2</v>
          </cell>
        </row>
      </sheetData>
      <sheetData sheetId="6801" refreshError="1"/>
      <sheetData sheetId="6802" refreshError="1"/>
      <sheetData sheetId="6803" refreshError="1"/>
      <sheetData sheetId="6804">
        <row r="1">
          <cell r="J1">
            <v>1.7453292519943295E-2</v>
          </cell>
        </row>
      </sheetData>
      <sheetData sheetId="6805">
        <row r="1">
          <cell r="J1">
            <v>1.7453292519943295E-2</v>
          </cell>
        </row>
      </sheetData>
      <sheetData sheetId="6806" refreshError="1"/>
      <sheetData sheetId="6807">
        <row r="1">
          <cell r="J1">
            <v>1.7453292519943295E-2</v>
          </cell>
        </row>
      </sheetData>
      <sheetData sheetId="6808">
        <row r="1">
          <cell r="J1">
            <v>1.7453292519943295E-2</v>
          </cell>
        </row>
      </sheetData>
      <sheetData sheetId="6809" refreshError="1"/>
      <sheetData sheetId="6810"/>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ow r="1">
          <cell r="J1">
            <v>1.7453292519943295E-2</v>
          </cell>
        </row>
      </sheetData>
      <sheetData sheetId="6821"/>
      <sheetData sheetId="6822">
        <row r="1">
          <cell r="J1">
            <v>1.7453292519943295E-2</v>
          </cell>
        </row>
      </sheetData>
      <sheetData sheetId="6823">
        <row r="1">
          <cell r="J1">
            <v>1.7453292519943295E-2</v>
          </cell>
        </row>
      </sheetData>
      <sheetData sheetId="6824" refreshError="1"/>
      <sheetData sheetId="6825" refreshError="1"/>
      <sheetData sheetId="6826">
        <row r="1">
          <cell r="J1">
            <v>1.7453292519943295E-2</v>
          </cell>
        </row>
      </sheetData>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ow r="1">
          <cell r="J1">
            <v>1.7453292519943295E-2</v>
          </cell>
        </row>
      </sheetData>
      <sheetData sheetId="6845" refreshError="1"/>
      <sheetData sheetId="6846" refreshError="1"/>
      <sheetData sheetId="6847" refreshError="1"/>
      <sheetData sheetId="6848" refreshError="1"/>
      <sheetData sheetId="6849" refreshError="1"/>
      <sheetData sheetId="6850">
        <row r="1">
          <cell r="J1">
            <v>1.7453292519943295E-2</v>
          </cell>
        </row>
      </sheetData>
      <sheetData sheetId="6851" refreshError="1"/>
      <sheetData sheetId="6852" refreshError="1"/>
      <sheetData sheetId="6853">
        <row r="1">
          <cell r="J1">
            <v>1.7453292519943295E-2</v>
          </cell>
        </row>
      </sheetData>
      <sheetData sheetId="6854" refreshError="1"/>
      <sheetData sheetId="6855" refreshError="1"/>
      <sheetData sheetId="6856" refreshError="1"/>
      <sheetData sheetId="6857" refreshError="1"/>
      <sheetData sheetId="6858" refreshError="1"/>
      <sheetData sheetId="6859">
        <row r="1">
          <cell r="J1">
            <v>1.7453292519943295E-2</v>
          </cell>
        </row>
      </sheetData>
      <sheetData sheetId="6860">
        <row r="1">
          <cell r="J1">
            <v>1.7453292519943295E-2</v>
          </cell>
        </row>
      </sheetData>
      <sheetData sheetId="6861" refreshError="1"/>
      <sheetData sheetId="6862" refreshError="1"/>
      <sheetData sheetId="6863" refreshError="1"/>
      <sheetData sheetId="6864">
        <row r="1">
          <cell r="J1">
            <v>1.7453292519943295E-2</v>
          </cell>
        </row>
      </sheetData>
      <sheetData sheetId="6865">
        <row r="1">
          <cell r="J1">
            <v>1.7453292519943295E-2</v>
          </cell>
        </row>
      </sheetData>
      <sheetData sheetId="6866" refreshError="1"/>
      <sheetData sheetId="6867" refreshError="1"/>
      <sheetData sheetId="6868">
        <row r="1">
          <cell r="J1">
            <v>1.7453292519943295E-2</v>
          </cell>
        </row>
      </sheetData>
      <sheetData sheetId="6869" refreshError="1"/>
      <sheetData sheetId="6870">
        <row r="1">
          <cell r="J1">
            <v>1.7453292519943295E-2</v>
          </cell>
        </row>
      </sheetData>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ow r="1">
          <cell r="J1">
            <v>1.7453292519943295E-2</v>
          </cell>
        </row>
      </sheetData>
      <sheetData sheetId="6894">
        <row r="1">
          <cell r="J1">
            <v>1.7453292519943295E-2</v>
          </cell>
        </row>
      </sheetData>
      <sheetData sheetId="6895" refreshError="1"/>
      <sheetData sheetId="6896"/>
      <sheetData sheetId="6897" refreshError="1"/>
      <sheetData sheetId="6898" refreshError="1"/>
      <sheetData sheetId="6899" refreshError="1"/>
      <sheetData sheetId="6900" refreshError="1"/>
      <sheetData sheetId="6901" refreshError="1"/>
      <sheetData sheetId="6902">
        <row r="1">
          <cell r="J1">
            <v>1.7453292519943295E-2</v>
          </cell>
        </row>
      </sheetData>
      <sheetData sheetId="6903">
        <row r="1">
          <cell r="J1">
            <v>1.7453292519943295E-2</v>
          </cell>
        </row>
      </sheetData>
      <sheetData sheetId="6904" refreshError="1"/>
      <sheetData sheetId="6905" refreshError="1"/>
      <sheetData sheetId="6906" refreshError="1"/>
      <sheetData sheetId="6907">
        <row r="1">
          <cell r="J1">
            <v>1.7453292519943295E-2</v>
          </cell>
        </row>
      </sheetData>
      <sheetData sheetId="6908">
        <row r="1">
          <cell r="J1">
            <v>1.7453292519943295E-2</v>
          </cell>
        </row>
      </sheetData>
      <sheetData sheetId="6909" refreshError="1"/>
      <sheetData sheetId="6910" refreshError="1"/>
      <sheetData sheetId="6911" refreshError="1"/>
      <sheetData sheetId="6912" refreshError="1"/>
      <sheetData sheetId="6913">
        <row r="1">
          <cell r="J1">
            <v>1.7453292519943295E-2</v>
          </cell>
        </row>
      </sheetData>
      <sheetData sheetId="6914" refreshError="1"/>
      <sheetData sheetId="6915" refreshError="1"/>
      <sheetData sheetId="6916">
        <row r="1">
          <cell r="J1">
            <v>1.7453292519943295E-2</v>
          </cell>
        </row>
      </sheetData>
      <sheetData sheetId="6917" refreshError="1"/>
      <sheetData sheetId="6918" refreshError="1"/>
      <sheetData sheetId="6919">
        <row r="1">
          <cell r="J1">
            <v>1.7453292519943295E-2</v>
          </cell>
        </row>
      </sheetData>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ow r="1">
          <cell r="J1">
            <v>1.7453292519943295E-2</v>
          </cell>
        </row>
      </sheetData>
      <sheetData sheetId="6944">
        <row r="1">
          <cell r="J1">
            <v>1.7453292519943295E-2</v>
          </cell>
        </row>
      </sheetData>
      <sheetData sheetId="6945" refreshError="1"/>
      <sheetData sheetId="6946"/>
      <sheetData sheetId="6947" refreshError="1"/>
      <sheetData sheetId="6948" refreshError="1"/>
      <sheetData sheetId="6949" refreshError="1"/>
      <sheetData sheetId="6950">
        <row r="1">
          <cell r="J1">
            <v>1.7453292519943295E-2</v>
          </cell>
        </row>
      </sheetData>
      <sheetData sheetId="6951">
        <row r="1">
          <cell r="J1">
            <v>1.7453292519943295E-2</v>
          </cell>
        </row>
      </sheetData>
      <sheetData sheetId="6952">
        <row r="1">
          <cell r="J1">
            <v>1.7453292519943295E-2</v>
          </cell>
        </row>
      </sheetData>
      <sheetData sheetId="6953" refreshError="1"/>
      <sheetData sheetId="6954">
        <row r="1">
          <cell r="J1">
            <v>1.7453292519943295E-2</v>
          </cell>
        </row>
      </sheetData>
      <sheetData sheetId="6955" refreshError="1"/>
      <sheetData sheetId="6956">
        <row r="1">
          <cell r="J1">
            <v>1.7453292519943295E-2</v>
          </cell>
        </row>
      </sheetData>
      <sheetData sheetId="6957">
        <row r="1">
          <cell r="J1">
            <v>1.7453292519943295E-2</v>
          </cell>
        </row>
      </sheetData>
      <sheetData sheetId="6958" refreshError="1"/>
      <sheetData sheetId="6959" refreshError="1"/>
      <sheetData sheetId="6960">
        <row r="1">
          <cell r="J1">
            <v>1.7453292519943295E-2</v>
          </cell>
        </row>
      </sheetData>
      <sheetData sheetId="6961" refreshError="1"/>
      <sheetData sheetId="6962"/>
      <sheetData sheetId="6963" refreshError="1"/>
      <sheetData sheetId="6964">
        <row r="1">
          <cell r="J1">
            <v>1.7453292519943295E-2</v>
          </cell>
        </row>
      </sheetData>
      <sheetData sheetId="6965">
        <row r="1">
          <cell r="J1">
            <v>1.7453292519943295E-2</v>
          </cell>
        </row>
      </sheetData>
      <sheetData sheetId="6966" refreshError="1"/>
      <sheetData sheetId="6967" refreshError="1"/>
      <sheetData sheetId="6968" refreshError="1"/>
      <sheetData sheetId="6969" refreshError="1"/>
      <sheetData sheetId="6970">
        <row r="1">
          <cell r="J1">
            <v>1.7453292519943295E-2</v>
          </cell>
        </row>
      </sheetData>
      <sheetData sheetId="6971" refreshError="1"/>
      <sheetData sheetId="6972" refreshError="1"/>
      <sheetData sheetId="6973">
        <row r="1">
          <cell r="J1">
            <v>1.7453292519943295E-2</v>
          </cell>
        </row>
      </sheetData>
      <sheetData sheetId="6974" refreshError="1"/>
      <sheetData sheetId="6975" refreshError="1"/>
      <sheetData sheetId="6976" refreshError="1"/>
      <sheetData sheetId="6977" refreshError="1"/>
      <sheetData sheetId="6978" refreshError="1"/>
      <sheetData sheetId="6979">
        <row r="1">
          <cell r="J1">
            <v>1.7453292519943295E-2</v>
          </cell>
        </row>
      </sheetData>
      <sheetData sheetId="6980">
        <row r="1">
          <cell r="J1">
            <v>1.7453292519943295E-2</v>
          </cell>
        </row>
      </sheetData>
      <sheetData sheetId="6981" refreshError="1"/>
      <sheetData sheetId="6982" refreshError="1"/>
      <sheetData sheetId="6983">
        <row r="1">
          <cell r="J1">
            <v>1.7453292519943295E-2</v>
          </cell>
        </row>
      </sheetData>
      <sheetData sheetId="6984" refreshError="1"/>
      <sheetData sheetId="6985" refreshError="1"/>
      <sheetData sheetId="6986" refreshError="1"/>
      <sheetData sheetId="6987" refreshError="1"/>
      <sheetData sheetId="6988" refreshError="1"/>
      <sheetData sheetId="6989">
        <row r="1">
          <cell r="J1">
            <v>1.7453292519943295E-2</v>
          </cell>
        </row>
      </sheetData>
      <sheetData sheetId="6990">
        <row r="1">
          <cell r="J1">
            <v>1.7453292519943295E-2</v>
          </cell>
        </row>
      </sheetData>
      <sheetData sheetId="6991" refreshError="1"/>
      <sheetData sheetId="6992" refreshError="1"/>
      <sheetData sheetId="6993"/>
      <sheetData sheetId="6994" refreshError="1"/>
      <sheetData sheetId="6995" refreshError="1"/>
      <sheetData sheetId="6996">
        <row r="1">
          <cell r="J1">
            <v>1.7453292519943295E-2</v>
          </cell>
        </row>
      </sheetData>
      <sheetData sheetId="6997" refreshError="1"/>
      <sheetData sheetId="6998" refreshError="1"/>
      <sheetData sheetId="6999">
        <row r="1">
          <cell r="J1">
            <v>1.7453292519943295E-2</v>
          </cell>
        </row>
      </sheetData>
      <sheetData sheetId="7000" refreshError="1"/>
      <sheetData sheetId="7001">
        <row r="1">
          <cell r="J1">
            <v>1.7453292519943295E-2</v>
          </cell>
        </row>
      </sheetData>
      <sheetData sheetId="7002" refreshError="1"/>
      <sheetData sheetId="7003" refreshError="1"/>
      <sheetData sheetId="7004" refreshError="1"/>
      <sheetData sheetId="7005">
        <row r="1">
          <cell r="J1">
            <v>1.7453292519943295E-2</v>
          </cell>
        </row>
      </sheetData>
      <sheetData sheetId="7006" refreshError="1"/>
      <sheetData sheetId="7007" refreshError="1"/>
      <sheetData sheetId="7008"/>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ow r="1">
          <cell r="J1">
            <v>1.7453292519943295E-2</v>
          </cell>
        </row>
      </sheetData>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ow r="1">
          <cell r="J1">
            <v>1.7453292519943295E-2</v>
          </cell>
        </row>
      </sheetData>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ow r="1">
          <cell r="J1">
            <v>1.7453292519943295E-2</v>
          </cell>
        </row>
      </sheetData>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ow r="1">
          <cell r="J1">
            <v>1.7453292519943295E-2</v>
          </cell>
        </row>
      </sheetData>
      <sheetData sheetId="7078">
        <row r="1">
          <cell r="J1">
            <v>1.7453292519943295E-2</v>
          </cell>
        </row>
      </sheetData>
      <sheetData sheetId="7079">
        <row r="1">
          <cell r="J1">
            <v>1.7453292519943295E-2</v>
          </cell>
        </row>
      </sheetData>
      <sheetData sheetId="7080">
        <row r="1">
          <cell r="J1">
            <v>1.7453292519943295E-2</v>
          </cell>
        </row>
      </sheetData>
      <sheetData sheetId="7081">
        <row r="1">
          <cell r="J1">
            <v>1.7453292519943295E-2</v>
          </cell>
        </row>
      </sheetData>
      <sheetData sheetId="7082">
        <row r="1">
          <cell r="J1">
            <v>1.7453292519943295E-2</v>
          </cell>
        </row>
      </sheetData>
      <sheetData sheetId="7083">
        <row r="1">
          <cell r="J1">
            <v>1.7453292519943295E-2</v>
          </cell>
        </row>
      </sheetData>
      <sheetData sheetId="7084">
        <row r="1">
          <cell r="J1">
            <v>1.7453292519943295E-2</v>
          </cell>
        </row>
      </sheetData>
      <sheetData sheetId="7085">
        <row r="1">
          <cell r="J1">
            <v>1.7453292519943295E-2</v>
          </cell>
        </row>
      </sheetData>
      <sheetData sheetId="7086" refreshError="1"/>
      <sheetData sheetId="7087" refreshError="1"/>
      <sheetData sheetId="7088">
        <row r="1">
          <cell r="J1">
            <v>1.7453292519943295E-2</v>
          </cell>
        </row>
      </sheetData>
      <sheetData sheetId="7089">
        <row r="1">
          <cell r="J1">
            <v>1.7453292519943295E-2</v>
          </cell>
        </row>
      </sheetData>
      <sheetData sheetId="7090" refreshError="1"/>
      <sheetData sheetId="7091">
        <row r="1">
          <cell r="J1">
            <v>1.7453292519943295E-2</v>
          </cell>
        </row>
      </sheetData>
      <sheetData sheetId="7092" refreshError="1"/>
      <sheetData sheetId="7093">
        <row r="1">
          <cell r="J1">
            <v>1.7453292519943295E-2</v>
          </cell>
        </row>
      </sheetData>
      <sheetData sheetId="7094" refreshError="1"/>
      <sheetData sheetId="7095" refreshError="1"/>
      <sheetData sheetId="7096" refreshError="1"/>
      <sheetData sheetId="7097" refreshError="1"/>
      <sheetData sheetId="7098" refreshError="1"/>
      <sheetData sheetId="7099">
        <row r="1">
          <cell r="J1">
            <v>1.7453292519943295E-2</v>
          </cell>
        </row>
      </sheetData>
      <sheetData sheetId="7100" refreshError="1"/>
      <sheetData sheetId="7101" refreshError="1"/>
      <sheetData sheetId="7102">
        <row r="1">
          <cell r="J1">
            <v>1.7453292519943295E-2</v>
          </cell>
        </row>
      </sheetData>
      <sheetData sheetId="7103" refreshError="1"/>
      <sheetData sheetId="7104" refreshError="1"/>
      <sheetData sheetId="7105">
        <row r="1">
          <cell r="J1">
            <v>1.7453292519943295E-2</v>
          </cell>
        </row>
      </sheetData>
      <sheetData sheetId="7106">
        <row r="1">
          <cell r="J1">
            <v>1.7453292519943295E-2</v>
          </cell>
        </row>
      </sheetData>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sheetData sheetId="7122">
        <row r="1">
          <cell r="J1">
            <v>1.7453292519943295E-2</v>
          </cell>
        </row>
      </sheetData>
      <sheetData sheetId="7123">
        <row r="1">
          <cell r="J1">
            <v>1.7453292519943295E-2</v>
          </cell>
        </row>
      </sheetData>
      <sheetData sheetId="7124" refreshError="1"/>
      <sheetData sheetId="7125">
        <row r="1">
          <cell r="J1">
            <v>1.7453292519943295E-2</v>
          </cell>
        </row>
      </sheetData>
      <sheetData sheetId="7126" refreshError="1"/>
      <sheetData sheetId="7127" refreshError="1"/>
      <sheetData sheetId="7128" refreshError="1"/>
      <sheetData sheetId="7129">
        <row r="1">
          <cell r="J1">
            <v>1.7453292519943295E-2</v>
          </cell>
        </row>
      </sheetData>
      <sheetData sheetId="7130">
        <row r="1">
          <cell r="J1">
            <v>1.7453292519943295E-2</v>
          </cell>
        </row>
      </sheetData>
      <sheetData sheetId="7131">
        <row r="1">
          <cell r="J1">
            <v>1.7453292519943295E-2</v>
          </cell>
        </row>
      </sheetData>
      <sheetData sheetId="7132">
        <row r="1">
          <cell r="J1">
            <v>1.7453292519943295E-2</v>
          </cell>
        </row>
      </sheetData>
      <sheetData sheetId="7133">
        <row r="1">
          <cell r="J1">
            <v>1.7453292519943295E-2</v>
          </cell>
        </row>
      </sheetData>
      <sheetData sheetId="7134">
        <row r="1">
          <cell r="J1">
            <v>1.7453292519943295E-2</v>
          </cell>
        </row>
      </sheetData>
      <sheetData sheetId="7135">
        <row r="1">
          <cell r="J1">
            <v>1.7453292519943295E-2</v>
          </cell>
        </row>
      </sheetData>
      <sheetData sheetId="7136">
        <row r="1">
          <cell r="J1">
            <v>1.7453292519943295E-2</v>
          </cell>
        </row>
      </sheetData>
      <sheetData sheetId="7137">
        <row r="1">
          <cell r="J1">
            <v>1.7453292519943295E-2</v>
          </cell>
        </row>
      </sheetData>
      <sheetData sheetId="7138">
        <row r="1">
          <cell r="J1">
            <v>1.7453292519943295E-2</v>
          </cell>
        </row>
      </sheetData>
      <sheetData sheetId="7139" refreshError="1"/>
      <sheetData sheetId="7140" refreshError="1"/>
      <sheetData sheetId="7141" refreshError="1"/>
      <sheetData sheetId="7142" refreshError="1"/>
      <sheetData sheetId="7143" refreshError="1"/>
      <sheetData sheetId="7144" refreshError="1"/>
      <sheetData sheetId="7145">
        <row r="1">
          <cell r="J1">
            <v>1.7453292519943295E-2</v>
          </cell>
        </row>
      </sheetData>
      <sheetData sheetId="7146" refreshError="1"/>
      <sheetData sheetId="7147">
        <row r="1">
          <cell r="J1">
            <v>1.7453292519943295E-2</v>
          </cell>
        </row>
      </sheetData>
      <sheetData sheetId="7148">
        <row r="1">
          <cell r="J1">
            <v>1.7453292519943295E-2</v>
          </cell>
        </row>
      </sheetData>
      <sheetData sheetId="7149">
        <row r="1">
          <cell r="J1">
            <v>1.7453292519943295E-2</v>
          </cell>
        </row>
      </sheetData>
      <sheetData sheetId="7150" refreshError="1"/>
      <sheetData sheetId="7151" refreshError="1"/>
      <sheetData sheetId="7152" refreshError="1"/>
      <sheetData sheetId="7153">
        <row r="1">
          <cell r="J1">
            <v>1.7453292519943295E-2</v>
          </cell>
        </row>
      </sheetData>
      <sheetData sheetId="7154" refreshError="1"/>
      <sheetData sheetId="7155">
        <row r="1">
          <cell r="J1">
            <v>1.7453292519943295E-2</v>
          </cell>
        </row>
      </sheetData>
      <sheetData sheetId="7156" refreshError="1"/>
      <sheetData sheetId="7157" refreshError="1"/>
      <sheetData sheetId="7158">
        <row r="1">
          <cell r="J1">
            <v>1.7453292519943295E-2</v>
          </cell>
        </row>
      </sheetData>
      <sheetData sheetId="7159" refreshError="1"/>
      <sheetData sheetId="7160" refreshError="1"/>
      <sheetData sheetId="7161">
        <row r="1">
          <cell r="J1">
            <v>1.7453292519943295E-2</v>
          </cell>
        </row>
      </sheetData>
      <sheetData sheetId="7162">
        <row r="1">
          <cell r="J1">
            <v>1.7453292519943295E-2</v>
          </cell>
        </row>
      </sheetData>
      <sheetData sheetId="7163" refreshError="1"/>
      <sheetData sheetId="7164">
        <row r="1">
          <cell r="J1">
            <v>1.7453292519943295E-2</v>
          </cell>
        </row>
      </sheetData>
      <sheetData sheetId="7165" refreshError="1"/>
      <sheetData sheetId="7166">
        <row r="1">
          <cell r="J1">
            <v>1.7453292519943295E-2</v>
          </cell>
        </row>
      </sheetData>
      <sheetData sheetId="7167">
        <row r="1">
          <cell r="J1">
            <v>1.7453292519943295E-2</v>
          </cell>
        </row>
      </sheetData>
      <sheetData sheetId="7168" refreshError="1"/>
      <sheetData sheetId="7169">
        <row r="1">
          <cell r="J1">
            <v>1.7453292519943295E-2</v>
          </cell>
        </row>
      </sheetData>
      <sheetData sheetId="7170">
        <row r="1">
          <cell r="J1">
            <v>1.7453292519943295E-2</v>
          </cell>
        </row>
      </sheetData>
      <sheetData sheetId="7171" refreshError="1"/>
      <sheetData sheetId="7172">
        <row r="1">
          <cell r="J1">
            <v>1.7453292519943295E-2</v>
          </cell>
        </row>
      </sheetData>
      <sheetData sheetId="7173" refreshError="1"/>
      <sheetData sheetId="7174">
        <row r="1">
          <cell r="J1">
            <v>1.7453292519943295E-2</v>
          </cell>
        </row>
      </sheetData>
      <sheetData sheetId="7175">
        <row r="1">
          <cell r="J1">
            <v>1.7453292519943295E-2</v>
          </cell>
        </row>
      </sheetData>
      <sheetData sheetId="7176">
        <row r="1">
          <cell r="J1">
            <v>1.7453292519943295E-2</v>
          </cell>
        </row>
      </sheetData>
      <sheetData sheetId="7177" refreshError="1"/>
      <sheetData sheetId="7178" refreshError="1"/>
      <sheetData sheetId="7179" refreshError="1"/>
      <sheetData sheetId="7180" refreshError="1"/>
      <sheetData sheetId="7181" refreshError="1"/>
      <sheetData sheetId="7182" refreshError="1"/>
      <sheetData sheetId="7183" refreshError="1"/>
      <sheetData sheetId="7184">
        <row r="1">
          <cell r="J1">
            <v>1.7453292519943295E-2</v>
          </cell>
        </row>
      </sheetData>
      <sheetData sheetId="7185" refreshError="1"/>
      <sheetData sheetId="7186" refreshError="1"/>
      <sheetData sheetId="7187"/>
      <sheetData sheetId="7188">
        <row r="1">
          <cell r="J1">
            <v>1.7453292519943295E-2</v>
          </cell>
        </row>
      </sheetData>
      <sheetData sheetId="7189">
        <row r="1">
          <cell r="J1">
            <v>1.7453292519943295E-2</v>
          </cell>
        </row>
      </sheetData>
      <sheetData sheetId="7190" refreshError="1"/>
      <sheetData sheetId="7191">
        <row r="1">
          <cell r="J1">
            <v>1.7453292519943295E-2</v>
          </cell>
        </row>
      </sheetData>
      <sheetData sheetId="7192" refreshError="1"/>
      <sheetData sheetId="7193" refreshError="1"/>
      <sheetData sheetId="7194" refreshError="1"/>
      <sheetData sheetId="7195">
        <row r="1">
          <cell r="J1">
            <v>1.7453292519943295E-2</v>
          </cell>
        </row>
      </sheetData>
      <sheetData sheetId="7196">
        <row r="1">
          <cell r="J1">
            <v>1.7453292519943295E-2</v>
          </cell>
        </row>
      </sheetData>
      <sheetData sheetId="7197">
        <row r="1">
          <cell r="J1">
            <v>1.7453292519943295E-2</v>
          </cell>
        </row>
      </sheetData>
      <sheetData sheetId="7198">
        <row r="1">
          <cell r="J1">
            <v>1.7453292519943295E-2</v>
          </cell>
        </row>
      </sheetData>
      <sheetData sheetId="7199">
        <row r="1">
          <cell r="J1">
            <v>1.7453292519943295E-2</v>
          </cell>
        </row>
      </sheetData>
      <sheetData sheetId="7200">
        <row r="1">
          <cell r="J1">
            <v>1.7453292519943295E-2</v>
          </cell>
        </row>
      </sheetData>
      <sheetData sheetId="7201">
        <row r="1">
          <cell r="J1">
            <v>1.7453292519943295E-2</v>
          </cell>
        </row>
      </sheetData>
      <sheetData sheetId="7202">
        <row r="1">
          <cell r="J1">
            <v>1.7453292519943295E-2</v>
          </cell>
        </row>
      </sheetData>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ow r="1">
          <cell r="J1">
            <v>1.7453292519943295E-2</v>
          </cell>
        </row>
      </sheetData>
      <sheetData sheetId="7238" refreshError="1"/>
      <sheetData sheetId="7239"/>
      <sheetData sheetId="7240" refreshError="1"/>
      <sheetData sheetId="7241" refreshError="1"/>
      <sheetData sheetId="7242" refreshError="1"/>
      <sheetData sheetId="7243" refreshError="1"/>
      <sheetData sheetId="7244" refreshError="1"/>
      <sheetData sheetId="7245">
        <row r="1">
          <cell r="J1">
            <v>1.7453292519943295E-2</v>
          </cell>
        </row>
      </sheetData>
      <sheetData sheetId="7246"/>
      <sheetData sheetId="7247"/>
      <sheetData sheetId="7248" refreshError="1"/>
      <sheetData sheetId="7249" refreshError="1"/>
      <sheetData sheetId="7250" refreshError="1"/>
      <sheetData sheetId="7251" refreshError="1"/>
      <sheetData sheetId="7252" refreshError="1"/>
      <sheetData sheetId="7253">
        <row r="1">
          <cell r="J1">
            <v>1.7453292519943295E-2</v>
          </cell>
        </row>
      </sheetData>
      <sheetData sheetId="7254" refreshError="1"/>
      <sheetData sheetId="7255"/>
      <sheetData sheetId="7256" refreshError="1"/>
      <sheetData sheetId="7257" refreshError="1"/>
      <sheetData sheetId="7258"/>
      <sheetData sheetId="7259" refreshError="1"/>
      <sheetData sheetId="7260" refreshError="1"/>
      <sheetData sheetId="7261" refreshError="1"/>
      <sheetData sheetId="7262" refreshError="1"/>
      <sheetData sheetId="7263" refreshError="1"/>
      <sheetData sheetId="7264" refreshError="1"/>
      <sheetData sheetId="7265" refreshError="1"/>
      <sheetData sheetId="7266"/>
      <sheetData sheetId="7267"/>
      <sheetData sheetId="7268" refreshError="1"/>
      <sheetData sheetId="7269" refreshError="1"/>
      <sheetData sheetId="7270" refreshError="1"/>
      <sheetData sheetId="7271" refreshError="1"/>
      <sheetData sheetId="7272">
        <row r="1">
          <cell r="J1">
            <v>1.7453292519943295E-2</v>
          </cell>
        </row>
      </sheetData>
      <sheetData sheetId="7273"/>
      <sheetData sheetId="7274">
        <row r="1">
          <cell r="J1">
            <v>1.7453292519943295E-2</v>
          </cell>
        </row>
      </sheetData>
      <sheetData sheetId="7275"/>
      <sheetData sheetId="7276" refreshError="1"/>
      <sheetData sheetId="7277">
        <row r="1">
          <cell r="J1">
            <v>1.7453292519943295E-2</v>
          </cell>
        </row>
      </sheetData>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ow r="1">
          <cell r="J1">
            <v>1.7453292519943295E-2</v>
          </cell>
        </row>
      </sheetData>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ow r="1">
          <cell r="J1">
            <v>1.7453292519943295E-2</v>
          </cell>
        </row>
      </sheetData>
      <sheetData sheetId="7298" refreshError="1"/>
      <sheetData sheetId="7299">
        <row r="1">
          <cell r="J1">
            <v>1.7453292519943295E-2</v>
          </cell>
        </row>
      </sheetData>
      <sheetData sheetId="7300" refreshError="1"/>
      <sheetData sheetId="7301">
        <row r="1">
          <cell r="J1">
            <v>1.7453292519943295E-2</v>
          </cell>
        </row>
      </sheetData>
      <sheetData sheetId="7302" refreshError="1"/>
      <sheetData sheetId="7303" refreshError="1"/>
      <sheetData sheetId="7304" refreshError="1"/>
      <sheetData sheetId="7305" refreshError="1"/>
      <sheetData sheetId="7306">
        <row r="1">
          <cell r="J1">
            <v>1.7453292519943295E-2</v>
          </cell>
        </row>
      </sheetData>
      <sheetData sheetId="7307" refreshError="1"/>
      <sheetData sheetId="7308"/>
      <sheetData sheetId="7309" refreshError="1"/>
      <sheetData sheetId="7310" refreshError="1"/>
      <sheetData sheetId="7311">
        <row r="1">
          <cell r="J1">
            <v>1.7453292519943295E-2</v>
          </cell>
        </row>
      </sheetData>
      <sheetData sheetId="7312" refreshError="1"/>
      <sheetData sheetId="7313" refreshError="1"/>
      <sheetData sheetId="7314" refreshError="1"/>
      <sheetData sheetId="7315">
        <row r="1">
          <cell r="J1">
            <v>1.7453292519943295E-2</v>
          </cell>
        </row>
      </sheetData>
      <sheetData sheetId="7316" refreshError="1"/>
      <sheetData sheetId="7317" refreshError="1"/>
      <sheetData sheetId="7318" refreshError="1"/>
      <sheetData sheetId="7319"/>
      <sheetData sheetId="7320">
        <row r="1">
          <cell r="J1">
            <v>1.7453292519943295E-2</v>
          </cell>
        </row>
      </sheetData>
      <sheetData sheetId="7321" refreshError="1"/>
      <sheetData sheetId="7322" refreshError="1"/>
      <sheetData sheetId="7323">
        <row r="1">
          <cell r="J1">
            <v>1.7453292519943295E-2</v>
          </cell>
        </row>
      </sheetData>
      <sheetData sheetId="7324" refreshError="1"/>
      <sheetData sheetId="7325">
        <row r="1">
          <cell r="J1">
            <v>1.7453292519943295E-2</v>
          </cell>
        </row>
      </sheetData>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ow r="1">
          <cell r="J1">
            <v>1.7453292519943295E-2</v>
          </cell>
        </row>
      </sheetData>
      <sheetData sheetId="7349">
        <row r="1">
          <cell r="J1">
            <v>1.7453292519943295E-2</v>
          </cell>
        </row>
      </sheetData>
      <sheetData sheetId="7350" refreshError="1"/>
      <sheetData sheetId="7351" refreshError="1"/>
      <sheetData sheetId="7352" refreshError="1"/>
      <sheetData sheetId="7353" refreshError="1"/>
      <sheetData sheetId="7354" refreshError="1"/>
      <sheetData sheetId="7355" refreshError="1"/>
      <sheetData sheetId="7356" refreshError="1"/>
      <sheetData sheetId="7357">
        <row r="1">
          <cell r="J1">
            <v>1.7453292519943295E-2</v>
          </cell>
        </row>
      </sheetData>
      <sheetData sheetId="7358"/>
      <sheetData sheetId="7359" refreshError="1"/>
      <sheetData sheetId="7360" refreshError="1"/>
      <sheetData sheetId="7361" refreshError="1"/>
      <sheetData sheetId="7362">
        <row r="1">
          <cell r="J1">
            <v>1.7453292519943295E-2</v>
          </cell>
        </row>
      </sheetData>
      <sheetData sheetId="7363">
        <row r="1">
          <cell r="J1">
            <v>1.7453292519943295E-2</v>
          </cell>
        </row>
      </sheetData>
      <sheetData sheetId="7364" refreshError="1"/>
      <sheetData sheetId="7365" refreshError="1"/>
      <sheetData sheetId="7366" refreshError="1"/>
      <sheetData sheetId="7367" refreshError="1"/>
      <sheetData sheetId="7368">
        <row r="1">
          <cell r="J1">
            <v>1.7453292519943295E-2</v>
          </cell>
        </row>
      </sheetData>
      <sheetData sheetId="7369" refreshError="1"/>
      <sheetData sheetId="7370" refreshError="1"/>
      <sheetData sheetId="7371"/>
      <sheetData sheetId="7372" refreshError="1"/>
      <sheetData sheetId="7373" refreshError="1"/>
      <sheetData sheetId="7374"/>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ow r="1">
          <cell r="J1">
            <v>1.7453292519943295E-2</v>
          </cell>
        </row>
      </sheetData>
      <sheetData sheetId="7384" refreshError="1"/>
      <sheetData sheetId="7385"/>
      <sheetData sheetId="7386" refreshError="1"/>
      <sheetData sheetId="7387" refreshError="1"/>
      <sheetData sheetId="7388">
        <row r="1">
          <cell r="J1">
            <v>1.7453292519943295E-2</v>
          </cell>
        </row>
      </sheetData>
      <sheetData sheetId="7389">
        <row r="1">
          <cell r="J1">
            <v>1.7453292519943295E-2</v>
          </cell>
        </row>
      </sheetData>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ow r="1">
          <cell r="J1">
            <v>1.7453292519943295E-2</v>
          </cell>
        </row>
      </sheetData>
      <sheetData sheetId="7399">
        <row r="1">
          <cell r="J1">
            <v>1.7453292519943295E-2</v>
          </cell>
        </row>
      </sheetData>
      <sheetData sheetId="7400" refreshError="1"/>
      <sheetData sheetId="7401" refreshError="1"/>
      <sheetData sheetId="7402" refreshError="1"/>
      <sheetData sheetId="7403" refreshError="1"/>
      <sheetData sheetId="7404">
        <row r="1">
          <cell r="J1">
            <v>1.7453292519943295E-2</v>
          </cell>
        </row>
      </sheetData>
      <sheetData sheetId="7405">
        <row r="1">
          <cell r="J1">
            <v>1.7453292519943295E-2</v>
          </cell>
        </row>
      </sheetData>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sheetData sheetId="7416" refreshError="1"/>
      <sheetData sheetId="7417" refreshError="1"/>
      <sheetData sheetId="7418">
        <row r="1">
          <cell r="J1">
            <v>1.7453292519943295E-2</v>
          </cell>
        </row>
      </sheetData>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ow r="1">
          <cell r="J1">
            <v>1.7453292519943295E-2</v>
          </cell>
        </row>
      </sheetData>
      <sheetData sheetId="7563" refreshError="1"/>
      <sheetData sheetId="7564" refreshError="1"/>
      <sheetData sheetId="7565" refreshError="1"/>
      <sheetData sheetId="7566" refreshError="1"/>
      <sheetData sheetId="7567" refreshError="1"/>
      <sheetData sheetId="7568" refreshError="1"/>
      <sheetData sheetId="7569">
        <row r="1">
          <cell r="J1">
            <v>1.7453292519943295E-2</v>
          </cell>
        </row>
      </sheetData>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ow r="1">
          <cell r="J1">
            <v>1.7453292519943295E-2</v>
          </cell>
        </row>
      </sheetData>
      <sheetData sheetId="7599">
        <row r="1">
          <cell r="J1">
            <v>1.7453292519943295E-2</v>
          </cell>
        </row>
      </sheetData>
      <sheetData sheetId="7600">
        <row r="1">
          <cell r="J1">
            <v>1.7453292519943295E-2</v>
          </cell>
        </row>
      </sheetData>
      <sheetData sheetId="7601" refreshError="1"/>
      <sheetData sheetId="7602" refreshError="1"/>
      <sheetData sheetId="7603" refreshError="1"/>
      <sheetData sheetId="7604" refreshError="1"/>
      <sheetData sheetId="7605" refreshError="1"/>
      <sheetData sheetId="7606" refreshError="1"/>
      <sheetData sheetId="7607" refreshError="1"/>
      <sheetData sheetId="7608">
        <row r="1">
          <cell r="J1">
            <v>1.7453292519943295E-2</v>
          </cell>
        </row>
      </sheetData>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ow r="1">
          <cell r="J1">
            <v>1.7453292519943295E-2</v>
          </cell>
        </row>
      </sheetData>
      <sheetData sheetId="7624">
        <row r="1">
          <cell r="J1">
            <v>1.7453292519943295E-2</v>
          </cell>
        </row>
      </sheetData>
      <sheetData sheetId="7625" refreshError="1"/>
      <sheetData sheetId="7626">
        <row r="1">
          <cell r="J1">
            <v>1.7453292519943295E-2</v>
          </cell>
        </row>
      </sheetData>
      <sheetData sheetId="7627">
        <row r="1">
          <cell r="J1">
            <v>1.7453292519943295E-2</v>
          </cell>
        </row>
      </sheetData>
      <sheetData sheetId="7628">
        <row r="1">
          <cell r="J1">
            <v>1.7453292519943295E-2</v>
          </cell>
        </row>
      </sheetData>
      <sheetData sheetId="7629">
        <row r="1">
          <cell r="J1">
            <v>1.7453292519943295E-2</v>
          </cell>
        </row>
      </sheetData>
      <sheetData sheetId="7630">
        <row r="1">
          <cell r="J1">
            <v>1.7453292519943295E-2</v>
          </cell>
        </row>
      </sheetData>
      <sheetData sheetId="7631" refreshError="1"/>
      <sheetData sheetId="7632" refreshError="1"/>
      <sheetData sheetId="7633" refreshError="1"/>
      <sheetData sheetId="7634">
        <row r="1">
          <cell r="J1">
            <v>1.7453292519943295E-2</v>
          </cell>
        </row>
      </sheetData>
      <sheetData sheetId="7635">
        <row r="1">
          <cell r="J1">
            <v>1.7453292519943295E-2</v>
          </cell>
        </row>
      </sheetData>
      <sheetData sheetId="7636">
        <row r="1">
          <cell r="J1">
            <v>1.7453292519943295E-2</v>
          </cell>
        </row>
      </sheetData>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ow r="1">
          <cell r="J1">
            <v>1.7453292519943295E-2</v>
          </cell>
        </row>
      </sheetData>
      <sheetData sheetId="7658" refreshError="1"/>
      <sheetData sheetId="7659" refreshError="1"/>
      <sheetData sheetId="7660" refreshError="1"/>
      <sheetData sheetId="7661" refreshError="1"/>
      <sheetData sheetId="7662" refreshError="1"/>
      <sheetData sheetId="7663">
        <row r="1">
          <cell r="J1">
            <v>1.7453292519943295E-2</v>
          </cell>
        </row>
      </sheetData>
      <sheetData sheetId="7664">
        <row r="1">
          <cell r="J1">
            <v>1.7453292519943295E-2</v>
          </cell>
        </row>
      </sheetData>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ow r="1">
          <cell r="J1">
            <v>1.7453292519943295E-2</v>
          </cell>
        </row>
      </sheetData>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ow r="1">
          <cell r="J1">
            <v>1.7453292519943295E-2</v>
          </cell>
        </row>
      </sheetData>
      <sheetData sheetId="7700" refreshError="1"/>
      <sheetData sheetId="7701" refreshError="1"/>
      <sheetData sheetId="7702" refreshError="1"/>
      <sheetData sheetId="7703">
        <row r="1">
          <cell r="J1">
            <v>1.7453292519943295E-2</v>
          </cell>
        </row>
      </sheetData>
      <sheetData sheetId="7704">
        <row r="1">
          <cell r="J1">
            <v>1.7453292519943295E-2</v>
          </cell>
        </row>
      </sheetData>
      <sheetData sheetId="7705">
        <row r="1">
          <cell r="J1">
            <v>1.7453292519943295E-2</v>
          </cell>
        </row>
      </sheetData>
      <sheetData sheetId="7706" refreshError="1"/>
      <sheetData sheetId="7707">
        <row r="1">
          <cell r="J1">
            <v>1.7453292519943295E-2</v>
          </cell>
        </row>
      </sheetData>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ow r="1">
          <cell r="J1">
            <v>1.7453292519943295E-2</v>
          </cell>
        </row>
      </sheetData>
      <sheetData sheetId="7728" refreshError="1"/>
      <sheetData sheetId="7729" refreshError="1"/>
      <sheetData sheetId="7730" refreshError="1"/>
      <sheetData sheetId="7731" refreshError="1"/>
      <sheetData sheetId="7732" refreshError="1"/>
      <sheetData sheetId="7733" refreshError="1"/>
      <sheetData sheetId="7734">
        <row r="1">
          <cell r="J1">
            <v>1.7453292519943295E-2</v>
          </cell>
        </row>
      </sheetData>
      <sheetData sheetId="7735">
        <row r="1">
          <cell r="J1">
            <v>1.7453292519943295E-2</v>
          </cell>
        </row>
      </sheetData>
      <sheetData sheetId="7736" refreshError="1"/>
      <sheetData sheetId="7737" refreshError="1"/>
      <sheetData sheetId="7738" refreshError="1"/>
      <sheetData sheetId="7739">
        <row r="1">
          <cell r="J1">
            <v>1.7453292519943295E-2</v>
          </cell>
        </row>
      </sheetData>
      <sheetData sheetId="7740">
        <row r="1">
          <cell r="J1">
            <v>1.7453292519943295E-2</v>
          </cell>
        </row>
      </sheetData>
      <sheetData sheetId="7741" refreshError="1"/>
      <sheetData sheetId="7742" refreshError="1"/>
      <sheetData sheetId="7743" refreshError="1"/>
      <sheetData sheetId="7744" refreshError="1"/>
      <sheetData sheetId="7745" refreshError="1"/>
      <sheetData sheetId="7746" refreshError="1"/>
      <sheetData sheetId="7747" refreshError="1"/>
      <sheetData sheetId="7748">
        <row r="1">
          <cell r="J1">
            <v>1.7453292519943295E-2</v>
          </cell>
        </row>
      </sheetData>
      <sheetData sheetId="7749" refreshError="1"/>
      <sheetData sheetId="7750">
        <row r="1">
          <cell r="J1">
            <v>1.7453292519943295E-2</v>
          </cell>
        </row>
      </sheetData>
      <sheetData sheetId="7751" refreshError="1"/>
      <sheetData sheetId="7752" refreshError="1"/>
      <sheetData sheetId="7753" refreshError="1"/>
      <sheetData sheetId="7754">
        <row r="1">
          <cell r="J1">
            <v>1.7453292519943295E-2</v>
          </cell>
        </row>
      </sheetData>
      <sheetData sheetId="7755" refreshError="1"/>
      <sheetData sheetId="7756" refreshError="1"/>
      <sheetData sheetId="7757" refreshError="1"/>
      <sheetData sheetId="7758">
        <row r="1">
          <cell r="J1">
            <v>1.7453292519943295E-2</v>
          </cell>
        </row>
      </sheetData>
      <sheetData sheetId="7759">
        <row r="1">
          <cell r="J1">
            <v>1.7453292519943295E-2</v>
          </cell>
        </row>
      </sheetData>
      <sheetData sheetId="7760" refreshError="1"/>
      <sheetData sheetId="7761" refreshError="1"/>
      <sheetData sheetId="7762" refreshError="1"/>
      <sheetData sheetId="7763" refreshError="1"/>
      <sheetData sheetId="7764">
        <row r="1">
          <cell r="J1">
            <v>1.7453292519943295E-2</v>
          </cell>
        </row>
      </sheetData>
      <sheetData sheetId="7765" refreshError="1"/>
      <sheetData sheetId="7766">
        <row r="1">
          <cell r="J1">
            <v>1.7453292519943295E-2</v>
          </cell>
        </row>
      </sheetData>
      <sheetData sheetId="7767" refreshError="1"/>
      <sheetData sheetId="7768" refreshError="1"/>
      <sheetData sheetId="7769" refreshError="1"/>
      <sheetData sheetId="7770" refreshError="1"/>
      <sheetData sheetId="7771">
        <row r="1">
          <cell r="J1">
            <v>1.7453292519943295E-2</v>
          </cell>
        </row>
      </sheetData>
      <sheetData sheetId="7772">
        <row r="1">
          <cell r="J1">
            <v>1.7453292519943295E-2</v>
          </cell>
        </row>
      </sheetData>
      <sheetData sheetId="7773">
        <row r="1">
          <cell r="J1">
            <v>1.7453292519943295E-2</v>
          </cell>
        </row>
      </sheetData>
      <sheetData sheetId="7774" refreshError="1"/>
      <sheetData sheetId="7775">
        <row r="1">
          <cell r="J1">
            <v>1.7453292519943295E-2</v>
          </cell>
        </row>
      </sheetData>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ow r="1">
          <cell r="J1">
            <v>1.7453292519943295E-2</v>
          </cell>
        </row>
      </sheetData>
      <sheetData sheetId="7793" refreshError="1"/>
      <sheetData sheetId="7794" refreshError="1"/>
      <sheetData sheetId="7795" refreshError="1"/>
      <sheetData sheetId="7796">
        <row r="1">
          <cell r="J1">
            <v>1.7453292519943295E-2</v>
          </cell>
        </row>
      </sheetData>
      <sheetData sheetId="7797" refreshError="1"/>
      <sheetData sheetId="7798">
        <row r="1">
          <cell r="J1">
            <v>1.7453292519943295E-2</v>
          </cell>
        </row>
      </sheetData>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ow r="1">
          <cell r="J1">
            <v>1.7453292519943295E-2</v>
          </cell>
        </row>
      </sheetData>
      <sheetData sheetId="7819">
        <row r="1">
          <cell r="J1">
            <v>1.7453292519943295E-2</v>
          </cell>
        </row>
      </sheetData>
      <sheetData sheetId="7820" refreshError="1"/>
      <sheetData sheetId="7821">
        <row r="1">
          <cell r="J1">
            <v>1.7453292519943295E-2</v>
          </cell>
        </row>
      </sheetData>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ow r="1">
          <cell r="J1">
            <v>1.7453292519943295E-2</v>
          </cell>
        </row>
      </sheetData>
      <sheetData sheetId="7839" refreshError="1"/>
      <sheetData sheetId="7840" refreshError="1"/>
      <sheetData sheetId="7841" refreshError="1"/>
      <sheetData sheetId="7842">
        <row r="1">
          <cell r="J1">
            <v>1.7453292519943295E-2</v>
          </cell>
        </row>
      </sheetData>
      <sheetData sheetId="7843" refreshError="1"/>
      <sheetData sheetId="7844">
        <row r="1">
          <cell r="J1">
            <v>1.7453292519943295E-2</v>
          </cell>
        </row>
      </sheetData>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ow r="1">
          <cell r="J1">
            <v>1.7453292519943295E-2</v>
          </cell>
        </row>
      </sheetData>
      <sheetData sheetId="7862">
        <row r="1">
          <cell r="J1">
            <v>1.7453292519943295E-2</v>
          </cell>
        </row>
      </sheetData>
      <sheetData sheetId="7863">
        <row r="1">
          <cell r="J1">
            <v>1.7453292519943295E-2</v>
          </cell>
        </row>
      </sheetData>
      <sheetData sheetId="7864" refreshError="1"/>
      <sheetData sheetId="7865">
        <row r="1">
          <cell r="J1">
            <v>1.7453292519943295E-2</v>
          </cell>
        </row>
      </sheetData>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ow r="1">
          <cell r="J1">
            <v>1.7453292519943295E-2</v>
          </cell>
        </row>
      </sheetData>
      <sheetData sheetId="7883">
        <row r="1">
          <cell r="J1">
            <v>1.7453292519943295E-2</v>
          </cell>
        </row>
      </sheetData>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ow r="1">
          <cell r="J1">
            <v>1.7453292519943295E-2</v>
          </cell>
        </row>
      </sheetData>
      <sheetData sheetId="7910">
        <row r="1">
          <cell r="J1">
            <v>1.7453292519943295E-2</v>
          </cell>
        </row>
      </sheetData>
      <sheetData sheetId="7911">
        <row r="1">
          <cell r="J1">
            <v>1.7453292519943295E-2</v>
          </cell>
        </row>
      </sheetData>
      <sheetData sheetId="7912" refreshError="1"/>
      <sheetData sheetId="7913" refreshError="1"/>
      <sheetData sheetId="7914" refreshError="1"/>
      <sheetData sheetId="7915" refreshError="1"/>
      <sheetData sheetId="7916" refreshError="1"/>
      <sheetData sheetId="7917">
        <row r="1">
          <cell r="J1">
            <v>1.7453292519943295E-2</v>
          </cell>
        </row>
      </sheetData>
      <sheetData sheetId="7918">
        <row r="1">
          <cell r="J1">
            <v>1.7453292519943295E-2</v>
          </cell>
        </row>
      </sheetData>
      <sheetData sheetId="7919">
        <row r="1">
          <cell r="J1">
            <v>1.7453292519943295E-2</v>
          </cell>
        </row>
      </sheetData>
      <sheetData sheetId="7920"/>
      <sheetData sheetId="7921" refreshError="1"/>
      <sheetData sheetId="7922" refreshError="1"/>
      <sheetData sheetId="7923" refreshError="1"/>
      <sheetData sheetId="7924" refreshError="1"/>
      <sheetData sheetId="7925">
        <row r="1">
          <cell r="J1">
            <v>1.7453292519943295E-2</v>
          </cell>
        </row>
      </sheetData>
      <sheetData sheetId="7926">
        <row r="1">
          <cell r="J1">
            <v>1.7453292519943295E-2</v>
          </cell>
        </row>
      </sheetData>
      <sheetData sheetId="7927">
        <row r="1">
          <cell r="J1">
            <v>1.7453292519943295E-2</v>
          </cell>
        </row>
      </sheetData>
      <sheetData sheetId="7928" refreshError="1"/>
      <sheetData sheetId="7929">
        <row r="1">
          <cell r="J1">
            <v>1.7453292519943295E-2</v>
          </cell>
        </row>
      </sheetData>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ow r="1">
          <cell r="J1">
            <v>1.7453292519943295E-2</v>
          </cell>
        </row>
      </sheetData>
      <sheetData sheetId="7956" refreshError="1"/>
      <sheetData sheetId="7957" refreshError="1"/>
      <sheetData sheetId="7958" refreshError="1"/>
      <sheetData sheetId="7959">
        <row r="1">
          <cell r="J1">
            <v>1.7453292519943295E-2</v>
          </cell>
        </row>
      </sheetData>
      <sheetData sheetId="7960">
        <row r="1">
          <cell r="J1">
            <v>1.7453292519943295E-2</v>
          </cell>
        </row>
      </sheetData>
      <sheetData sheetId="7961">
        <row r="1">
          <cell r="J1">
            <v>1.7453292519943295E-2</v>
          </cell>
        </row>
      </sheetData>
      <sheetData sheetId="7962" refreshError="1"/>
      <sheetData sheetId="7963">
        <row r="1">
          <cell r="J1">
            <v>1.7453292519943295E-2</v>
          </cell>
        </row>
      </sheetData>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ow r="1">
          <cell r="J1">
            <v>1.7453292519943295E-2</v>
          </cell>
        </row>
      </sheetData>
      <sheetData sheetId="7988" refreshError="1"/>
      <sheetData sheetId="7989" refreshError="1"/>
      <sheetData sheetId="7990" refreshError="1"/>
      <sheetData sheetId="7991" refreshError="1"/>
      <sheetData sheetId="7992">
        <row r="1">
          <cell r="J1">
            <v>1.7453292519943295E-2</v>
          </cell>
        </row>
      </sheetData>
      <sheetData sheetId="7993">
        <row r="1">
          <cell r="J1">
            <v>1.7453292519943295E-2</v>
          </cell>
        </row>
      </sheetData>
      <sheetData sheetId="7994" refreshError="1"/>
      <sheetData sheetId="7995">
        <row r="1">
          <cell r="J1">
            <v>1.7453292519943295E-2</v>
          </cell>
        </row>
      </sheetData>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ow r="1">
          <cell r="J1">
            <v>1.7453292519943295E-2</v>
          </cell>
        </row>
      </sheetData>
      <sheetData sheetId="8021" refreshError="1"/>
      <sheetData sheetId="8022">
        <row r="1">
          <cell r="J1">
            <v>1.7453292519943295E-2</v>
          </cell>
        </row>
      </sheetData>
      <sheetData sheetId="8023">
        <row r="1">
          <cell r="J1">
            <v>1.7453292519943295E-2</v>
          </cell>
        </row>
      </sheetData>
      <sheetData sheetId="8024">
        <row r="1">
          <cell r="J1">
            <v>1.7453292519943295E-2</v>
          </cell>
        </row>
      </sheetData>
      <sheetData sheetId="8025" refreshError="1"/>
      <sheetData sheetId="8026">
        <row r="1">
          <cell r="J1">
            <v>1.7453292519943295E-2</v>
          </cell>
        </row>
      </sheetData>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ow r="1">
          <cell r="J1">
            <v>1.7453292519943295E-2</v>
          </cell>
        </row>
      </sheetData>
      <sheetData sheetId="8048">
        <row r="1">
          <cell r="J1">
            <v>1.7453292519943295E-2</v>
          </cell>
        </row>
      </sheetData>
      <sheetData sheetId="8049">
        <row r="1">
          <cell r="J1">
            <v>1.7453292519943295E-2</v>
          </cell>
        </row>
      </sheetData>
      <sheetData sheetId="8050" refreshError="1"/>
      <sheetData sheetId="8051" refreshError="1"/>
      <sheetData sheetId="8052" refreshError="1"/>
      <sheetData sheetId="8053" refreshError="1"/>
      <sheetData sheetId="8054" refreshError="1"/>
      <sheetData sheetId="8055">
        <row r="1">
          <cell r="J1">
            <v>1.7453292519943295E-2</v>
          </cell>
        </row>
      </sheetData>
      <sheetData sheetId="8056">
        <row r="1">
          <cell r="J1">
            <v>1.7453292519943295E-2</v>
          </cell>
        </row>
      </sheetData>
      <sheetData sheetId="8057" refreshError="1"/>
      <sheetData sheetId="8058">
        <row r="1">
          <cell r="J1">
            <v>1.7453292519943295E-2</v>
          </cell>
        </row>
      </sheetData>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ow r="1">
          <cell r="J1">
            <v>1.7453292519943295E-2</v>
          </cell>
        </row>
      </sheetData>
      <sheetData sheetId="8081">
        <row r="1">
          <cell r="J1">
            <v>1.7453292519943295E-2</v>
          </cell>
        </row>
      </sheetData>
      <sheetData sheetId="8082" refreshError="1"/>
      <sheetData sheetId="8083" refreshError="1"/>
      <sheetData sheetId="8084" refreshError="1"/>
      <sheetData sheetId="8085">
        <row r="1">
          <cell r="J1">
            <v>1.7453292519943295E-2</v>
          </cell>
        </row>
      </sheetData>
      <sheetData sheetId="8086">
        <row r="1">
          <cell r="J1">
            <v>1.7453292519943295E-2</v>
          </cell>
        </row>
      </sheetData>
      <sheetData sheetId="8087">
        <row r="1">
          <cell r="J1">
            <v>1.7453292519943295E-2</v>
          </cell>
        </row>
      </sheetData>
      <sheetData sheetId="8088" refreshError="1"/>
      <sheetData sheetId="8089">
        <row r="1">
          <cell r="J1">
            <v>1.7453292519943295E-2</v>
          </cell>
        </row>
      </sheetData>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ow r="1">
          <cell r="J1">
            <v>1.7453292519943295E-2</v>
          </cell>
        </row>
      </sheetData>
      <sheetData sheetId="8112">
        <row r="1">
          <cell r="J1">
            <v>1.7453292519943295E-2</v>
          </cell>
        </row>
      </sheetData>
      <sheetData sheetId="8113" refreshError="1"/>
      <sheetData sheetId="8114" refreshError="1"/>
      <sheetData sheetId="8115" refreshError="1"/>
      <sheetData sheetId="8116" refreshError="1"/>
      <sheetData sheetId="8117">
        <row r="1">
          <cell r="J1">
            <v>1.7453292519943295E-2</v>
          </cell>
        </row>
      </sheetData>
      <sheetData sheetId="8118">
        <row r="1">
          <cell r="J1">
            <v>1.7453292519943295E-2</v>
          </cell>
        </row>
      </sheetData>
      <sheetData sheetId="8119">
        <row r="1">
          <cell r="J1">
            <v>1.7453292519943295E-2</v>
          </cell>
        </row>
      </sheetData>
      <sheetData sheetId="8120" refreshError="1"/>
      <sheetData sheetId="8121">
        <row r="1">
          <cell r="J1">
            <v>1.7453292519943295E-2</v>
          </cell>
        </row>
      </sheetData>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ow r="1">
          <cell r="J1">
            <v>1.7453292519943295E-2</v>
          </cell>
        </row>
      </sheetData>
      <sheetData sheetId="8143">
        <row r="1">
          <cell r="J1">
            <v>1.7453292519943295E-2</v>
          </cell>
        </row>
      </sheetData>
      <sheetData sheetId="8144">
        <row r="1">
          <cell r="J1">
            <v>1.7453292519943295E-2</v>
          </cell>
        </row>
      </sheetData>
      <sheetData sheetId="8145" refreshError="1"/>
      <sheetData sheetId="8146">
        <row r="1">
          <cell r="J1">
            <v>1.7453292519943295E-2</v>
          </cell>
        </row>
      </sheetData>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ow r="1">
          <cell r="J1">
            <v>1.7453292519943295E-2</v>
          </cell>
        </row>
      </sheetData>
      <sheetData sheetId="8165">
        <row r="1">
          <cell r="J1">
            <v>1.7453292519943295E-2</v>
          </cell>
        </row>
      </sheetData>
      <sheetData sheetId="8166">
        <row r="1">
          <cell r="J1">
            <v>1.7453292519943295E-2</v>
          </cell>
        </row>
      </sheetData>
      <sheetData sheetId="8167" refreshError="1"/>
      <sheetData sheetId="8168" refreshError="1"/>
      <sheetData sheetId="8169" refreshError="1"/>
      <sheetData sheetId="8170">
        <row r="1">
          <cell r="J1">
            <v>1.7453292519943295E-2</v>
          </cell>
        </row>
      </sheetData>
      <sheetData sheetId="8171">
        <row r="1">
          <cell r="J1">
            <v>1.7453292519943295E-2</v>
          </cell>
        </row>
      </sheetData>
      <sheetData sheetId="8172" refreshError="1"/>
      <sheetData sheetId="8173">
        <row r="1">
          <cell r="J1">
            <v>1.7453292519943295E-2</v>
          </cell>
        </row>
      </sheetData>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ow r="1">
          <cell r="J1">
            <v>1.7453292519943295E-2</v>
          </cell>
        </row>
      </sheetData>
      <sheetData sheetId="8199">
        <row r="1">
          <cell r="J1">
            <v>1.7453292519943295E-2</v>
          </cell>
        </row>
      </sheetData>
      <sheetData sheetId="8200" refreshError="1"/>
      <sheetData sheetId="8201">
        <row r="1">
          <cell r="J1">
            <v>1.7453292519943295E-2</v>
          </cell>
        </row>
      </sheetData>
      <sheetData sheetId="8202">
        <row r="1">
          <cell r="J1">
            <v>1.7453292519943295E-2</v>
          </cell>
        </row>
      </sheetData>
      <sheetData sheetId="8203">
        <row r="1">
          <cell r="J1">
            <v>1.7453292519943295E-2</v>
          </cell>
        </row>
      </sheetData>
      <sheetData sheetId="8204" refreshError="1"/>
      <sheetData sheetId="8205">
        <row r="1">
          <cell r="J1">
            <v>1.7453292519943295E-2</v>
          </cell>
        </row>
      </sheetData>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ow r="1">
          <cell r="J1">
            <v>1.7453292519943295E-2</v>
          </cell>
        </row>
      </sheetData>
      <sheetData sheetId="8259">
        <row r="1">
          <cell r="J1">
            <v>1.7453292519943295E-2</v>
          </cell>
        </row>
      </sheetData>
      <sheetData sheetId="8260">
        <row r="1">
          <cell r="J1">
            <v>1.7453292519943295E-2</v>
          </cell>
        </row>
      </sheetData>
      <sheetData sheetId="8261" refreshError="1"/>
      <sheetData sheetId="8262">
        <row r="1">
          <cell r="J1">
            <v>1.7453292519943295E-2</v>
          </cell>
        </row>
      </sheetData>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ow r="1">
          <cell r="J1">
            <v>1.7453292519943295E-2</v>
          </cell>
        </row>
      </sheetData>
      <sheetData sheetId="8310" refreshError="1"/>
      <sheetData sheetId="8311">
        <row r="1">
          <cell r="J1">
            <v>1.7453292519943295E-2</v>
          </cell>
        </row>
      </sheetData>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ow r="1">
          <cell r="J1">
            <v>1.7453292519943295E-2</v>
          </cell>
        </row>
      </sheetData>
      <sheetData sheetId="8324">
        <row r="1">
          <cell r="J1">
            <v>1.7453292519943295E-2</v>
          </cell>
        </row>
      </sheetData>
      <sheetData sheetId="8325" refreshError="1"/>
      <sheetData sheetId="8326" refreshError="1"/>
      <sheetData sheetId="8327" refreshError="1"/>
      <sheetData sheetId="8328">
        <row r="1">
          <cell r="J1">
            <v>1.7453292519943295E-2</v>
          </cell>
        </row>
      </sheetData>
      <sheetData sheetId="8329">
        <row r="1">
          <cell r="J1">
            <v>1.7453292519943295E-2</v>
          </cell>
        </row>
      </sheetData>
      <sheetData sheetId="8330">
        <row r="1">
          <cell r="J1">
            <v>1.7453292519943295E-2</v>
          </cell>
        </row>
      </sheetData>
      <sheetData sheetId="8331" refreshError="1"/>
      <sheetData sheetId="8332">
        <row r="1">
          <cell r="J1">
            <v>1.7453292519943295E-2</v>
          </cell>
        </row>
      </sheetData>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ow r="1">
          <cell r="J1">
            <v>1.7453292519943295E-2</v>
          </cell>
        </row>
      </sheetData>
      <sheetData sheetId="8343">
        <row r="1">
          <cell r="J1">
            <v>1.7453292519943295E-2</v>
          </cell>
        </row>
      </sheetData>
      <sheetData sheetId="8344">
        <row r="1">
          <cell r="J1">
            <v>1.7453292519943295E-2</v>
          </cell>
        </row>
      </sheetData>
      <sheetData sheetId="8345" refreshError="1"/>
      <sheetData sheetId="8346" refreshError="1"/>
      <sheetData sheetId="8347" refreshError="1"/>
      <sheetData sheetId="8348">
        <row r="1">
          <cell r="J1">
            <v>1.7453292519943295E-2</v>
          </cell>
        </row>
      </sheetData>
      <sheetData sheetId="8349">
        <row r="1">
          <cell r="J1">
            <v>1.7453292519943295E-2</v>
          </cell>
        </row>
      </sheetData>
      <sheetData sheetId="8350" refreshError="1"/>
      <sheetData sheetId="8351">
        <row r="1">
          <cell r="J1">
            <v>1.7453292519943295E-2</v>
          </cell>
        </row>
      </sheetData>
      <sheetData sheetId="8352" refreshError="1"/>
      <sheetData sheetId="8353" refreshError="1"/>
      <sheetData sheetId="8354" refreshError="1"/>
      <sheetData sheetId="8355" refreshError="1"/>
      <sheetData sheetId="8356" refreshError="1"/>
      <sheetData sheetId="8357" refreshError="1"/>
      <sheetData sheetId="8358">
        <row r="1">
          <cell r="J1">
            <v>1.7453292519943295E-2</v>
          </cell>
        </row>
      </sheetData>
      <sheetData sheetId="8359">
        <row r="1">
          <cell r="J1">
            <v>1.7453292519943295E-2</v>
          </cell>
        </row>
      </sheetData>
      <sheetData sheetId="8360">
        <row r="1">
          <cell r="J1">
            <v>1.7453292519943295E-2</v>
          </cell>
        </row>
      </sheetData>
      <sheetData sheetId="8361" refreshError="1"/>
      <sheetData sheetId="8362">
        <row r="1">
          <cell r="J1">
            <v>1.7453292519943295E-2</v>
          </cell>
        </row>
      </sheetData>
      <sheetData sheetId="8363">
        <row r="1">
          <cell r="J1">
            <v>1.7453292519943295E-2</v>
          </cell>
        </row>
      </sheetData>
      <sheetData sheetId="8364">
        <row r="1">
          <cell r="J1">
            <v>1.7453292519943295E-2</v>
          </cell>
        </row>
      </sheetData>
      <sheetData sheetId="8365" refreshError="1"/>
      <sheetData sheetId="8366">
        <row r="1">
          <cell r="J1">
            <v>1.7453292519943295E-2</v>
          </cell>
        </row>
      </sheetData>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ow r="1">
          <cell r="J1">
            <v>1.7453292519943295E-2</v>
          </cell>
        </row>
      </sheetData>
      <sheetData sheetId="8393">
        <row r="1">
          <cell r="J1">
            <v>1.7453292519943295E-2</v>
          </cell>
        </row>
      </sheetData>
      <sheetData sheetId="8394">
        <row r="1">
          <cell r="J1">
            <v>1.7453292519943295E-2</v>
          </cell>
        </row>
      </sheetData>
      <sheetData sheetId="8395" refreshError="1"/>
      <sheetData sheetId="8396">
        <row r="1">
          <cell r="J1">
            <v>1.7453292519943295E-2</v>
          </cell>
        </row>
      </sheetData>
      <sheetData sheetId="8397" refreshError="1"/>
      <sheetData sheetId="8398" refreshError="1"/>
      <sheetData sheetId="8399" refreshError="1"/>
      <sheetData sheetId="8400" refreshError="1"/>
      <sheetData sheetId="8401">
        <row r="1">
          <cell r="J1">
            <v>1.7453292519943295E-2</v>
          </cell>
        </row>
      </sheetData>
      <sheetData sheetId="8402" refreshError="1"/>
      <sheetData sheetId="8403">
        <row r="1">
          <cell r="J1">
            <v>1.7453292519943295E-2</v>
          </cell>
        </row>
      </sheetData>
      <sheetData sheetId="8404">
        <row r="1">
          <cell r="J1">
            <v>1.7453292519943295E-2</v>
          </cell>
        </row>
      </sheetData>
      <sheetData sheetId="8405">
        <row r="1">
          <cell r="J1">
            <v>1.7453292519943295E-2</v>
          </cell>
        </row>
      </sheetData>
      <sheetData sheetId="8406" refreshError="1"/>
      <sheetData sheetId="8407">
        <row r="1">
          <cell r="J1">
            <v>1.7453292519943295E-2</v>
          </cell>
        </row>
      </sheetData>
      <sheetData sheetId="8408">
        <row r="1">
          <cell r="J1">
            <v>1.7453292519943295E-2</v>
          </cell>
        </row>
      </sheetData>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ow r="1">
          <cell r="J1">
            <v>1.7453292519943295E-2</v>
          </cell>
        </row>
      </sheetData>
      <sheetData sheetId="8425">
        <row r="1">
          <cell r="J1">
            <v>1.7453292519943295E-2</v>
          </cell>
        </row>
      </sheetData>
      <sheetData sheetId="8426" refreshError="1"/>
      <sheetData sheetId="8427" refreshError="1"/>
      <sheetData sheetId="8428">
        <row r="1">
          <cell r="J1">
            <v>1.7453292519943295E-2</v>
          </cell>
        </row>
      </sheetData>
      <sheetData sheetId="8429">
        <row r="1">
          <cell r="J1">
            <v>1.7453292519943295E-2</v>
          </cell>
        </row>
      </sheetData>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ow r="1">
          <cell r="J1">
            <v>1.7453292519943295E-2</v>
          </cell>
        </row>
      </sheetData>
      <sheetData sheetId="8449" refreshError="1"/>
      <sheetData sheetId="8450" refreshError="1"/>
      <sheetData sheetId="8451">
        <row r="1">
          <cell r="J1">
            <v>1.7453292519943295E-2</v>
          </cell>
        </row>
      </sheetData>
      <sheetData sheetId="8452">
        <row r="1">
          <cell r="J1">
            <v>1.7453292519943295E-2</v>
          </cell>
        </row>
      </sheetData>
      <sheetData sheetId="8453" refreshError="1"/>
      <sheetData sheetId="8454" refreshError="1"/>
      <sheetData sheetId="8455">
        <row r="1">
          <cell r="J1">
            <v>1.7453292519943295E-2</v>
          </cell>
        </row>
      </sheetData>
      <sheetData sheetId="8456">
        <row r="1">
          <cell r="J1">
            <v>1.7453292519943295E-2</v>
          </cell>
        </row>
      </sheetData>
      <sheetData sheetId="8457" refreshError="1"/>
      <sheetData sheetId="8458" refreshError="1"/>
      <sheetData sheetId="8459" refreshError="1"/>
      <sheetData sheetId="8460" refreshError="1"/>
      <sheetData sheetId="8461" refreshError="1"/>
      <sheetData sheetId="8462" refreshError="1"/>
      <sheetData sheetId="8463">
        <row r="1">
          <cell r="J1">
            <v>1.7453292519943295E-2</v>
          </cell>
        </row>
      </sheetData>
      <sheetData sheetId="8464">
        <row r="1">
          <cell r="J1">
            <v>1.7453292519943295E-2</v>
          </cell>
        </row>
      </sheetData>
      <sheetData sheetId="8465" refreshError="1"/>
      <sheetData sheetId="8466" refreshError="1"/>
      <sheetData sheetId="8467">
        <row r="1">
          <cell r="J1">
            <v>1.7453292519943295E-2</v>
          </cell>
        </row>
      </sheetData>
      <sheetData sheetId="8468">
        <row r="1">
          <cell r="J1">
            <v>1.7453292519943295E-2</v>
          </cell>
        </row>
      </sheetData>
      <sheetData sheetId="8469">
        <row r="1">
          <cell r="J1">
            <v>1.7453292519943295E-2</v>
          </cell>
        </row>
      </sheetData>
      <sheetData sheetId="8470" refreshError="1"/>
      <sheetData sheetId="8471" refreshError="1"/>
      <sheetData sheetId="8472" refreshError="1"/>
      <sheetData sheetId="8473" refreshError="1"/>
      <sheetData sheetId="8474" refreshError="1"/>
      <sheetData sheetId="8475" refreshError="1"/>
      <sheetData sheetId="8476" refreshError="1"/>
      <sheetData sheetId="8477">
        <row r="1">
          <cell r="J1">
            <v>1.7453292519943295E-2</v>
          </cell>
        </row>
      </sheetData>
      <sheetData sheetId="8478" refreshError="1"/>
      <sheetData sheetId="8479">
        <row r="1">
          <cell r="J1">
            <v>1.7453292519943295E-2</v>
          </cell>
        </row>
      </sheetData>
      <sheetData sheetId="8480" refreshError="1"/>
      <sheetData sheetId="8481" refreshError="1"/>
      <sheetData sheetId="8482" refreshError="1"/>
      <sheetData sheetId="8483">
        <row r="1">
          <cell r="J1">
            <v>1.7453292519943295E-2</v>
          </cell>
        </row>
      </sheetData>
      <sheetData sheetId="8484" refreshError="1"/>
      <sheetData sheetId="8485">
        <row r="1">
          <cell r="J1">
            <v>1.7453292519943295E-2</v>
          </cell>
        </row>
      </sheetData>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ow r="1">
          <cell r="J1">
            <v>1.7453292519943295E-2</v>
          </cell>
        </row>
      </sheetData>
      <sheetData sheetId="8496" refreshError="1"/>
      <sheetData sheetId="8497" refreshError="1"/>
      <sheetData sheetId="8498" refreshError="1"/>
      <sheetData sheetId="8499" refreshError="1"/>
      <sheetData sheetId="8500">
        <row r="1">
          <cell r="J1">
            <v>1.7453292519943295E-2</v>
          </cell>
        </row>
      </sheetData>
      <sheetData sheetId="8501">
        <row r="1">
          <cell r="J1">
            <v>1.7453292519943295E-2</v>
          </cell>
        </row>
      </sheetData>
      <sheetData sheetId="8502" refreshError="1"/>
      <sheetData sheetId="8503" refreshError="1"/>
      <sheetData sheetId="8504" refreshError="1"/>
      <sheetData sheetId="8505" refreshError="1"/>
      <sheetData sheetId="8506" refreshError="1"/>
      <sheetData sheetId="8507">
        <row r="1">
          <cell r="J1">
            <v>1.7453292519943295E-2</v>
          </cell>
        </row>
      </sheetData>
      <sheetData sheetId="8508" refreshError="1"/>
      <sheetData sheetId="8509" refreshError="1"/>
      <sheetData sheetId="8510">
        <row r="1">
          <cell r="J1">
            <v>1.7453292519943295E-2</v>
          </cell>
        </row>
      </sheetData>
      <sheetData sheetId="8511" refreshError="1"/>
      <sheetData sheetId="8512" refreshError="1"/>
      <sheetData sheetId="8513">
        <row r="1">
          <cell r="J1">
            <v>1.7453292519943295E-2</v>
          </cell>
        </row>
      </sheetData>
      <sheetData sheetId="8514">
        <row r="1">
          <cell r="J1">
            <v>1.7453292519943295E-2</v>
          </cell>
        </row>
      </sheetData>
      <sheetData sheetId="8515" refreshError="1"/>
      <sheetData sheetId="8516" refreshError="1"/>
      <sheetData sheetId="8517" refreshError="1"/>
      <sheetData sheetId="8518" refreshError="1"/>
      <sheetData sheetId="8519" refreshError="1"/>
      <sheetData sheetId="8520" refreshError="1"/>
      <sheetData sheetId="8521">
        <row r="1">
          <cell r="J1">
            <v>1.7453292519943295E-2</v>
          </cell>
        </row>
      </sheetData>
      <sheetData sheetId="8522" refreshError="1"/>
      <sheetData sheetId="8523" refreshError="1"/>
      <sheetData sheetId="8524" refreshError="1"/>
      <sheetData sheetId="8525" refreshError="1"/>
      <sheetData sheetId="8526" refreshError="1"/>
      <sheetData sheetId="8527" refreshError="1"/>
      <sheetData sheetId="8528">
        <row r="1">
          <cell r="J1">
            <v>1.7453292519943295E-2</v>
          </cell>
        </row>
      </sheetData>
      <sheetData sheetId="8529">
        <row r="1">
          <cell r="J1">
            <v>1.7453292519943295E-2</v>
          </cell>
        </row>
      </sheetData>
      <sheetData sheetId="8530" refreshError="1"/>
      <sheetData sheetId="8531" refreshError="1"/>
      <sheetData sheetId="8532" refreshError="1"/>
      <sheetData sheetId="8533" refreshError="1"/>
      <sheetData sheetId="8534" refreshError="1"/>
      <sheetData sheetId="8535">
        <row r="1">
          <cell r="J1">
            <v>1.7453292519943295E-2</v>
          </cell>
        </row>
      </sheetData>
      <sheetData sheetId="8536" refreshError="1"/>
      <sheetData sheetId="8537" refreshError="1"/>
      <sheetData sheetId="8538" refreshError="1"/>
      <sheetData sheetId="8539" refreshError="1"/>
      <sheetData sheetId="8540" refreshError="1"/>
      <sheetData sheetId="8541" refreshError="1"/>
      <sheetData sheetId="8542">
        <row r="1">
          <cell r="J1">
            <v>1.7453292519943295E-2</v>
          </cell>
        </row>
      </sheetData>
      <sheetData sheetId="8543">
        <row r="1">
          <cell r="J1">
            <v>1.7453292519943295E-2</v>
          </cell>
        </row>
      </sheetData>
      <sheetData sheetId="8544" refreshError="1"/>
      <sheetData sheetId="8545">
        <row r="1">
          <cell r="J1">
            <v>1.7453292519943295E-2</v>
          </cell>
        </row>
      </sheetData>
      <sheetData sheetId="8546" refreshError="1"/>
      <sheetData sheetId="8547" refreshError="1"/>
      <sheetData sheetId="8548" refreshError="1"/>
      <sheetData sheetId="8549" refreshError="1"/>
      <sheetData sheetId="8550" refreshError="1"/>
      <sheetData sheetId="8551" refreshError="1"/>
      <sheetData sheetId="8552" refreshError="1"/>
      <sheetData sheetId="8553">
        <row r="1">
          <cell r="J1">
            <v>1.7453292519943295E-2</v>
          </cell>
        </row>
      </sheetData>
      <sheetData sheetId="8554" refreshError="1"/>
      <sheetData sheetId="8555">
        <row r="1">
          <cell r="J1">
            <v>1.7453292519943295E-2</v>
          </cell>
        </row>
      </sheetData>
      <sheetData sheetId="8556" refreshError="1"/>
      <sheetData sheetId="8557" refreshError="1"/>
      <sheetData sheetId="8558">
        <row r="1">
          <cell r="J1">
            <v>1.7453292519943295E-2</v>
          </cell>
        </row>
      </sheetData>
      <sheetData sheetId="8559">
        <row r="1">
          <cell r="J1">
            <v>1.7453292519943295E-2</v>
          </cell>
        </row>
      </sheetData>
      <sheetData sheetId="8560" refreshError="1"/>
      <sheetData sheetId="8561" refreshError="1"/>
      <sheetData sheetId="8562" refreshError="1"/>
      <sheetData sheetId="8563" refreshError="1"/>
      <sheetData sheetId="8564" refreshError="1"/>
      <sheetData sheetId="8565" refreshError="1"/>
      <sheetData sheetId="8566" refreshError="1"/>
      <sheetData sheetId="8567">
        <row r="1">
          <cell r="J1">
            <v>1.7453292519943295E-2</v>
          </cell>
        </row>
      </sheetData>
      <sheetData sheetId="8568" refreshError="1"/>
      <sheetData sheetId="8569" refreshError="1"/>
      <sheetData sheetId="8570" refreshError="1"/>
      <sheetData sheetId="8571" refreshError="1"/>
      <sheetData sheetId="8572" refreshError="1"/>
      <sheetData sheetId="8573" refreshError="1"/>
      <sheetData sheetId="8574" refreshError="1"/>
      <sheetData sheetId="8575">
        <row r="1">
          <cell r="J1">
            <v>1.7453292519943295E-2</v>
          </cell>
        </row>
      </sheetData>
      <sheetData sheetId="8576">
        <row r="1">
          <cell r="J1">
            <v>1.7453292519943295E-2</v>
          </cell>
        </row>
      </sheetData>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ow r="1">
          <cell r="J1">
            <v>1.7453292519943295E-2</v>
          </cell>
        </row>
      </sheetData>
      <sheetData sheetId="8588">
        <row r="1">
          <cell r="J1">
            <v>1.7453292519943295E-2</v>
          </cell>
        </row>
      </sheetData>
      <sheetData sheetId="8589" refreshError="1"/>
      <sheetData sheetId="8590" refreshError="1"/>
      <sheetData sheetId="8591" refreshError="1"/>
      <sheetData sheetId="8592">
        <row r="1">
          <cell r="J1">
            <v>1.7453292519943295E-2</v>
          </cell>
        </row>
      </sheetData>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ow r="1">
          <cell r="J1">
            <v>1.7453292519943295E-2</v>
          </cell>
        </row>
      </sheetData>
      <sheetData sheetId="8602" refreshError="1"/>
      <sheetData sheetId="8603" refreshError="1"/>
      <sheetData sheetId="8604" refreshError="1"/>
      <sheetData sheetId="8605">
        <row r="1">
          <cell r="J1">
            <v>1.7453292519943295E-2</v>
          </cell>
        </row>
      </sheetData>
      <sheetData sheetId="8606">
        <row r="1">
          <cell r="J1">
            <v>1.7453292519943295E-2</v>
          </cell>
        </row>
      </sheetData>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ow r="1">
          <cell r="J1">
            <v>1.7453292519943295E-2</v>
          </cell>
        </row>
      </sheetData>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ow r="1">
          <cell r="J1">
            <v>1.7453292519943295E-2</v>
          </cell>
        </row>
      </sheetData>
      <sheetData sheetId="8628" refreshError="1"/>
      <sheetData sheetId="8629" refreshError="1"/>
      <sheetData sheetId="8630">
        <row r="1">
          <cell r="J1">
            <v>1.7453292519943295E-2</v>
          </cell>
        </row>
      </sheetData>
      <sheetData sheetId="8631">
        <row r="1">
          <cell r="J1">
            <v>1.7453292519943295E-2</v>
          </cell>
        </row>
      </sheetData>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ow r="1">
          <cell r="J1">
            <v>1.7453292519943295E-2</v>
          </cell>
        </row>
      </sheetData>
      <sheetData sheetId="8648" refreshError="1"/>
      <sheetData sheetId="8649" refreshError="1"/>
      <sheetData sheetId="8650">
        <row r="1">
          <cell r="J1">
            <v>1.7453292519943295E-2</v>
          </cell>
        </row>
      </sheetData>
      <sheetData sheetId="8651">
        <row r="1">
          <cell r="J1">
            <v>1.7453292519943295E-2</v>
          </cell>
        </row>
      </sheetData>
      <sheetData sheetId="8652" refreshError="1"/>
      <sheetData sheetId="8653">
        <row r="1">
          <cell r="J1">
            <v>1.7453292519943295E-2</v>
          </cell>
        </row>
      </sheetData>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ow r="1">
          <cell r="J1">
            <v>1.7453292519943295E-2</v>
          </cell>
        </row>
      </sheetData>
      <sheetData sheetId="8753">
        <row r="1">
          <cell r="J1">
            <v>1.7453292519943295E-2</v>
          </cell>
        </row>
      </sheetData>
      <sheetData sheetId="8754" refreshError="1"/>
      <sheetData sheetId="8755" refreshError="1"/>
      <sheetData sheetId="8756" refreshError="1"/>
      <sheetData sheetId="8757" refreshError="1"/>
      <sheetData sheetId="8758">
        <row r="1">
          <cell r="J1">
            <v>1.7453292519943295E-2</v>
          </cell>
        </row>
      </sheetData>
      <sheetData sheetId="8759">
        <row r="1">
          <cell r="J1">
            <v>1.7453292519943295E-2</v>
          </cell>
        </row>
      </sheetData>
      <sheetData sheetId="8760">
        <row r="1">
          <cell r="J1">
            <v>1.7453292519943295E-2</v>
          </cell>
        </row>
      </sheetData>
      <sheetData sheetId="8761" refreshError="1"/>
      <sheetData sheetId="8762">
        <row r="1">
          <cell r="J1">
            <v>1.7453292519943295E-2</v>
          </cell>
        </row>
      </sheetData>
      <sheetData sheetId="8763" refreshError="1"/>
      <sheetData sheetId="8764" refreshError="1"/>
      <sheetData sheetId="8765">
        <row r="1">
          <cell r="J1">
            <v>1.7453292519943295E-2</v>
          </cell>
        </row>
      </sheetData>
      <sheetData sheetId="8766">
        <row r="1">
          <cell r="J1">
            <v>1.7453292519943295E-2</v>
          </cell>
        </row>
      </sheetData>
      <sheetData sheetId="8767">
        <row r="1">
          <cell r="J1">
            <v>1.7453292519943295E-2</v>
          </cell>
        </row>
      </sheetData>
      <sheetData sheetId="8768" refreshError="1"/>
      <sheetData sheetId="8769" refreshError="1"/>
      <sheetData sheetId="8770">
        <row r="1">
          <cell r="J1">
            <v>1.7453292519943295E-2</v>
          </cell>
        </row>
      </sheetData>
      <sheetData sheetId="8771">
        <row r="1">
          <cell r="J1">
            <v>1.7453292519943295E-2</v>
          </cell>
        </row>
      </sheetData>
      <sheetData sheetId="8772">
        <row r="1">
          <cell r="J1">
            <v>1.7453292519943295E-2</v>
          </cell>
        </row>
      </sheetData>
      <sheetData sheetId="8773" refreshError="1"/>
      <sheetData sheetId="8774">
        <row r="1">
          <cell r="J1">
            <v>1.7453292519943295E-2</v>
          </cell>
        </row>
      </sheetData>
      <sheetData sheetId="8775">
        <row r="1">
          <cell r="J1">
            <v>1.7453292519943295E-2</v>
          </cell>
        </row>
      </sheetData>
      <sheetData sheetId="8776" refreshError="1"/>
      <sheetData sheetId="8777" refreshError="1"/>
      <sheetData sheetId="8778" refreshError="1"/>
      <sheetData sheetId="8779">
        <row r="1">
          <cell r="J1">
            <v>1.7453292519943295E-2</v>
          </cell>
        </row>
      </sheetData>
      <sheetData sheetId="8780">
        <row r="1">
          <cell r="J1">
            <v>1.7453292519943295E-2</v>
          </cell>
        </row>
      </sheetData>
      <sheetData sheetId="8781" refreshError="1"/>
      <sheetData sheetId="8782" refreshError="1"/>
      <sheetData sheetId="8783" refreshError="1"/>
      <sheetData sheetId="8784">
        <row r="1">
          <cell r="J1">
            <v>1.7453292519943295E-2</v>
          </cell>
        </row>
      </sheetData>
      <sheetData sheetId="8785">
        <row r="1">
          <cell r="J1">
            <v>1.7453292519943295E-2</v>
          </cell>
        </row>
      </sheetData>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ow r="1">
          <cell r="J1">
            <v>1.7453292519943295E-2</v>
          </cell>
        </row>
      </sheetData>
      <sheetData sheetId="8811" refreshError="1"/>
      <sheetData sheetId="8812" refreshError="1"/>
      <sheetData sheetId="8813" refreshError="1"/>
      <sheetData sheetId="8814">
        <row r="1">
          <cell r="J1">
            <v>1.7453292519943295E-2</v>
          </cell>
        </row>
      </sheetData>
      <sheetData sheetId="8815">
        <row r="1">
          <cell r="J1">
            <v>1.7453292519943295E-2</v>
          </cell>
        </row>
      </sheetData>
      <sheetData sheetId="8816">
        <row r="1">
          <cell r="J1">
            <v>1.7453292519943295E-2</v>
          </cell>
        </row>
      </sheetData>
      <sheetData sheetId="8817">
        <row r="1">
          <cell r="J1">
            <v>1.7453292519943295E-2</v>
          </cell>
        </row>
      </sheetData>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ow r="1">
          <cell r="J1">
            <v>1.7453292519943295E-2</v>
          </cell>
        </row>
      </sheetData>
      <sheetData sheetId="8835" refreshError="1"/>
      <sheetData sheetId="8836" refreshError="1"/>
      <sheetData sheetId="8837" refreshError="1"/>
      <sheetData sheetId="8838" refreshError="1"/>
      <sheetData sheetId="8839" refreshError="1"/>
      <sheetData sheetId="8840">
        <row r="1">
          <cell r="J1">
            <v>1.7453292519943295E-2</v>
          </cell>
        </row>
      </sheetData>
      <sheetData sheetId="8841">
        <row r="1">
          <cell r="J1">
            <v>1.7453292519943295E-2</v>
          </cell>
        </row>
      </sheetData>
      <sheetData sheetId="8842">
        <row r="2">
          <cell r="B2">
            <v>1</v>
          </cell>
        </row>
      </sheetData>
      <sheetData sheetId="8843" refreshError="1"/>
      <sheetData sheetId="8844" refreshError="1"/>
      <sheetData sheetId="8845" refreshError="1"/>
      <sheetData sheetId="8846">
        <row r="1">
          <cell r="J1">
            <v>1.7453292519943295E-2</v>
          </cell>
        </row>
      </sheetData>
      <sheetData sheetId="8847">
        <row r="1">
          <cell r="J1">
            <v>1.7453292519943295E-2</v>
          </cell>
        </row>
      </sheetData>
      <sheetData sheetId="8848" refreshError="1"/>
      <sheetData sheetId="8849" refreshError="1"/>
      <sheetData sheetId="8850" refreshError="1"/>
      <sheetData sheetId="8851" refreshError="1"/>
      <sheetData sheetId="8852">
        <row r="1">
          <cell r="J1">
            <v>1.7453292519943295E-2</v>
          </cell>
        </row>
      </sheetData>
      <sheetData sheetId="8853">
        <row r="1">
          <cell r="J1">
            <v>1.7453292519943295E-2</v>
          </cell>
        </row>
      </sheetData>
      <sheetData sheetId="8854" refreshError="1"/>
      <sheetData sheetId="8855" refreshError="1"/>
      <sheetData sheetId="8856">
        <row r="1">
          <cell r="J1">
            <v>1.7453292519943295E-2</v>
          </cell>
        </row>
      </sheetData>
      <sheetData sheetId="8857" refreshError="1"/>
      <sheetData sheetId="8858" refreshError="1"/>
      <sheetData sheetId="8859" refreshError="1"/>
      <sheetData sheetId="8860" refreshError="1"/>
      <sheetData sheetId="8861">
        <row r="1">
          <cell r="J1">
            <v>1.7453292519943295E-2</v>
          </cell>
        </row>
      </sheetData>
      <sheetData sheetId="8862">
        <row r="1">
          <cell r="J1">
            <v>1.7453292519943295E-2</v>
          </cell>
        </row>
      </sheetData>
      <sheetData sheetId="8863">
        <row r="1">
          <cell r="J1">
            <v>1.7453292519943295E-2</v>
          </cell>
        </row>
      </sheetData>
      <sheetData sheetId="8864" refreshError="1"/>
      <sheetData sheetId="8865" refreshError="1"/>
      <sheetData sheetId="8866" refreshError="1"/>
      <sheetData sheetId="8867" refreshError="1"/>
      <sheetData sheetId="8868" refreshError="1"/>
      <sheetData sheetId="8869">
        <row r="1">
          <cell r="J1">
            <v>1.7453292519943295E-2</v>
          </cell>
        </row>
      </sheetData>
      <sheetData sheetId="8870">
        <row r="1">
          <cell r="J1">
            <v>1.7453292519943295E-2</v>
          </cell>
        </row>
      </sheetData>
      <sheetData sheetId="8871" refreshError="1"/>
      <sheetData sheetId="8872">
        <row r="1">
          <cell r="J1">
            <v>1.7453292519943295E-2</v>
          </cell>
        </row>
      </sheetData>
      <sheetData sheetId="8873" refreshError="1"/>
      <sheetData sheetId="8874">
        <row r="1">
          <cell r="J1">
            <v>1.7453292519943295E-2</v>
          </cell>
        </row>
      </sheetData>
      <sheetData sheetId="8875">
        <row r="1">
          <cell r="J1">
            <v>1.7453292519943295E-2</v>
          </cell>
        </row>
      </sheetData>
      <sheetData sheetId="8876" refreshError="1"/>
      <sheetData sheetId="8877" refreshError="1"/>
      <sheetData sheetId="8878" refreshError="1"/>
      <sheetData sheetId="8879">
        <row r="1">
          <cell r="J1">
            <v>1.7453292519943295E-2</v>
          </cell>
        </row>
      </sheetData>
      <sheetData sheetId="8880">
        <row r="1">
          <cell r="J1">
            <v>1.7453292519943295E-2</v>
          </cell>
        </row>
      </sheetData>
      <sheetData sheetId="8881" refreshError="1"/>
      <sheetData sheetId="8882">
        <row r="1">
          <cell r="J1">
            <v>1.7453292519943295E-2</v>
          </cell>
        </row>
      </sheetData>
      <sheetData sheetId="8883" refreshError="1"/>
      <sheetData sheetId="8884" refreshError="1"/>
      <sheetData sheetId="8885">
        <row r="1">
          <cell r="J1">
            <v>1.7453292519943295E-2</v>
          </cell>
        </row>
      </sheetData>
      <sheetData sheetId="8886" refreshError="1"/>
      <sheetData sheetId="8887" refreshError="1"/>
      <sheetData sheetId="8888">
        <row r="1">
          <cell r="J1">
            <v>1.7453292519943295E-2</v>
          </cell>
        </row>
      </sheetData>
      <sheetData sheetId="8889">
        <row r="1">
          <cell r="J1">
            <v>1.7453292519943295E-2</v>
          </cell>
        </row>
      </sheetData>
      <sheetData sheetId="8890" refreshError="1"/>
      <sheetData sheetId="8891">
        <row r="1">
          <cell r="J1">
            <v>1.7453292519943295E-2</v>
          </cell>
        </row>
      </sheetData>
      <sheetData sheetId="8892" refreshError="1"/>
      <sheetData sheetId="8893">
        <row r="1">
          <cell r="J1">
            <v>1.7453292519943295E-2</v>
          </cell>
        </row>
      </sheetData>
      <sheetData sheetId="8894">
        <row r="1">
          <cell r="J1">
            <v>1.7453292519943295E-2</v>
          </cell>
        </row>
      </sheetData>
      <sheetData sheetId="8895" refreshError="1"/>
      <sheetData sheetId="8896" refreshError="1"/>
      <sheetData sheetId="8897" refreshError="1"/>
      <sheetData sheetId="8898">
        <row r="1">
          <cell r="J1">
            <v>1.7453292519943295E-2</v>
          </cell>
        </row>
      </sheetData>
      <sheetData sheetId="8899">
        <row r="1">
          <cell r="J1">
            <v>1.7453292519943295E-2</v>
          </cell>
        </row>
      </sheetData>
      <sheetData sheetId="8900" refreshError="1"/>
      <sheetData sheetId="8901">
        <row r="1">
          <cell r="J1">
            <v>1.7453292519943295E-2</v>
          </cell>
        </row>
      </sheetData>
      <sheetData sheetId="8902" refreshError="1"/>
      <sheetData sheetId="8903">
        <row r="1">
          <cell r="J1">
            <v>1.7453292519943295E-2</v>
          </cell>
        </row>
      </sheetData>
      <sheetData sheetId="8904">
        <row r="1">
          <cell r="J1">
            <v>1.7453292519943295E-2</v>
          </cell>
        </row>
      </sheetData>
      <sheetData sheetId="8905" refreshError="1"/>
      <sheetData sheetId="8906" refreshError="1"/>
      <sheetData sheetId="8907" refreshError="1"/>
      <sheetData sheetId="8908">
        <row r="1">
          <cell r="J1">
            <v>1.7453292519943295E-2</v>
          </cell>
        </row>
      </sheetData>
      <sheetData sheetId="8909">
        <row r="1">
          <cell r="J1">
            <v>1.7453292519943295E-2</v>
          </cell>
        </row>
      </sheetData>
      <sheetData sheetId="8910">
        <row r="1">
          <cell r="J1">
            <v>1.7453292519943295E-2</v>
          </cell>
        </row>
      </sheetData>
      <sheetData sheetId="8911" refreshError="1"/>
      <sheetData sheetId="8912" refreshError="1"/>
      <sheetData sheetId="8913">
        <row r="1">
          <cell r="J1">
            <v>1.7453292519943295E-2</v>
          </cell>
        </row>
      </sheetData>
      <sheetData sheetId="8914">
        <row r="1">
          <cell r="J1">
            <v>1.7453292519943295E-2</v>
          </cell>
        </row>
      </sheetData>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ow r="1">
          <cell r="J1">
            <v>1.7453292519943295E-2</v>
          </cell>
        </row>
      </sheetData>
      <sheetData sheetId="8933" refreshError="1"/>
      <sheetData sheetId="8934" refreshError="1"/>
      <sheetData sheetId="8935">
        <row r="1">
          <cell r="J1">
            <v>1.7453292519943295E-2</v>
          </cell>
        </row>
      </sheetData>
      <sheetData sheetId="8936">
        <row r="1">
          <cell r="J1">
            <v>1.7453292519943295E-2</v>
          </cell>
        </row>
      </sheetData>
      <sheetData sheetId="8937">
        <row r="1">
          <cell r="J1">
            <v>1.7453292519943295E-2</v>
          </cell>
        </row>
      </sheetData>
      <sheetData sheetId="8938" refreshError="1"/>
      <sheetData sheetId="8939" refreshError="1"/>
      <sheetData sheetId="8940" refreshError="1"/>
      <sheetData sheetId="8941" refreshError="1"/>
      <sheetData sheetId="8942" refreshError="1"/>
      <sheetData sheetId="8943" refreshError="1"/>
      <sheetData sheetId="8944" refreshError="1"/>
      <sheetData sheetId="8945">
        <row r="1">
          <cell r="J1">
            <v>1.7453292519943295E-2</v>
          </cell>
        </row>
      </sheetData>
      <sheetData sheetId="8946">
        <row r="1">
          <cell r="J1">
            <v>1.7453292519943295E-2</v>
          </cell>
        </row>
      </sheetData>
      <sheetData sheetId="8947" refreshError="1"/>
      <sheetData sheetId="8948" refreshError="1"/>
      <sheetData sheetId="8949" refreshError="1"/>
      <sheetData sheetId="8950" refreshError="1"/>
      <sheetData sheetId="8951" refreshError="1"/>
      <sheetData sheetId="8952">
        <row r="1">
          <cell r="J1">
            <v>1.7453292519943295E-2</v>
          </cell>
        </row>
      </sheetData>
      <sheetData sheetId="8953">
        <row r="1">
          <cell r="J1">
            <v>1.7453292519943295E-2</v>
          </cell>
        </row>
      </sheetData>
      <sheetData sheetId="8954">
        <row r="1">
          <cell r="J1">
            <v>1.7453292519943295E-2</v>
          </cell>
        </row>
      </sheetData>
      <sheetData sheetId="8955" refreshError="1"/>
      <sheetData sheetId="8956">
        <row r="1">
          <cell r="J1">
            <v>1.7453292519943295E-2</v>
          </cell>
        </row>
      </sheetData>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ow r="1">
          <cell r="J1">
            <v>1.7453292519943295E-2</v>
          </cell>
        </row>
      </sheetData>
      <sheetData sheetId="8978">
        <row r="1">
          <cell r="J1">
            <v>1.7453292519943295E-2</v>
          </cell>
        </row>
      </sheetData>
      <sheetData sheetId="8979">
        <row r="1">
          <cell r="J1">
            <v>1.7453292519943295E-2</v>
          </cell>
        </row>
      </sheetData>
      <sheetData sheetId="8980" refreshError="1"/>
      <sheetData sheetId="8981">
        <row r="1">
          <cell r="J1">
            <v>1.7453292519943295E-2</v>
          </cell>
        </row>
      </sheetData>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ow r="1">
          <cell r="J1">
            <v>1.7453292519943295E-2</v>
          </cell>
        </row>
      </sheetData>
      <sheetData sheetId="9003">
        <row r="1">
          <cell r="J1">
            <v>1.7453292519943295E-2</v>
          </cell>
        </row>
      </sheetData>
      <sheetData sheetId="9004">
        <row r="1">
          <cell r="J1">
            <v>1.7453292519943295E-2</v>
          </cell>
        </row>
      </sheetData>
      <sheetData sheetId="9005" refreshError="1"/>
      <sheetData sheetId="9006">
        <row r="1">
          <cell r="J1">
            <v>1.7453292519943295E-2</v>
          </cell>
        </row>
      </sheetData>
      <sheetData sheetId="9007" refreshError="1"/>
      <sheetData sheetId="9008" refreshError="1"/>
      <sheetData sheetId="9009" refreshError="1"/>
      <sheetData sheetId="9010">
        <row r="1">
          <cell r="J1">
            <v>1.7453292519943295E-2</v>
          </cell>
        </row>
      </sheetData>
      <sheetData sheetId="9011">
        <row r="1">
          <cell r="J1">
            <v>1.7453292519943295E-2</v>
          </cell>
        </row>
      </sheetData>
      <sheetData sheetId="9012" refreshError="1"/>
      <sheetData sheetId="9013">
        <row r="1">
          <cell r="J1">
            <v>1.7453292519943295E-2</v>
          </cell>
        </row>
      </sheetData>
      <sheetData sheetId="9014" refreshError="1"/>
      <sheetData sheetId="9015">
        <row r="1">
          <cell r="J1">
            <v>1.7453292519943295E-2</v>
          </cell>
        </row>
      </sheetData>
      <sheetData sheetId="9016">
        <row r="1">
          <cell r="J1">
            <v>1.7453292519943295E-2</v>
          </cell>
        </row>
      </sheetData>
      <sheetData sheetId="9017">
        <row r="1">
          <cell r="J1">
            <v>1.7453292519943295E-2</v>
          </cell>
        </row>
      </sheetData>
      <sheetData sheetId="9018" refreshError="1"/>
      <sheetData sheetId="9019" refreshError="1"/>
      <sheetData sheetId="9020" refreshError="1"/>
      <sheetData sheetId="9021" refreshError="1"/>
      <sheetData sheetId="9022" refreshError="1"/>
      <sheetData sheetId="9023">
        <row r="1">
          <cell r="J1">
            <v>1.7453292519943295E-2</v>
          </cell>
        </row>
      </sheetData>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sheetData sheetId="9070">
        <row r="1">
          <cell r="J1">
            <v>1.7453292519943295E-2</v>
          </cell>
        </row>
      </sheetData>
      <sheetData sheetId="9071" refreshError="1"/>
      <sheetData sheetId="9072"/>
      <sheetData sheetId="9073" refreshError="1"/>
      <sheetData sheetId="9074" refreshError="1"/>
      <sheetData sheetId="9075" refreshError="1"/>
      <sheetData sheetId="9076">
        <row r="1">
          <cell r="J1">
            <v>1.7453292519943295E-2</v>
          </cell>
        </row>
      </sheetData>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sheetData sheetId="9087"/>
      <sheetData sheetId="9088" refreshError="1"/>
      <sheetData sheetId="9089" refreshError="1"/>
      <sheetData sheetId="9090" refreshError="1"/>
      <sheetData sheetId="9091" refreshError="1"/>
      <sheetData sheetId="9092" refreshError="1"/>
      <sheetData sheetId="9093" refreshError="1"/>
      <sheetData sheetId="9094" refreshError="1"/>
      <sheetData sheetId="9095">
        <row r="1">
          <cell r="J1">
            <v>1.7453292519943295E-2</v>
          </cell>
        </row>
      </sheetData>
      <sheetData sheetId="9096"/>
      <sheetData sheetId="9097" refreshError="1"/>
      <sheetData sheetId="9098"/>
      <sheetData sheetId="9099" refreshError="1"/>
      <sheetData sheetId="9100" refreshError="1"/>
      <sheetData sheetId="9101"/>
      <sheetData sheetId="9102" refreshError="1"/>
      <sheetData sheetId="9103"/>
      <sheetData sheetId="9104"/>
      <sheetData sheetId="9105" refreshError="1"/>
      <sheetData sheetId="9106" refreshError="1"/>
      <sheetData sheetId="9107"/>
      <sheetData sheetId="9108"/>
      <sheetData sheetId="9109" refreshError="1"/>
      <sheetData sheetId="9110" refreshError="1"/>
      <sheetData sheetId="9111">
        <row r="1">
          <cell r="J1">
            <v>1.7453292519943295E-2</v>
          </cell>
        </row>
      </sheetData>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ow r="2">
          <cell r="B2">
            <v>1</v>
          </cell>
        </row>
      </sheetData>
      <sheetData sheetId="9418" refreshError="1"/>
      <sheetData sheetId="9419">
        <row r="1">
          <cell r="J1">
            <v>1.7453292519943295E-2</v>
          </cell>
        </row>
      </sheetData>
      <sheetData sheetId="9420" refreshError="1"/>
      <sheetData sheetId="9421">
        <row r="1">
          <cell r="J1">
            <v>1.7453292519943299E-2</v>
          </cell>
        </row>
      </sheetData>
      <sheetData sheetId="9422">
        <row r="1">
          <cell r="J1">
            <v>1.7453292519943295E-2</v>
          </cell>
        </row>
      </sheetData>
      <sheetData sheetId="9423" refreshError="1"/>
      <sheetData sheetId="9424" refreshError="1"/>
      <sheetData sheetId="9425" refreshError="1"/>
      <sheetData sheetId="9426"/>
      <sheetData sheetId="9427">
        <row r="1">
          <cell r="J1">
            <v>1.7453292519943295E-2</v>
          </cell>
        </row>
      </sheetData>
      <sheetData sheetId="9428">
        <row r="1">
          <cell r="J1">
            <v>1.7453292519943295E-2</v>
          </cell>
        </row>
      </sheetData>
      <sheetData sheetId="9429" refreshError="1"/>
      <sheetData sheetId="9430" refreshError="1"/>
      <sheetData sheetId="9431" refreshError="1"/>
      <sheetData sheetId="9432"/>
      <sheetData sheetId="9433"/>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ow r="1">
          <cell r="J1">
            <v>1.7453292519943295E-2</v>
          </cell>
        </row>
      </sheetData>
      <sheetData sheetId="9448">
        <row r="1">
          <cell r="J1">
            <v>1.7453292519943295E-2</v>
          </cell>
        </row>
      </sheetData>
      <sheetData sheetId="9449">
        <row r="1">
          <cell r="J1">
            <v>1.7453292519943295E-2</v>
          </cell>
        </row>
      </sheetData>
      <sheetData sheetId="9450">
        <row r="1">
          <cell r="J1">
            <v>1.7453292519943295E-2</v>
          </cell>
        </row>
      </sheetData>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ow r="1">
          <cell r="J1">
            <v>1.7453292519943295E-2</v>
          </cell>
        </row>
      </sheetData>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ow r="1">
          <cell r="J1">
            <v>1.7453292519943295E-2</v>
          </cell>
        </row>
      </sheetData>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ow r="1">
          <cell r="J1">
            <v>1.7453292519943295E-2</v>
          </cell>
        </row>
      </sheetData>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ow r="1">
          <cell r="J1">
            <v>1.7453292519943295E-2</v>
          </cell>
        </row>
      </sheetData>
      <sheetData sheetId="9528">
        <row r="1">
          <cell r="J1">
            <v>1.7453292519943295E-2</v>
          </cell>
        </row>
      </sheetData>
      <sheetData sheetId="9529">
        <row r="1">
          <cell r="J1">
            <v>1.7453292519943295E-2</v>
          </cell>
        </row>
      </sheetData>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ow r="1">
          <cell r="J1">
            <v>1.7453292519943295E-2</v>
          </cell>
        </row>
      </sheetData>
      <sheetData sheetId="9552">
        <row r="1">
          <cell r="J1">
            <v>1.7453292519943295E-2</v>
          </cell>
        </row>
      </sheetData>
      <sheetData sheetId="9553">
        <row r="1">
          <cell r="J1">
            <v>1.7453292519943295E-2</v>
          </cell>
        </row>
      </sheetData>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ow r="1">
          <cell r="J1">
            <v>1.7453292519943295E-2</v>
          </cell>
        </row>
      </sheetData>
      <sheetData sheetId="9563">
        <row r="1">
          <cell r="J1">
            <v>1.7453292519943295E-2</v>
          </cell>
        </row>
      </sheetData>
      <sheetData sheetId="9564">
        <row r="1">
          <cell r="J1">
            <v>1.7453292519943295E-2</v>
          </cell>
        </row>
      </sheetData>
      <sheetData sheetId="9565">
        <row r="1">
          <cell r="J1">
            <v>1.7453292519943295E-2</v>
          </cell>
        </row>
      </sheetData>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ow r="1">
          <cell r="J1">
            <v>1.7453292519943295E-2</v>
          </cell>
        </row>
      </sheetData>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ow r="1">
          <cell r="J1">
            <v>1.7453292519943295E-2</v>
          </cell>
        </row>
      </sheetData>
      <sheetData sheetId="9633">
        <row r="1">
          <cell r="J1">
            <v>1.7453292519943295E-2</v>
          </cell>
        </row>
      </sheetData>
      <sheetData sheetId="9634">
        <row r="1">
          <cell r="J1">
            <v>1.7453292519943295E-2</v>
          </cell>
        </row>
      </sheetData>
      <sheetData sheetId="9635" refreshError="1"/>
      <sheetData sheetId="9636">
        <row r="1">
          <cell r="J1">
            <v>1.7453292519943295E-2</v>
          </cell>
        </row>
      </sheetData>
      <sheetData sheetId="9637" refreshError="1"/>
      <sheetData sheetId="9638" refreshError="1"/>
      <sheetData sheetId="9639" refreshError="1"/>
      <sheetData sheetId="9640">
        <row r="1">
          <cell r="J1">
            <v>1.7453292519943295E-2</v>
          </cell>
        </row>
      </sheetData>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ow r="1">
          <cell r="J1">
            <v>1.7453292519943295E-2</v>
          </cell>
        </row>
      </sheetData>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ow r="1">
          <cell r="J1">
            <v>1.7453292519943295E-2</v>
          </cell>
        </row>
      </sheetData>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ow r="1">
          <cell r="J1">
            <v>1.7453292519943295E-2</v>
          </cell>
        </row>
      </sheetData>
      <sheetData sheetId="9690">
        <row r="1">
          <cell r="J1">
            <v>1.7453292519943295E-2</v>
          </cell>
        </row>
      </sheetData>
      <sheetData sheetId="9691">
        <row r="1">
          <cell r="J1">
            <v>1.7453292519943295E-2</v>
          </cell>
        </row>
      </sheetData>
      <sheetData sheetId="9692" refreshError="1"/>
      <sheetData sheetId="9693" refreshError="1"/>
      <sheetData sheetId="9694" refreshError="1"/>
      <sheetData sheetId="9695" refreshError="1"/>
      <sheetData sheetId="9696" refreshError="1"/>
      <sheetData sheetId="9697">
        <row r="1">
          <cell r="J1">
            <v>1.7453292519943295E-2</v>
          </cell>
        </row>
      </sheetData>
      <sheetData sheetId="9698">
        <row r="1">
          <cell r="J1">
            <v>1.7453292519943295E-2</v>
          </cell>
        </row>
      </sheetData>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ow r="1">
          <cell r="J1">
            <v>1.7453292519943295E-2</v>
          </cell>
        </row>
      </sheetData>
      <sheetData sheetId="9713">
        <row r="1">
          <cell r="J1">
            <v>1.7453292519943295E-2</v>
          </cell>
        </row>
      </sheetData>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ow r="1">
          <cell r="J1">
            <v>1.7453292519943295E-2</v>
          </cell>
        </row>
      </sheetData>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ow r="1">
          <cell r="J1">
            <v>1.7453292519943295E-2</v>
          </cell>
        </row>
      </sheetData>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ow r="1">
          <cell r="J1">
            <v>1.7453292519943295E-2</v>
          </cell>
        </row>
      </sheetData>
      <sheetData sheetId="9781">
        <row r="1">
          <cell r="J1">
            <v>1.7453292519943295E-2</v>
          </cell>
        </row>
      </sheetData>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ow r="1">
          <cell r="J1">
            <v>1.7453292519943295E-2</v>
          </cell>
        </row>
      </sheetData>
      <sheetData sheetId="9809">
        <row r="1">
          <cell r="J1">
            <v>1.7453292519943295E-2</v>
          </cell>
        </row>
      </sheetData>
      <sheetData sheetId="9810">
        <row r="1">
          <cell r="J1">
            <v>1.7453292519943295E-2</v>
          </cell>
        </row>
      </sheetData>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ow r="1">
          <cell r="J1">
            <v>1.7453292519943295E-2</v>
          </cell>
        </row>
      </sheetData>
      <sheetData sheetId="9823" refreshError="1"/>
      <sheetData sheetId="9824" refreshError="1"/>
      <sheetData sheetId="9825">
        <row r="1">
          <cell r="J1">
            <v>1.7453292519943295E-2</v>
          </cell>
        </row>
      </sheetData>
      <sheetData sheetId="9826">
        <row r="1">
          <cell r="J1">
            <v>1.7453292519943295E-2</v>
          </cell>
        </row>
      </sheetData>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ow r="1">
          <cell r="J1">
            <v>1.7453292519943295E-2</v>
          </cell>
        </row>
      </sheetData>
      <sheetData sheetId="9836">
        <row r="1">
          <cell r="J1">
            <v>1.7453292519943295E-2</v>
          </cell>
        </row>
      </sheetData>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ow r="1">
          <cell r="J1">
            <v>1.7453292519943295E-2</v>
          </cell>
        </row>
      </sheetData>
      <sheetData sheetId="10043">
        <row r="1">
          <cell r="J1">
            <v>1.7453292519943295E-2</v>
          </cell>
        </row>
      </sheetData>
      <sheetData sheetId="10044">
        <row r="1">
          <cell r="J1">
            <v>1.7453292519943295E-2</v>
          </cell>
        </row>
      </sheetData>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ow r="1">
          <cell r="J1">
            <v>1.7453292519943295E-2</v>
          </cell>
        </row>
      </sheetData>
      <sheetData sheetId="10241">
        <row r="1">
          <cell r="J1">
            <v>1.7453292519943295E-2</v>
          </cell>
        </row>
      </sheetData>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ow r="1">
          <cell r="J1">
            <v>1.7453292519943295E-2</v>
          </cell>
        </row>
      </sheetData>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ow r="1">
          <cell r="J1">
            <v>1.7453292519943295E-2</v>
          </cell>
        </row>
      </sheetData>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ow r="1">
          <cell r="J1">
            <v>1.7453292519943295E-2</v>
          </cell>
        </row>
      </sheetData>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ow r="1">
          <cell r="J1">
            <v>1.7453292519943295E-2</v>
          </cell>
        </row>
      </sheetData>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ow r="1">
          <cell r="J1">
            <v>1.7453292519943295E-2</v>
          </cell>
        </row>
      </sheetData>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ow r="1">
          <cell r="J1">
            <v>1.7453292519943295E-2</v>
          </cell>
        </row>
      </sheetData>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ow r="1">
          <cell r="J1">
            <v>1.7453292519943295E-2</v>
          </cell>
        </row>
      </sheetData>
      <sheetData sheetId="10502">
        <row r="1">
          <cell r="J1">
            <v>1.7453292519943295E-2</v>
          </cell>
        </row>
      </sheetData>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ow r="1">
          <cell r="J1">
            <v>1.7453292519943295E-2</v>
          </cell>
        </row>
      </sheetData>
      <sheetData sheetId="10533" refreshError="1"/>
      <sheetData sheetId="10534">
        <row r="1">
          <cell r="J1">
            <v>1.7453292519943295E-2</v>
          </cell>
        </row>
      </sheetData>
      <sheetData sheetId="10535" refreshError="1"/>
      <sheetData sheetId="10536" refreshError="1"/>
      <sheetData sheetId="10537" refreshError="1"/>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efreshError="1"/>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ow r="1">
          <cell r="J1">
            <v>1.7453292519943295E-2</v>
          </cell>
        </row>
      </sheetData>
      <sheetData sheetId="10577" refreshError="1"/>
      <sheetData sheetId="10578" refreshError="1"/>
      <sheetData sheetId="10579" refreshError="1"/>
      <sheetData sheetId="10580" refreshError="1"/>
      <sheetData sheetId="10581" refreshError="1"/>
      <sheetData sheetId="10582" refreshError="1"/>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efreshError="1"/>
      <sheetData sheetId="10596">
        <row r="1">
          <cell r="J1">
            <v>1.7453292519943295E-2</v>
          </cell>
        </row>
      </sheetData>
      <sheetData sheetId="10597">
        <row r="1">
          <cell r="J1">
            <v>1.7453292519943295E-2</v>
          </cell>
        </row>
      </sheetData>
      <sheetData sheetId="10598" refreshError="1"/>
      <sheetData sheetId="10599" refreshError="1"/>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ow r="1">
          <cell r="J1">
            <v>1.7453292519943295E-2</v>
          </cell>
        </row>
      </sheetData>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refreshError="1"/>
      <sheetData sheetId="10633" refreshError="1"/>
      <sheetData sheetId="10634" refreshError="1"/>
      <sheetData sheetId="10635" refreshError="1"/>
      <sheetData sheetId="10636" refreshError="1"/>
      <sheetData sheetId="10637" refreshError="1"/>
      <sheetData sheetId="10638" refreshError="1"/>
      <sheetData sheetId="10639" refreshError="1"/>
      <sheetData sheetId="10640" refreshError="1"/>
      <sheetData sheetId="10641">
        <row r="1">
          <cell r="J1">
            <v>1.7453292519943295E-2</v>
          </cell>
        </row>
      </sheetData>
      <sheetData sheetId="10642">
        <row r="1">
          <cell r="J1">
            <v>1.7453292519943295E-2</v>
          </cell>
        </row>
      </sheetData>
      <sheetData sheetId="10643" refreshError="1"/>
      <sheetData sheetId="10644" refreshError="1"/>
      <sheetData sheetId="10645" refreshError="1"/>
      <sheetData sheetId="10646" refreshError="1"/>
      <sheetData sheetId="10647" refreshError="1"/>
      <sheetData sheetId="10648" refreshError="1"/>
      <sheetData sheetId="10649">
        <row r="1">
          <cell r="J1">
            <v>1.7453292519943295E-2</v>
          </cell>
        </row>
      </sheetData>
      <sheetData sheetId="10650">
        <row r="1">
          <cell r="J1">
            <v>1.7453292519943295E-2</v>
          </cell>
        </row>
      </sheetData>
      <sheetData sheetId="10651" refreshError="1"/>
      <sheetData sheetId="10652" refreshError="1"/>
      <sheetData sheetId="10653" refreshError="1"/>
      <sheetData sheetId="10654">
        <row r="1">
          <cell r="J1">
            <v>1.7453292519943295E-2</v>
          </cell>
        </row>
      </sheetData>
      <sheetData sheetId="10655">
        <row r="1">
          <cell r="J1">
            <v>1.7453292519943295E-2</v>
          </cell>
        </row>
      </sheetData>
      <sheetData sheetId="10656" refreshError="1"/>
      <sheetData sheetId="10657" refreshError="1"/>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refreshError="1"/>
      <sheetData sheetId="10669" refreshError="1"/>
      <sheetData sheetId="10670" refreshError="1"/>
      <sheetData sheetId="10671" refreshError="1"/>
      <sheetData sheetId="10672" refreshError="1"/>
      <sheetData sheetId="10673" refreshError="1"/>
      <sheetData sheetId="10674" refreshError="1"/>
      <sheetData sheetId="10675" refreshError="1"/>
      <sheetData sheetId="10676" refreshError="1"/>
      <sheetData sheetId="10677" refreshError="1"/>
      <sheetData sheetId="10678" refreshError="1"/>
      <sheetData sheetId="10679" refreshError="1"/>
      <sheetData sheetId="10680" refreshError="1"/>
      <sheetData sheetId="10681" refreshError="1"/>
      <sheetData sheetId="10682" refreshError="1"/>
      <sheetData sheetId="10683" refreshError="1"/>
      <sheetData sheetId="10684" refreshError="1"/>
      <sheetData sheetId="10685" refreshError="1"/>
      <sheetData sheetId="10686" refreshError="1"/>
      <sheetData sheetId="10687" refreshError="1"/>
      <sheetData sheetId="10688" refreshError="1"/>
      <sheetData sheetId="10689" refreshError="1"/>
      <sheetData sheetId="10690" refreshError="1"/>
      <sheetData sheetId="10691" refreshError="1"/>
      <sheetData sheetId="10692" refreshError="1"/>
      <sheetData sheetId="10693" refreshError="1"/>
      <sheetData sheetId="10694" refreshError="1"/>
      <sheetData sheetId="10695" refreshError="1"/>
      <sheetData sheetId="10696" refreshError="1"/>
      <sheetData sheetId="10697" refreshError="1"/>
      <sheetData sheetId="10698" refreshError="1"/>
      <sheetData sheetId="10699" refreshError="1"/>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refreshError="1"/>
      <sheetData sheetId="10708" refreshError="1"/>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refreshError="1"/>
      <sheetData sheetId="10718" refreshError="1"/>
      <sheetData sheetId="10719" refreshError="1"/>
      <sheetData sheetId="10720" refreshError="1"/>
      <sheetData sheetId="10721" refreshError="1"/>
      <sheetData sheetId="10722" refreshError="1"/>
      <sheetData sheetId="10723" refreshError="1"/>
      <sheetData sheetId="10724" refreshError="1"/>
      <sheetData sheetId="10725" refreshError="1"/>
      <sheetData sheetId="10726" refreshError="1"/>
      <sheetData sheetId="10727" refreshError="1"/>
      <sheetData sheetId="10728" refreshError="1"/>
      <sheetData sheetId="10729" refreshError="1"/>
      <sheetData sheetId="10730" refreshError="1"/>
      <sheetData sheetId="10731" refreshError="1"/>
      <sheetData sheetId="10732" refreshError="1"/>
      <sheetData sheetId="10733" refreshError="1"/>
      <sheetData sheetId="10734" refreshError="1"/>
      <sheetData sheetId="10735" refreshError="1"/>
      <sheetData sheetId="10736" refreshError="1"/>
      <sheetData sheetId="10737" refreshError="1"/>
      <sheetData sheetId="10738" refreshError="1"/>
      <sheetData sheetId="10739" refreshError="1"/>
      <sheetData sheetId="10740">
        <row r="1">
          <cell r="J1">
            <v>1.7453292519943295E-2</v>
          </cell>
        </row>
      </sheetData>
      <sheetData sheetId="10741">
        <row r="1">
          <cell r="J1">
            <v>1.7453292519943295E-2</v>
          </cell>
        </row>
      </sheetData>
      <sheetData sheetId="10742">
        <row r="1">
          <cell r="J1">
            <v>1.7453292519943295E-2</v>
          </cell>
        </row>
      </sheetData>
      <sheetData sheetId="10743" refreshError="1"/>
      <sheetData sheetId="10744" refreshError="1"/>
      <sheetData sheetId="10745" refreshError="1"/>
      <sheetData sheetId="10746" refreshError="1"/>
      <sheetData sheetId="10747" refreshError="1"/>
      <sheetData sheetId="10748">
        <row r="1">
          <cell r="J1">
            <v>1.7453292519943295E-2</v>
          </cell>
        </row>
      </sheetData>
      <sheetData sheetId="10749">
        <row r="1">
          <cell r="J1">
            <v>1.7453292519943295E-2</v>
          </cell>
        </row>
      </sheetData>
      <sheetData sheetId="10750">
        <row r="1">
          <cell r="J1">
            <v>1.7453292519943295E-2</v>
          </cell>
        </row>
      </sheetData>
      <sheetData sheetId="10751">
        <row r="1">
          <cell r="J1">
            <v>1.7453292519943295E-2</v>
          </cell>
        </row>
      </sheetData>
      <sheetData sheetId="10752" refreshError="1"/>
      <sheetData sheetId="10753" refreshError="1"/>
      <sheetData sheetId="10754">
        <row r="1">
          <cell r="J1">
            <v>1.7453292519943295E-2</v>
          </cell>
        </row>
      </sheetData>
      <sheetData sheetId="10755" refreshError="1"/>
      <sheetData sheetId="10756">
        <row r="1">
          <cell r="J1">
            <v>1.7453292519943295E-2</v>
          </cell>
        </row>
      </sheetData>
      <sheetData sheetId="10757"/>
      <sheetData sheetId="10758" refreshError="1"/>
      <sheetData sheetId="10759">
        <row r="1">
          <cell r="J1">
            <v>1.7453292519943295E-2</v>
          </cell>
        </row>
      </sheetData>
      <sheetData sheetId="10760" refreshError="1"/>
      <sheetData sheetId="10761" refreshError="1"/>
      <sheetData sheetId="10762" refreshError="1"/>
      <sheetData sheetId="10763" refreshError="1"/>
      <sheetData sheetId="10764" refreshError="1"/>
      <sheetData sheetId="10765" refreshError="1"/>
      <sheetData sheetId="10766" refreshError="1"/>
      <sheetData sheetId="10767" refreshError="1"/>
      <sheetData sheetId="10768" refreshError="1"/>
      <sheetData sheetId="10769" refreshError="1"/>
      <sheetData sheetId="10770" refreshError="1"/>
      <sheetData sheetId="10771" refreshError="1"/>
      <sheetData sheetId="10772" refreshError="1"/>
      <sheetData sheetId="10773" refreshError="1"/>
      <sheetData sheetId="10774" refreshError="1"/>
      <sheetData sheetId="10775" refreshError="1"/>
      <sheetData sheetId="10776" refreshError="1"/>
      <sheetData sheetId="10777" refreshError="1"/>
      <sheetData sheetId="10778" refreshError="1"/>
      <sheetData sheetId="10779" refreshError="1"/>
      <sheetData sheetId="10780" refreshError="1"/>
      <sheetData sheetId="10781" refreshError="1"/>
      <sheetData sheetId="10782" refreshError="1"/>
      <sheetData sheetId="10783" refreshError="1"/>
      <sheetData sheetId="10784" refreshError="1"/>
      <sheetData sheetId="10785" refreshError="1"/>
      <sheetData sheetId="10786" refreshError="1"/>
      <sheetData sheetId="10787" refreshError="1"/>
      <sheetData sheetId="10788" refreshError="1"/>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efreshError="1"/>
      <sheetData sheetId="10797" refreshError="1"/>
      <sheetData sheetId="10798" refreshError="1"/>
      <sheetData sheetId="10799" refreshError="1"/>
      <sheetData sheetId="10800" refreshError="1"/>
      <sheetData sheetId="10801" refreshError="1"/>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refreshError="1"/>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ow r="1">
          <cell r="J1">
            <v>1.7453292519943295E-2</v>
          </cell>
        </row>
      </sheetData>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refreshError="1"/>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ow r="1">
          <cell r="J1">
            <v>1.7453292519943295E-2</v>
          </cell>
        </row>
      </sheetData>
      <sheetData sheetId="11086">
        <row r="1">
          <cell r="J1">
            <v>1.7453292519943295E-2</v>
          </cell>
        </row>
      </sheetData>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refreshError="1"/>
      <sheetData sheetId="11325" refreshError="1"/>
      <sheetData sheetId="11326" refreshError="1"/>
      <sheetData sheetId="11327" refreshError="1"/>
      <sheetData sheetId="11328" refreshError="1"/>
      <sheetData sheetId="11329" refreshError="1"/>
      <sheetData sheetId="11330" refreshError="1"/>
      <sheetData sheetId="11331" refreshError="1"/>
      <sheetData sheetId="11332" refreshError="1"/>
      <sheetData sheetId="11333" refreshError="1"/>
      <sheetData sheetId="11334" refreshError="1"/>
      <sheetData sheetId="11335" refreshError="1"/>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refreshError="1"/>
      <sheetData sheetId="11347" refreshError="1"/>
      <sheetData sheetId="11348" refreshError="1"/>
      <sheetData sheetId="11349" refreshError="1"/>
      <sheetData sheetId="11350" refreshError="1"/>
      <sheetData sheetId="11351" refreshError="1"/>
      <sheetData sheetId="11352" refreshError="1"/>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refreshError="1"/>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efreshError="1"/>
      <sheetData sheetId="11392" refreshError="1"/>
      <sheetData sheetId="11393" refreshError="1"/>
      <sheetData sheetId="11394" refreshError="1"/>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efreshError="1"/>
      <sheetData sheetId="11404" refreshError="1"/>
      <sheetData sheetId="11405" refreshError="1"/>
      <sheetData sheetId="11406" refreshError="1"/>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refreshError="1"/>
      <sheetData sheetId="11629" refreshError="1"/>
      <sheetData sheetId="11630" refreshError="1"/>
      <sheetData sheetId="11631" refreshError="1"/>
      <sheetData sheetId="11632" refreshError="1"/>
      <sheetData sheetId="11633" refreshError="1"/>
      <sheetData sheetId="11634" refreshError="1"/>
      <sheetData sheetId="11635" refreshError="1"/>
      <sheetData sheetId="11636" refreshError="1"/>
      <sheetData sheetId="11637" refreshError="1"/>
      <sheetData sheetId="11638" refreshError="1"/>
      <sheetData sheetId="11639" refreshError="1"/>
      <sheetData sheetId="11640" refreshError="1"/>
      <sheetData sheetId="11641" refreshError="1"/>
      <sheetData sheetId="11642" refreshError="1"/>
      <sheetData sheetId="11643" refreshError="1"/>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 sheetId="11652" refreshError="1"/>
      <sheetData sheetId="11653" refreshError="1"/>
      <sheetData sheetId="11654" refreshError="1"/>
      <sheetData sheetId="11655" refreshError="1"/>
      <sheetData sheetId="11656" refreshError="1"/>
      <sheetData sheetId="11657" refreshError="1"/>
      <sheetData sheetId="11658" refreshError="1"/>
      <sheetData sheetId="11659" refreshError="1"/>
      <sheetData sheetId="11660" refreshError="1"/>
      <sheetData sheetId="11661" refreshError="1"/>
      <sheetData sheetId="11662" refreshError="1"/>
      <sheetData sheetId="11663" refreshError="1"/>
      <sheetData sheetId="11664" refreshError="1"/>
      <sheetData sheetId="11665" refreshError="1"/>
      <sheetData sheetId="11666" refreshError="1"/>
      <sheetData sheetId="11667" refreshError="1"/>
      <sheetData sheetId="11668" refreshError="1"/>
      <sheetData sheetId="11669" refreshError="1"/>
      <sheetData sheetId="11670" refreshError="1"/>
      <sheetData sheetId="11671" refreshError="1"/>
      <sheetData sheetId="11672" refreshError="1"/>
      <sheetData sheetId="11673" refreshError="1"/>
      <sheetData sheetId="11674" refreshError="1"/>
      <sheetData sheetId="11675" refreshError="1"/>
      <sheetData sheetId="11676" refreshError="1"/>
      <sheetData sheetId="11677" refreshError="1"/>
      <sheetData sheetId="11678" refreshError="1"/>
      <sheetData sheetId="11679" refreshError="1"/>
      <sheetData sheetId="11680" refreshError="1"/>
      <sheetData sheetId="11681" refreshError="1"/>
      <sheetData sheetId="11682" refreshError="1"/>
      <sheetData sheetId="11683" refreshError="1"/>
      <sheetData sheetId="11684" refreshError="1"/>
      <sheetData sheetId="11685" refreshError="1"/>
      <sheetData sheetId="11686" refreshError="1"/>
      <sheetData sheetId="11687" refreshError="1"/>
      <sheetData sheetId="11688" refreshError="1"/>
      <sheetData sheetId="11689" refreshError="1"/>
      <sheetData sheetId="11690" refreshError="1"/>
      <sheetData sheetId="11691" refreshError="1"/>
      <sheetData sheetId="11692" refreshError="1"/>
      <sheetData sheetId="11693" refreshError="1"/>
      <sheetData sheetId="11694" refreshError="1"/>
      <sheetData sheetId="11695" refreshError="1"/>
      <sheetData sheetId="11696" refreshError="1"/>
      <sheetData sheetId="11697" refreshError="1"/>
      <sheetData sheetId="11698" refreshError="1"/>
      <sheetData sheetId="11699" refreshError="1"/>
      <sheetData sheetId="11700" refreshError="1"/>
      <sheetData sheetId="11701" refreshError="1"/>
      <sheetData sheetId="11702" refreshError="1"/>
      <sheetData sheetId="11703" refreshError="1"/>
      <sheetData sheetId="11704" refreshError="1"/>
      <sheetData sheetId="11705" refreshError="1"/>
      <sheetData sheetId="11706" refreshError="1"/>
      <sheetData sheetId="11707" refreshError="1"/>
      <sheetData sheetId="11708" refreshError="1"/>
      <sheetData sheetId="11709" refreshError="1"/>
      <sheetData sheetId="11710" refreshError="1"/>
      <sheetData sheetId="11711" refreshError="1"/>
      <sheetData sheetId="11712" refreshError="1"/>
      <sheetData sheetId="11713" refreshError="1"/>
      <sheetData sheetId="11714" refreshError="1"/>
      <sheetData sheetId="11715" refreshError="1"/>
      <sheetData sheetId="11716" refreshError="1"/>
      <sheetData sheetId="11717" refreshError="1"/>
      <sheetData sheetId="11718" refreshError="1"/>
      <sheetData sheetId="11719" refreshError="1"/>
      <sheetData sheetId="11720" refreshError="1"/>
      <sheetData sheetId="11721" refreshError="1"/>
      <sheetData sheetId="11722" refreshError="1"/>
      <sheetData sheetId="11723" refreshError="1"/>
      <sheetData sheetId="11724" refreshError="1"/>
      <sheetData sheetId="11725" refreshError="1"/>
      <sheetData sheetId="11726" refreshError="1"/>
      <sheetData sheetId="11727" refreshError="1"/>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efreshError="1"/>
      <sheetData sheetId="11736" refreshError="1"/>
      <sheetData sheetId="11737" refreshError="1"/>
      <sheetData sheetId="11738" refreshError="1"/>
      <sheetData sheetId="11739" refreshError="1"/>
      <sheetData sheetId="11740" refreshError="1"/>
      <sheetData sheetId="11741" refreshError="1"/>
      <sheetData sheetId="11742" refreshError="1"/>
      <sheetData sheetId="11743" refreshError="1"/>
      <sheetData sheetId="11744" refreshError="1"/>
      <sheetData sheetId="11745" refreshError="1"/>
      <sheetData sheetId="11746" refreshError="1"/>
      <sheetData sheetId="11747" refreshError="1"/>
      <sheetData sheetId="11748" refreshError="1"/>
      <sheetData sheetId="11749" refreshError="1"/>
      <sheetData sheetId="11750" refreshError="1"/>
      <sheetData sheetId="11751" refreshError="1"/>
      <sheetData sheetId="11752" refreshError="1"/>
      <sheetData sheetId="11753" refreshError="1"/>
      <sheetData sheetId="11754" refreshError="1"/>
      <sheetData sheetId="11755" refreshError="1"/>
      <sheetData sheetId="11756" refreshError="1"/>
      <sheetData sheetId="11757" refreshError="1"/>
      <sheetData sheetId="11758" refreshError="1"/>
      <sheetData sheetId="11759" refreshError="1"/>
      <sheetData sheetId="11760" refreshError="1"/>
      <sheetData sheetId="11761" refreshError="1"/>
      <sheetData sheetId="11762" refreshError="1"/>
      <sheetData sheetId="11763" refreshError="1"/>
      <sheetData sheetId="11764" refreshError="1"/>
      <sheetData sheetId="11765" refreshError="1"/>
      <sheetData sheetId="11766" refreshError="1"/>
      <sheetData sheetId="11767" refreshError="1"/>
      <sheetData sheetId="11768" refreshError="1"/>
      <sheetData sheetId="11769" refreshError="1"/>
      <sheetData sheetId="11770" refreshError="1"/>
      <sheetData sheetId="11771" refreshError="1"/>
      <sheetData sheetId="11772" refreshError="1"/>
      <sheetData sheetId="11773" refreshError="1"/>
      <sheetData sheetId="11774" refreshError="1"/>
      <sheetData sheetId="11775" refreshError="1"/>
      <sheetData sheetId="11776" refreshError="1"/>
      <sheetData sheetId="11777" refreshError="1"/>
      <sheetData sheetId="11778" refreshError="1"/>
      <sheetData sheetId="11779" refreshError="1"/>
      <sheetData sheetId="11780" refreshError="1"/>
      <sheetData sheetId="11781" refreshError="1"/>
      <sheetData sheetId="11782" refreshError="1"/>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efreshError="1"/>
      <sheetData sheetId="11818" refreshError="1"/>
      <sheetData sheetId="11819" refreshError="1"/>
      <sheetData sheetId="11820" refreshError="1"/>
      <sheetData sheetId="11821" refreshError="1"/>
      <sheetData sheetId="11822" refreshError="1"/>
      <sheetData sheetId="11823" refreshError="1"/>
      <sheetData sheetId="11824" refreshError="1"/>
      <sheetData sheetId="11825" refreshError="1"/>
      <sheetData sheetId="11826" refreshError="1"/>
      <sheetData sheetId="11827" refreshError="1"/>
      <sheetData sheetId="11828" refreshError="1"/>
      <sheetData sheetId="11829" refreshError="1"/>
      <sheetData sheetId="11830" refreshError="1"/>
      <sheetData sheetId="11831" refreshError="1"/>
      <sheetData sheetId="11832" refreshError="1"/>
      <sheetData sheetId="11833" refreshError="1"/>
      <sheetData sheetId="11834" refreshError="1"/>
      <sheetData sheetId="11835" refreshError="1"/>
      <sheetData sheetId="11836" refreshError="1"/>
      <sheetData sheetId="11837" refreshError="1"/>
      <sheetData sheetId="11838" refreshError="1"/>
      <sheetData sheetId="11839" refreshError="1"/>
      <sheetData sheetId="11840" refreshError="1"/>
      <sheetData sheetId="11841" refreshError="1"/>
      <sheetData sheetId="11842" refreshError="1"/>
      <sheetData sheetId="11843" refreshError="1"/>
      <sheetData sheetId="11844" refreshError="1"/>
      <sheetData sheetId="11845" refreshError="1"/>
      <sheetData sheetId="11846" refreshError="1"/>
      <sheetData sheetId="11847" refreshError="1"/>
      <sheetData sheetId="11848" refreshError="1"/>
      <sheetData sheetId="11849" refreshError="1"/>
      <sheetData sheetId="11850" refreshError="1"/>
      <sheetData sheetId="11851" refreshError="1"/>
      <sheetData sheetId="11852" refreshError="1"/>
      <sheetData sheetId="11853" refreshError="1"/>
      <sheetData sheetId="11854" refreshError="1"/>
      <sheetData sheetId="11855" refreshError="1"/>
      <sheetData sheetId="11856" refreshError="1"/>
      <sheetData sheetId="11857" refreshError="1"/>
      <sheetData sheetId="11858" refreshError="1"/>
      <sheetData sheetId="11859" refreshError="1"/>
      <sheetData sheetId="11860" refreshError="1"/>
      <sheetData sheetId="11861" refreshError="1"/>
      <sheetData sheetId="11862" refreshError="1"/>
      <sheetData sheetId="11863" refreshError="1"/>
      <sheetData sheetId="11864" refreshError="1"/>
      <sheetData sheetId="11865" refreshError="1"/>
      <sheetData sheetId="11866" refreshError="1"/>
      <sheetData sheetId="11867" refreshError="1"/>
      <sheetData sheetId="11868" refreshError="1"/>
      <sheetData sheetId="11869" refreshError="1"/>
      <sheetData sheetId="11870" refreshError="1"/>
      <sheetData sheetId="11871" refreshError="1"/>
      <sheetData sheetId="11872" refreshError="1"/>
      <sheetData sheetId="11873" refreshError="1"/>
      <sheetData sheetId="11874" refreshError="1"/>
      <sheetData sheetId="11875" refreshError="1"/>
      <sheetData sheetId="11876" refreshError="1"/>
      <sheetData sheetId="11877" refreshError="1"/>
      <sheetData sheetId="11878" refreshError="1"/>
      <sheetData sheetId="11879" refreshError="1"/>
      <sheetData sheetId="11880" refreshError="1"/>
      <sheetData sheetId="11881" refreshError="1"/>
      <sheetData sheetId="11882" refreshError="1"/>
      <sheetData sheetId="11883" refreshError="1"/>
      <sheetData sheetId="11884" refreshError="1"/>
      <sheetData sheetId="11885" refreshError="1"/>
      <sheetData sheetId="11886" refreshError="1"/>
      <sheetData sheetId="11887" refreshError="1"/>
      <sheetData sheetId="11888" refreshError="1"/>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efreshError="1"/>
      <sheetData sheetId="11901" refreshError="1"/>
      <sheetData sheetId="11902" refreshError="1"/>
      <sheetData sheetId="11903" refreshError="1"/>
      <sheetData sheetId="11904" refreshError="1"/>
      <sheetData sheetId="11905" refreshError="1"/>
      <sheetData sheetId="11906" refreshError="1"/>
      <sheetData sheetId="11907" refreshError="1"/>
      <sheetData sheetId="11908" refreshError="1"/>
      <sheetData sheetId="11909" refreshError="1"/>
      <sheetData sheetId="11910" refreshError="1"/>
      <sheetData sheetId="11911" refreshError="1"/>
      <sheetData sheetId="11912" refreshError="1"/>
      <sheetData sheetId="11913" refreshError="1"/>
      <sheetData sheetId="11914" refreshError="1"/>
      <sheetData sheetId="11915" refreshError="1"/>
      <sheetData sheetId="11916" refreshError="1"/>
      <sheetData sheetId="11917" refreshError="1"/>
      <sheetData sheetId="11918" refreshError="1"/>
      <sheetData sheetId="11919" refreshError="1"/>
      <sheetData sheetId="11920" refreshError="1"/>
      <sheetData sheetId="11921" refreshError="1"/>
      <sheetData sheetId="11922" refreshError="1"/>
      <sheetData sheetId="11923" refreshError="1"/>
      <sheetData sheetId="11924" refreshError="1"/>
      <sheetData sheetId="11925" refreshError="1"/>
      <sheetData sheetId="11926" refreshError="1"/>
      <sheetData sheetId="11927" refreshError="1"/>
      <sheetData sheetId="11928" refreshError="1"/>
      <sheetData sheetId="11929" refreshError="1"/>
      <sheetData sheetId="11930" refreshError="1"/>
      <sheetData sheetId="11931" refreshError="1"/>
      <sheetData sheetId="11932" refreshError="1"/>
      <sheetData sheetId="11933" refreshError="1"/>
      <sheetData sheetId="11934" refreshError="1"/>
      <sheetData sheetId="11935" refreshError="1"/>
      <sheetData sheetId="11936" refreshError="1"/>
      <sheetData sheetId="11937" refreshError="1"/>
      <sheetData sheetId="11938" refreshError="1"/>
      <sheetData sheetId="11939" refreshError="1"/>
      <sheetData sheetId="11940" refreshError="1"/>
      <sheetData sheetId="11941" refreshError="1"/>
      <sheetData sheetId="11942" refreshError="1"/>
      <sheetData sheetId="11943" refreshError="1"/>
      <sheetData sheetId="11944" refreshError="1"/>
      <sheetData sheetId="11945" refreshError="1"/>
      <sheetData sheetId="11946" refreshError="1"/>
      <sheetData sheetId="11947" refreshError="1"/>
      <sheetData sheetId="11948" refreshError="1"/>
      <sheetData sheetId="11949" refreshError="1"/>
      <sheetData sheetId="11950" refreshError="1"/>
      <sheetData sheetId="11951" refreshError="1"/>
      <sheetData sheetId="11952" refreshError="1"/>
      <sheetData sheetId="11953" refreshError="1"/>
      <sheetData sheetId="11954" refreshError="1"/>
      <sheetData sheetId="11955" refreshError="1"/>
      <sheetData sheetId="11956" refreshError="1"/>
      <sheetData sheetId="11957" refreshError="1"/>
      <sheetData sheetId="11958" refreshError="1"/>
      <sheetData sheetId="11959" refreshError="1"/>
      <sheetData sheetId="11960" refreshError="1"/>
      <sheetData sheetId="11961" refreshError="1"/>
      <sheetData sheetId="11962" refreshError="1"/>
      <sheetData sheetId="11963" refreshError="1"/>
      <sheetData sheetId="11964" refreshError="1"/>
      <sheetData sheetId="11965" refreshError="1"/>
      <sheetData sheetId="11966" refreshError="1"/>
      <sheetData sheetId="11967" refreshError="1"/>
      <sheetData sheetId="11968" refreshError="1"/>
      <sheetData sheetId="11969" refreshError="1"/>
      <sheetData sheetId="11970" refreshError="1"/>
      <sheetData sheetId="11971" refreshError="1"/>
      <sheetData sheetId="11972" refreshError="1"/>
      <sheetData sheetId="11973" refreshError="1"/>
      <sheetData sheetId="11974" refreshError="1"/>
      <sheetData sheetId="11975" refreshError="1"/>
      <sheetData sheetId="11976" refreshError="1"/>
      <sheetData sheetId="11977" refreshError="1"/>
      <sheetData sheetId="11978" refreshError="1"/>
      <sheetData sheetId="11979" refreshError="1"/>
      <sheetData sheetId="11980" refreshError="1"/>
      <sheetData sheetId="11981" refreshError="1"/>
      <sheetData sheetId="11982" refreshError="1"/>
      <sheetData sheetId="11983" refreshError="1"/>
      <sheetData sheetId="11984" refreshError="1"/>
      <sheetData sheetId="11985" refreshError="1"/>
      <sheetData sheetId="11986" refreshError="1"/>
      <sheetData sheetId="11987" refreshError="1"/>
      <sheetData sheetId="11988" refreshError="1"/>
      <sheetData sheetId="11989" refreshError="1"/>
      <sheetData sheetId="11990" refreshError="1"/>
      <sheetData sheetId="11991" refreshError="1"/>
      <sheetData sheetId="11992" refreshError="1"/>
      <sheetData sheetId="11993" refreshError="1"/>
      <sheetData sheetId="11994" refreshError="1"/>
      <sheetData sheetId="11995" refreshError="1"/>
      <sheetData sheetId="11996" refreshError="1"/>
      <sheetData sheetId="11997" refreshError="1"/>
      <sheetData sheetId="11998" refreshError="1"/>
      <sheetData sheetId="11999" refreshError="1"/>
      <sheetData sheetId="12000" refreshError="1"/>
      <sheetData sheetId="12001" refreshError="1"/>
      <sheetData sheetId="12002" refreshError="1"/>
      <sheetData sheetId="12003" refreshError="1"/>
      <sheetData sheetId="12004" refreshError="1"/>
      <sheetData sheetId="12005" refreshError="1"/>
      <sheetData sheetId="12006" refreshError="1"/>
      <sheetData sheetId="12007" refreshError="1"/>
      <sheetData sheetId="12008" refreshError="1"/>
      <sheetData sheetId="12009" refreshError="1"/>
      <sheetData sheetId="12010" refreshError="1"/>
      <sheetData sheetId="12011" refreshError="1"/>
      <sheetData sheetId="12012" refreshError="1"/>
      <sheetData sheetId="12013" refreshError="1"/>
      <sheetData sheetId="12014" refreshError="1"/>
      <sheetData sheetId="12015" refreshError="1"/>
      <sheetData sheetId="12016" refreshError="1"/>
      <sheetData sheetId="12017" refreshError="1"/>
      <sheetData sheetId="12018" refreshError="1"/>
      <sheetData sheetId="12019" refreshError="1"/>
      <sheetData sheetId="12020" refreshError="1"/>
      <sheetData sheetId="12021" refreshError="1"/>
      <sheetData sheetId="12022" refreshError="1"/>
      <sheetData sheetId="12023" refreshError="1"/>
      <sheetData sheetId="12024" refreshError="1"/>
      <sheetData sheetId="12025" refreshError="1"/>
      <sheetData sheetId="12026" refreshError="1"/>
      <sheetData sheetId="12027" refreshError="1"/>
      <sheetData sheetId="12028" refreshError="1"/>
      <sheetData sheetId="12029" refreshError="1"/>
      <sheetData sheetId="12030" refreshError="1"/>
      <sheetData sheetId="12031" refreshError="1"/>
      <sheetData sheetId="12032" refreshError="1"/>
      <sheetData sheetId="12033" refreshError="1"/>
      <sheetData sheetId="12034" refreshError="1"/>
      <sheetData sheetId="12035" refreshError="1"/>
      <sheetData sheetId="12036" refreshError="1"/>
      <sheetData sheetId="12037" refreshError="1"/>
      <sheetData sheetId="12038" refreshError="1"/>
      <sheetData sheetId="12039" refreshError="1"/>
      <sheetData sheetId="12040" refreshError="1"/>
      <sheetData sheetId="12041" refreshError="1"/>
      <sheetData sheetId="12042" refreshError="1"/>
      <sheetData sheetId="12043" refreshError="1"/>
      <sheetData sheetId="12044" refreshError="1"/>
      <sheetData sheetId="12045" refreshError="1"/>
      <sheetData sheetId="12046" refreshError="1"/>
      <sheetData sheetId="12047" refreshError="1"/>
      <sheetData sheetId="12048" refreshError="1"/>
      <sheetData sheetId="12049" refreshError="1"/>
      <sheetData sheetId="12050" refreshError="1"/>
      <sheetData sheetId="12051" refreshError="1"/>
      <sheetData sheetId="12052" refreshError="1"/>
      <sheetData sheetId="12053" refreshError="1"/>
      <sheetData sheetId="12054" refreshError="1"/>
      <sheetData sheetId="12055" refreshError="1"/>
      <sheetData sheetId="12056" refreshError="1"/>
      <sheetData sheetId="12057" refreshError="1"/>
      <sheetData sheetId="12058" refreshError="1"/>
      <sheetData sheetId="12059" refreshError="1"/>
      <sheetData sheetId="12060" refreshError="1"/>
      <sheetData sheetId="12061" refreshError="1"/>
      <sheetData sheetId="12062" refreshError="1"/>
      <sheetData sheetId="12063" refreshError="1"/>
      <sheetData sheetId="12064" refreshError="1"/>
      <sheetData sheetId="12065" refreshError="1"/>
      <sheetData sheetId="12066" refreshError="1"/>
      <sheetData sheetId="12067" refreshError="1"/>
      <sheetData sheetId="12068" refreshError="1"/>
      <sheetData sheetId="12069" refreshError="1"/>
      <sheetData sheetId="12070" refreshError="1"/>
      <sheetData sheetId="12071" refreshError="1"/>
      <sheetData sheetId="12072" refreshError="1"/>
      <sheetData sheetId="12073" refreshError="1"/>
      <sheetData sheetId="12074" refreshError="1"/>
      <sheetData sheetId="12075" refreshError="1"/>
      <sheetData sheetId="12076" refreshError="1"/>
      <sheetData sheetId="12077" refreshError="1"/>
      <sheetData sheetId="12078" refreshError="1"/>
      <sheetData sheetId="12079" refreshError="1"/>
      <sheetData sheetId="12080" refreshError="1"/>
      <sheetData sheetId="12081" refreshError="1"/>
      <sheetData sheetId="12082" refreshError="1"/>
      <sheetData sheetId="12083" refreshError="1"/>
      <sheetData sheetId="12084" refreshError="1"/>
      <sheetData sheetId="12085" refreshError="1"/>
      <sheetData sheetId="12086" refreshError="1"/>
      <sheetData sheetId="12087" refreshError="1"/>
      <sheetData sheetId="12088" refreshError="1"/>
      <sheetData sheetId="12089" refreshError="1"/>
      <sheetData sheetId="12090" refreshError="1"/>
      <sheetData sheetId="12091" refreshError="1"/>
      <sheetData sheetId="12092" refreshError="1"/>
      <sheetData sheetId="12093" refreshError="1"/>
      <sheetData sheetId="12094" refreshError="1"/>
      <sheetData sheetId="12095" refreshError="1"/>
      <sheetData sheetId="12096" refreshError="1"/>
      <sheetData sheetId="12097" refreshError="1"/>
      <sheetData sheetId="12098" refreshError="1"/>
      <sheetData sheetId="12099" refreshError="1"/>
      <sheetData sheetId="12100" refreshError="1"/>
      <sheetData sheetId="12101" refreshError="1"/>
      <sheetData sheetId="12102" refreshError="1"/>
      <sheetData sheetId="12103" refreshError="1"/>
      <sheetData sheetId="12104" refreshError="1"/>
      <sheetData sheetId="12105" refreshError="1"/>
      <sheetData sheetId="12106" refreshError="1"/>
      <sheetData sheetId="12107" refreshError="1"/>
      <sheetData sheetId="12108" refreshError="1"/>
      <sheetData sheetId="12109" refreshError="1"/>
      <sheetData sheetId="12110" refreshError="1"/>
      <sheetData sheetId="12111" refreshError="1"/>
      <sheetData sheetId="12112" refreshError="1"/>
      <sheetData sheetId="12113" refreshError="1"/>
      <sheetData sheetId="12114" refreshError="1"/>
      <sheetData sheetId="12115" refreshError="1"/>
      <sheetData sheetId="12116" refreshError="1"/>
      <sheetData sheetId="12117" refreshError="1"/>
      <sheetData sheetId="12118" refreshError="1"/>
      <sheetData sheetId="12119" refreshError="1"/>
      <sheetData sheetId="12120" refreshError="1"/>
      <sheetData sheetId="12121" refreshError="1"/>
      <sheetData sheetId="12122" refreshError="1"/>
      <sheetData sheetId="12123" refreshError="1"/>
      <sheetData sheetId="12124" refreshError="1"/>
      <sheetData sheetId="12125" refreshError="1"/>
      <sheetData sheetId="12126" refreshError="1"/>
      <sheetData sheetId="12127" refreshError="1"/>
      <sheetData sheetId="12128" refreshError="1"/>
      <sheetData sheetId="12129" refreshError="1"/>
      <sheetData sheetId="12130" refreshError="1"/>
      <sheetData sheetId="12131" refreshError="1"/>
      <sheetData sheetId="12132" refreshError="1"/>
      <sheetData sheetId="12133" refreshError="1"/>
      <sheetData sheetId="12134" refreshError="1"/>
      <sheetData sheetId="12135" refreshError="1"/>
      <sheetData sheetId="12136" refreshError="1"/>
      <sheetData sheetId="12137" refreshError="1"/>
      <sheetData sheetId="12138" refreshError="1"/>
      <sheetData sheetId="12139" refreshError="1"/>
      <sheetData sheetId="12140" refreshError="1"/>
      <sheetData sheetId="12141" refreshError="1"/>
      <sheetData sheetId="12142" refreshError="1"/>
      <sheetData sheetId="12143" refreshError="1"/>
      <sheetData sheetId="12144" refreshError="1"/>
      <sheetData sheetId="12145" refreshError="1"/>
      <sheetData sheetId="12146" refreshError="1"/>
      <sheetData sheetId="12147" refreshError="1"/>
      <sheetData sheetId="12148" refreshError="1"/>
      <sheetData sheetId="12149" refreshError="1"/>
      <sheetData sheetId="12150" refreshError="1"/>
      <sheetData sheetId="12151" refreshError="1"/>
      <sheetData sheetId="12152" refreshError="1"/>
      <sheetData sheetId="12153" refreshError="1"/>
      <sheetData sheetId="12154" refreshError="1"/>
      <sheetData sheetId="12155" refreshError="1"/>
      <sheetData sheetId="12156" refreshError="1"/>
      <sheetData sheetId="12157" refreshError="1"/>
      <sheetData sheetId="12158" refreshError="1"/>
      <sheetData sheetId="12159" refreshError="1"/>
      <sheetData sheetId="12160" refreshError="1"/>
      <sheetData sheetId="12161" refreshError="1"/>
      <sheetData sheetId="12162" refreshError="1"/>
      <sheetData sheetId="12163" refreshError="1"/>
      <sheetData sheetId="12164" refreshError="1"/>
      <sheetData sheetId="12165" refreshError="1"/>
      <sheetData sheetId="12166" refreshError="1"/>
      <sheetData sheetId="12167" refreshError="1"/>
      <sheetData sheetId="12168" refreshError="1"/>
      <sheetData sheetId="12169" refreshError="1"/>
      <sheetData sheetId="12170" refreshError="1"/>
      <sheetData sheetId="12171" refreshError="1"/>
      <sheetData sheetId="12172" refreshError="1"/>
      <sheetData sheetId="12173" refreshError="1"/>
      <sheetData sheetId="12174" refreshError="1"/>
      <sheetData sheetId="12175" refreshError="1"/>
      <sheetData sheetId="12176" refreshError="1"/>
      <sheetData sheetId="12177" refreshError="1"/>
      <sheetData sheetId="12178" refreshError="1"/>
      <sheetData sheetId="12179" refreshError="1"/>
      <sheetData sheetId="12180" refreshError="1"/>
      <sheetData sheetId="12181" refreshError="1"/>
      <sheetData sheetId="12182" refreshError="1"/>
      <sheetData sheetId="12183" refreshError="1"/>
      <sheetData sheetId="12184" refreshError="1"/>
      <sheetData sheetId="12185" refreshError="1"/>
      <sheetData sheetId="12186" refreshError="1"/>
      <sheetData sheetId="12187" refreshError="1"/>
      <sheetData sheetId="12188" refreshError="1"/>
      <sheetData sheetId="12189" refreshError="1"/>
      <sheetData sheetId="12190" refreshError="1"/>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efreshError="1"/>
      <sheetData sheetId="12753" refreshError="1"/>
      <sheetData sheetId="12754" refreshError="1"/>
      <sheetData sheetId="12755" refreshError="1"/>
      <sheetData sheetId="12756" refreshError="1"/>
      <sheetData sheetId="12757" refreshError="1"/>
      <sheetData sheetId="12758" refreshError="1"/>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refreshError="1"/>
      <sheetData sheetId="12772" refreshError="1"/>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efreshError="1"/>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refreshError="1"/>
      <sheetData sheetId="13971" refreshError="1"/>
      <sheetData sheetId="13972" refreshError="1"/>
      <sheetData sheetId="13973" refreshError="1"/>
      <sheetData sheetId="13974" refreshError="1"/>
      <sheetData sheetId="13975" refreshError="1"/>
      <sheetData sheetId="13976" refreshError="1"/>
      <sheetData sheetId="13977" refreshError="1"/>
      <sheetData sheetId="13978" refreshError="1"/>
      <sheetData sheetId="13979" refreshError="1"/>
      <sheetData sheetId="13980" refreshError="1"/>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refreshError="1"/>
      <sheetData sheetId="14003" refreshError="1"/>
      <sheetData sheetId="14004" refreshError="1"/>
      <sheetData sheetId="14005" refreshError="1"/>
      <sheetData sheetId="14006" refreshError="1"/>
      <sheetData sheetId="14007" refreshError="1"/>
      <sheetData sheetId="14008" refreshError="1"/>
      <sheetData sheetId="14009" refreshError="1"/>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refreshError="1"/>
      <sheetData sheetId="14024" refreshError="1"/>
      <sheetData sheetId="14025" refreshError="1"/>
      <sheetData sheetId="14026" refreshError="1"/>
      <sheetData sheetId="14027" refreshError="1"/>
      <sheetData sheetId="14028" refreshError="1"/>
      <sheetData sheetId="14029" refreshError="1"/>
      <sheetData sheetId="14030" refreshError="1"/>
      <sheetData sheetId="14031" refreshError="1"/>
      <sheetData sheetId="14032" refreshError="1"/>
      <sheetData sheetId="14033" refreshError="1"/>
      <sheetData sheetId="14034" refreshError="1"/>
      <sheetData sheetId="14035" refreshError="1"/>
      <sheetData sheetId="14036" refreshError="1"/>
      <sheetData sheetId="14037" refreshError="1"/>
      <sheetData sheetId="14038" refreshError="1"/>
      <sheetData sheetId="14039" refreshError="1"/>
      <sheetData sheetId="14040" refreshError="1"/>
      <sheetData sheetId="14041" refreshError="1"/>
      <sheetData sheetId="14042" refreshError="1"/>
      <sheetData sheetId="14043" refreshError="1"/>
      <sheetData sheetId="14044" refreshError="1"/>
      <sheetData sheetId="14045" refreshError="1"/>
      <sheetData sheetId="14046" refreshError="1"/>
      <sheetData sheetId="14047" refreshError="1"/>
      <sheetData sheetId="14048" refreshError="1"/>
      <sheetData sheetId="14049" refreshError="1"/>
      <sheetData sheetId="14050" refreshError="1"/>
      <sheetData sheetId="14051" refreshError="1"/>
      <sheetData sheetId="14052" refreshError="1"/>
      <sheetData sheetId="14053" refreshError="1"/>
      <sheetData sheetId="14054" refreshError="1"/>
      <sheetData sheetId="14055" refreshError="1"/>
      <sheetData sheetId="14056" refreshError="1"/>
      <sheetData sheetId="14057" refreshError="1"/>
      <sheetData sheetId="14058" refreshError="1"/>
      <sheetData sheetId="14059" refreshError="1"/>
      <sheetData sheetId="14060" refreshError="1"/>
      <sheetData sheetId="14061" refreshError="1"/>
      <sheetData sheetId="14062" refreshError="1"/>
      <sheetData sheetId="14063" refreshError="1"/>
      <sheetData sheetId="14064" refreshError="1"/>
      <sheetData sheetId="14065" refreshError="1"/>
      <sheetData sheetId="14066" refreshError="1"/>
      <sheetData sheetId="14067" refreshError="1"/>
      <sheetData sheetId="14068" refreshError="1"/>
      <sheetData sheetId="14069" refreshError="1"/>
      <sheetData sheetId="14070" refreshError="1"/>
      <sheetData sheetId="14071" refreshError="1"/>
      <sheetData sheetId="14072" refreshError="1"/>
      <sheetData sheetId="14073" refreshError="1"/>
      <sheetData sheetId="14074" refreshError="1"/>
      <sheetData sheetId="14075" refreshError="1"/>
      <sheetData sheetId="14076" refreshError="1"/>
      <sheetData sheetId="14077" refreshError="1"/>
      <sheetData sheetId="14078" refreshError="1"/>
      <sheetData sheetId="14079" refreshError="1"/>
      <sheetData sheetId="14080" refreshError="1"/>
      <sheetData sheetId="14081" refreshError="1"/>
      <sheetData sheetId="14082" refreshError="1"/>
      <sheetData sheetId="14083" refreshError="1"/>
      <sheetData sheetId="14084" refreshError="1"/>
      <sheetData sheetId="14085" refreshError="1"/>
      <sheetData sheetId="14086" refreshError="1"/>
      <sheetData sheetId="14087" refreshError="1"/>
      <sheetData sheetId="14088" refreshError="1"/>
      <sheetData sheetId="14089" refreshError="1"/>
      <sheetData sheetId="14090" refreshError="1"/>
      <sheetData sheetId="14091" refreshError="1"/>
      <sheetData sheetId="14092" refreshError="1"/>
      <sheetData sheetId="14093" refreshError="1"/>
      <sheetData sheetId="14094" refreshError="1"/>
      <sheetData sheetId="14095" refreshError="1"/>
      <sheetData sheetId="14096" refreshError="1"/>
      <sheetData sheetId="14097" refreshError="1"/>
      <sheetData sheetId="14098" refreshError="1"/>
      <sheetData sheetId="14099" refreshError="1"/>
      <sheetData sheetId="14100" refreshError="1"/>
      <sheetData sheetId="14101" refreshError="1"/>
      <sheetData sheetId="14102" refreshError="1"/>
      <sheetData sheetId="14103" refreshError="1"/>
      <sheetData sheetId="14104" refreshError="1"/>
      <sheetData sheetId="14105" refreshError="1"/>
      <sheetData sheetId="14106" refreshError="1"/>
      <sheetData sheetId="14107" refreshError="1"/>
      <sheetData sheetId="14108" refreshError="1"/>
      <sheetData sheetId="14109" refreshError="1"/>
      <sheetData sheetId="14110" refreshError="1"/>
      <sheetData sheetId="14111" refreshError="1"/>
      <sheetData sheetId="14112" refreshError="1"/>
      <sheetData sheetId="14113" refreshError="1"/>
      <sheetData sheetId="14114" refreshError="1"/>
      <sheetData sheetId="14115" refreshError="1"/>
      <sheetData sheetId="14116" refreshError="1"/>
      <sheetData sheetId="14117" refreshError="1"/>
      <sheetData sheetId="14118" refreshError="1"/>
      <sheetData sheetId="14119" refreshError="1"/>
      <sheetData sheetId="14120" refreshError="1"/>
      <sheetData sheetId="14121" refreshError="1"/>
      <sheetData sheetId="14122" refreshError="1"/>
      <sheetData sheetId="14123" refreshError="1"/>
      <sheetData sheetId="14124" refreshError="1"/>
      <sheetData sheetId="14125" refreshError="1"/>
      <sheetData sheetId="14126" refreshError="1"/>
      <sheetData sheetId="14127" refreshError="1"/>
      <sheetData sheetId="14128" refreshError="1"/>
      <sheetData sheetId="14129" refreshError="1"/>
      <sheetData sheetId="14130" refreshError="1"/>
      <sheetData sheetId="14131" refreshError="1"/>
      <sheetData sheetId="14132" refreshError="1"/>
      <sheetData sheetId="14133" refreshError="1"/>
      <sheetData sheetId="14134" refreshError="1"/>
      <sheetData sheetId="14135" refreshError="1"/>
      <sheetData sheetId="14136" refreshError="1"/>
      <sheetData sheetId="14137" refreshError="1"/>
      <sheetData sheetId="14138" refreshError="1"/>
      <sheetData sheetId="14139" refreshError="1"/>
      <sheetData sheetId="14140" refreshError="1"/>
      <sheetData sheetId="14141" refreshError="1"/>
      <sheetData sheetId="14142" refreshError="1"/>
      <sheetData sheetId="14143" refreshError="1"/>
      <sheetData sheetId="14144" refreshError="1"/>
      <sheetData sheetId="14145" refreshError="1"/>
      <sheetData sheetId="14146" refreshError="1"/>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efreshError="1"/>
      <sheetData sheetId="14159" refreshError="1"/>
      <sheetData sheetId="14160" refreshError="1"/>
      <sheetData sheetId="14161" refreshError="1"/>
      <sheetData sheetId="14162" refreshError="1"/>
      <sheetData sheetId="14163" refreshError="1"/>
      <sheetData sheetId="14164" refreshError="1"/>
      <sheetData sheetId="14165" refreshError="1"/>
      <sheetData sheetId="14166" refreshError="1"/>
      <sheetData sheetId="14167" refreshError="1"/>
      <sheetData sheetId="14168" refreshError="1"/>
      <sheetData sheetId="14169" refreshError="1"/>
      <sheetData sheetId="14170" refreshError="1"/>
      <sheetData sheetId="14171" refreshError="1"/>
      <sheetData sheetId="14172" refreshError="1"/>
      <sheetData sheetId="14173" refreshError="1"/>
      <sheetData sheetId="14174" refreshError="1"/>
      <sheetData sheetId="14175" refreshError="1"/>
      <sheetData sheetId="14176" refreshError="1"/>
      <sheetData sheetId="14177" refreshError="1"/>
      <sheetData sheetId="14178" refreshError="1"/>
      <sheetData sheetId="14179" refreshError="1"/>
      <sheetData sheetId="14180" refreshError="1"/>
      <sheetData sheetId="14181" refreshError="1"/>
      <sheetData sheetId="14182" refreshError="1"/>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efreshError="1"/>
      <sheetData sheetId="14192" refreshError="1"/>
      <sheetData sheetId="14193" refreshError="1"/>
      <sheetData sheetId="14194" refreshError="1"/>
      <sheetData sheetId="14195" refreshError="1"/>
      <sheetData sheetId="14196" refreshError="1"/>
      <sheetData sheetId="14197" refreshError="1"/>
      <sheetData sheetId="14198" refreshError="1"/>
      <sheetData sheetId="14199" refreshError="1"/>
      <sheetData sheetId="14200" refreshError="1"/>
      <sheetData sheetId="14201" refreshError="1"/>
      <sheetData sheetId="14202" refreshError="1"/>
      <sheetData sheetId="14203" refreshError="1"/>
      <sheetData sheetId="14204" refreshError="1"/>
      <sheetData sheetId="14205" refreshError="1"/>
      <sheetData sheetId="14206" refreshError="1"/>
      <sheetData sheetId="14207" refreshError="1"/>
      <sheetData sheetId="14208" refreshError="1"/>
      <sheetData sheetId="14209" refreshError="1"/>
      <sheetData sheetId="14210" refreshError="1"/>
      <sheetData sheetId="14211" refreshError="1"/>
      <sheetData sheetId="14212" refreshError="1"/>
      <sheetData sheetId="14213" refreshError="1"/>
      <sheetData sheetId="14214" refreshError="1"/>
      <sheetData sheetId="14215" refreshError="1"/>
      <sheetData sheetId="14216" refreshError="1"/>
      <sheetData sheetId="14217" refreshError="1"/>
      <sheetData sheetId="14218" refreshError="1"/>
      <sheetData sheetId="14219" refreshError="1"/>
      <sheetData sheetId="14220" refreshError="1"/>
      <sheetData sheetId="14221" refreshError="1"/>
      <sheetData sheetId="14222" refreshError="1"/>
      <sheetData sheetId="14223" refreshError="1"/>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refreshError="1"/>
      <sheetData sheetId="14232" refreshError="1"/>
      <sheetData sheetId="14233" refreshError="1"/>
      <sheetData sheetId="14234" refreshError="1"/>
      <sheetData sheetId="14235" refreshError="1"/>
      <sheetData sheetId="14236" refreshError="1"/>
      <sheetData sheetId="14237" refreshError="1"/>
      <sheetData sheetId="14238" refreshError="1"/>
      <sheetData sheetId="14239" refreshError="1"/>
      <sheetData sheetId="14240" refreshError="1"/>
      <sheetData sheetId="14241" refreshError="1"/>
      <sheetData sheetId="14242" refreshError="1"/>
      <sheetData sheetId="14243" refreshError="1"/>
      <sheetData sheetId="14244" refreshError="1"/>
      <sheetData sheetId="14245" refreshError="1"/>
      <sheetData sheetId="14246" refreshError="1"/>
      <sheetData sheetId="14247" refreshError="1"/>
      <sheetData sheetId="14248" refreshError="1"/>
      <sheetData sheetId="14249" refreshError="1"/>
      <sheetData sheetId="14250" refreshError="1"/>
      <sheetData sheetId="14251" refreshError="1"/>
      <sheetData sheetId="14252" refreshError="1"/>
      <sheetData sheetId="14253" refreshError="1"/>
      <sheetData sheetId="14254" refreshError="1"/>
      <sheetData sheetId="14255" refreshError="1"/>
      <sheetData sheetId="14256" refreshError="1"/>
      <sheetData sheetId="14257" refreshError="1"/>
      <sheetData sheetId="14258" refreshError="1"/>
      <sheetData sheetId="14259" refreshError="1"/>
      <sheetData sheetId="14260" refreshError="1"/>
      <sheetData sheetId="14261" refreshError="1"/>
      <sheetData sheetId="14262" refreshError="1"/>
      <sheetData sheetId="14263" refreshError="1"/>
      <sheetData sheetId="14264" refreshError="1"/>
      <sheetData sheetId="14265" refreshError="1"/>
      <sheetData sheetId="14266" refreshError="1"/>
      <sheetData sheetId="14267" refreshError="1"/>
      <sheetData sheetId="14268" refreshError="1"/>
      <sheetData sheetId="14269" refreshError="1"/>
      <sheetData sheetId="14270" refreshError="1"/>
      <sheetData sheetId="14271" refreshError="1"/>
      <sheetData sheetId="14272" refreshError="1"/>
      <sheetData sheetId="14273" refreshError="1"/>
      <sheetData sheetId="14274" refreshError="1"/>
      <sheetData sheetId="14275" refreshError="1"/>
      <sheetData sheetId="14276" refreshError="1"/>
      <sheetData sheetId="14277" refreshError="1"/>
      <sheetData sheetId="14278" refreshError="1"/>
      <sheetData sheetId="14279" refreshError="1"/>
      <sheetData sheetId="14280" refreshError="1"/>
      <sheetData sheetId="14281" refreshError="1"/>
      <sheetData sheetId="14282" refreshError="1"/>
      <sheetData sheetId="14283" refreshError="1"/>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efreshError="1"/>
      <sheetData sheetId="14292" refreshError="1"/>
      <sheetData sheetId="14293" refreshError="1"/>
      <sheetData sheetId="14294" refreshError="1"/>
      <sheetData sheetId="14295" refreshError="1"/>
      <sheetData sheetId="14296" refreshError="1"/>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refreshError="1"/>
      <sheetData sheetId="14642" refreshError="1"/>
      <sheetData sheetId="14643" refreshError="1"/>
      <sheetData sheetId="14644" refreshError="1"/>
      <sheetData sheetId="14645" refreshError="1"/>
      <sheetData sheetId="14646" refreshError="1"/>
      <sheetData sheetId="14647" refreshError="1"/>
      <sheetData sheetId="14648" refreshError="1"/>
      <sheetData sheetId="14649" refreshError="1"/>
      <sheetData sheetId="14650" refreshError="1"/>
      <sheetData sheetId="14651" refreshError="1"/>
      <sheetData sheetId="14652" refreshError="1"/>
      <sheetData sheetId="14653" refreshError="1"/>
      <sheetData sheetId="14654" refreshError="1"/>
      <sheetData sheetId="14655" refreshError="1"/>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refreshError="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refreshError="1"/>
      <sheetData sheetId="14808" refreshError="1"/>
      <sheetData sheetId="14809" refreshError="1"/>
      <sheetData sheetId="14810" refreshError="1"/>
      <sheetData sheetId="14811" refreshError="1"/>
      <sheetData sheetId="14812" refreshError="1"/>
      <sheetData sheetId="14813" refreshError="1"/>
      <sheetData sheetId="14814" refreshError="1"/>
      <sheetData sheetId="14815" refreshError="1"/>
      <sheetData sheetId="14816" refreshError="1"/>
      <sheetData sheetId="14817" refreshError="1"/>
      <sheetData sheetId="14818" refreshError="1"/>
      <sheetData sheetId="14819" refreshError="1"/>
      <sheetData sheetId="14820" refreshError="1"/>
      <sheetData sheetId="14821" refreshError="1"/>
      <sheetData sheetId="14822" refreshError="1"/>
      <sheetData sheetId="14823" refreshError="1"/>
      <sheetData sheetId="14824" refreshError="1"/>
      <sheetData sheetId="14825" refreshError="1"/>
      <sheetData sheetId="14826" refreshError="1"/>
      <sheetData sheetId="14827" refreshError="1"/>
      <sheetData sheetId="14828" refreshError="1"/>
      <sheetData sheetId="14829" refreshError="1"/>
      <sheetData sheetId="14830" refreshError="1"/>
      <sheetData sheetId="14831" refreshError="1"/>
      <sheetData sheetId="14832" refreshError="1"/>
      <sheetData sheetId="14833" refreshError="1"/>
      <sheetData sheetId="14834" refreshError="1"/>
      <sheetData sheetId="14835" refreshError="1"/>
      <sheetData sheetId="14836" refreshError="1"/>
      <sheetData sheetId="14837" refreshError="1"/>
      <sheetData sheetId="14838" refreshError="1"/>
      <sheetData sheetId="14839" refreshError="1"/>
      <sheetData sheetId="14840" refreshError="1"/>
      <sheetData sheetId="14841" refreshError="1"/>
      <sheetData sheetId="14842" refreshError="1"/>
      <sheetData sheetId="14843" refreshError="1"/>
      <sheetData sheetId="14844" refreshError="1"/>
      <sheetData sheetId="14845" refreshError="1"/>
      <sheetData sheetId="14846" refreshError="1"/>
      <sheetData sheetId="14847" refreshError="1"/>
      <sheetData sheetId="14848" refreshError="1"/>
      <sheetData sheetId="14849" refreshError="1"/>
      <sheetData sheetId="14850" refreshError="1"/>
      <sheetData sheetId="14851" refreshError="1"/>
      <sheetData sheetId="14852" refreshError="1"/>
      <sheetData sheetId="14853" refreshError="1"/>
      <sheetData sheetId="14854" refreshError="1"/>
      <sheetData sheetId="14855" refreshError="1"/>
      <sheetData sheetId="14856" refreshError="1"/>
      <sheetData sheetId="14857" refreshError="1"/>
      <sheetData sheetId="14858" refreshError="1"/>
      <sheetData sheetId="14859" refreshError="1"/>
      <sheetData sheetId="14860" refreshError="1"/>
      <sheetData sheetId="14861" refreshError="1"/>
      <sheetData sheetId="14862" refreshError="1"/>
      <sheetData sheetId="14863" refreshError="1"/>
      <sheetData sheetId="14864" refreshError="1"/>
      <sheetData sheetId="14865" refreshError="1"/>
      <sheetData sheetId="14866" refreshError="1"/>
      <sheetData sheetId="14867" refreshError="1"/>
      <sheetData sheetId="14868" refreshError="1"/>
      <sheetData sheetId="14869" refreshError="1"/>
      <sheetData sheetId="14870" refreshError="1"/>
      <sheetData sheetId="14871" refreshError="1"/>
      <sheetData sheetId="14872" refreshError="1"/>
      <sheetData sheetId="14873" refreshError="1"/>
      <sheetData sheetId="14874" refreshError="1"/>
      <sheetData sheetId="14875" refreshError="1"/>
      <sheetData sheetId="14876" refreshError="1"/>
      <sheetData sheetId="14877" refreshError="1"/>
      <sheetData sheetId="14878" refreshError="1"/>
      <sheetData sheetId="14879" refreshError="1"/>
      <sheetData sheetId="14880" refreshError="1"/>
      <sheetData sheetId="14881" refreshError="1"/>
      <sheetData sheetId="14882" refreshError="1"/>
      <sheetData sheetId="14883" refreshError="1"/>
      <sheetData sheetId="14884" refreshError="1"/>
      <sheetData sheetId="14885" refreshError="1"/>
      <sheetData sheetId="14886" refreshError="1"/>
      <sheetData sheetId="14887" refreshError="1"/>
      <sheetData sheetId="14888" refreshError="1"/>
      <sheetData sheetId="14889" refreshError="1"/>
      <sheetData sheetId="14890" refreshError="1"/>
      <sheetData sheetId="14891" refreshError="1"/>
      <sheetData sheetId="14892" refreshError="1"/>
      <sheetData sheetId="14893" refreshError="1"/>
      <sheetData sheetId="14894" refreshError="1"/>
      <sheetData sheetId="14895" refreshError="1"/>
      <sheetData sheetId="14896" refreshError="1"/>
      <sheetData sheetId="14897" refreshError="1"/>
      <sheetData sheetId="14898" refreshError="1"/>
      <sheetData sheetId="14899" refreshError="1"/>
      <sheetData sheetId="14900" refreshError="1"/>
      <sheetData sheetId="14901" refreshError="1"/>
      <sheetData sheetId="14902" refreshError="1"/>
      <sheetData sheetId="14903" refreshError="1"/>
      <sheetData sheetId="14904" refreshError="1"/>
      <sheetData sheetId="14905" refreshError="1"/>
      <sheetData sheetId="14906" refreshError="1"/>
      <sheetData sheetId="14907" refreshError="1"/>
      <sheetData sheetId="14908" refreshError="1"/>
      <sheetData sheetId="14909" refreshError="1"/>
      <sheetData sheetId="14910" refreshError="1"/>
      <sheetData sheetId="14911" refreshError="1"/>
      <sheetData sheetId="14912" refreshError="1"/>
      <sheetData sheetId="14913" refreshError="1"/>
      <sheetData sheetId="14914" refreshError="1"/>
      <sheetData sheetId="14915" refreshError="1"/>
      <sheetData sheetId="14916" refreshError="1"/>
      <sheetData sheetId="14917" refreshError="1"/>
      <sheetData sheetId="14918" refreshError="1"/>
      <sheetData sheetId="14919" refreshError="1"/>
      <sheetData sheetId="14920" refreshError="1"/>
      <sheetData sheetId="14921" refreshError="1"/>
      <sheetData sheetId="14922" refreshError="1"/>
      <sheetData sheetId="14923" refreshError="1"/>
      <sheetData sheetId="14924" refreshError="1"/>
      <sheetData sheetId="14925" refreshError="1"/>
      <sheetData sheetId="14926" refreshError="1"/>
      <sheetData sheetId="14927" refreshError="1"/>
      <sheetData sheetId="14928" refreshError="1"/>
      <sheetData sheetId="14929" refreshError="1"/>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refreshError="1"/>
      <sheetData sheetId="15774" refreshError="1"/>
      <sheetData sheetId="15775" refreshError="1"/>
      <sheetData sheetId="15776" refreshError="1"/>
      <sheetData sheetId="15777" refreshError="1"/>
      <sheetData sheetId="15778" refreshError="1"/>
      <sheetData sheetId="15779" refreshError="1"/>
      <sheetData sheetId="15780" refreshError="1"/>
      <sheetData sheetId="15781" refreshError="1"/>
      <sheetData sheetId="15782" refreshError="1"/>
      <sheetData sheetId="15783" refreshError="1"/>
      <sheetData sheetId="15784" refreshError="1"/>
      <sheetData sheetId="15785" refreshError="1"/>
      <sheetData sheetId="15786" refreshError="1"/>
      <sheetData sheetId="15787" refreshError="1"/>
      <sheetData sheetId="15788" refreshError="1"/>
      <sheetData sheetId="15789" refreshError="1"/>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refreshError="1"/>
      <sheetData sheetId="15802" refreshError="1"/>
      <sheetData sheetId="15803" refreshError="1"/>
      <sheetData sheetId="15804" refreshError="1"/>
      <sheetData sheetId="15805" refreshError="1"/>
      <sheetData sheetId="15806" refreshError="1"/>
      <sheetData sheetId="15807" refreshError="1"/>
      <sheetData sheetId="15808" refreshError="1"/>
      <sheetData sheetId="15809" refreshError="1"/>
      <sheetData sheetId="15810" refreshError="1"/>
      <sheetData sheetId="15811" refreshError="1"/>
      <sheetData sheetId="15812" refreshError="1"/>
      <sheetData sheetId="15813" refreshError="1"/>
      <sheetData sheetId="15814" refreshError="1"/>
      <sheetData sheetId="15815" refreshError="1"/>
      <sheetData sheetId="15816" refreshError="1"/>
      <sheetData sheetId="15817" refreshError="1"/>
      <sheetData sheetId="15818" refreshError="1"/>
      <sheetData sheetId="15819" refreshError="1"/>
      <sheetData sheetId="15820" refreshError="1"/>
      <sheetData sheetId="15821" refreshError="1"/>
      <sheetData sheetId="15822" refreshError="1"/>
      <sheetData sheetId="15823" refreshError="1"/>
      <sheetData sheetId="15824" refreshError="1"/>
      <sheetData sheetId="15825" refreshError="1"/>
      <sheetData sheetId="15826" refreshError="1"/>
      <sheetData sheetId="15827" refreshError="1"/>
      <sheetData sheetId="15828" refreshError="1"/>
      <sheetData sheetId="15829" refreshError="1"/>
      <sheetData sheetId="15830" refreshError="1"/>
      <sheetData sheetId="15831" refreshError="1"/>
      <sheetData sheetId="15832" refreshError="1"/>
      <sheetData sheetId="15833" refreshError="1"/>
      <sheetData sheetId="15834" refreshError="1"/>
      <sheetData sheetId="15835" refreshError="1"/>
      <sheetData sheetId="15836" refreshError="1"/>
      <sheetData sheetId="15837" refreshError="1"/>
      <sheetData sheetId="15838" refreshError="1"/>
      <sheetData sheetId="15839" refreshError="1"/>
      <sheetData sheetId="15840" refreshError="1"/>
      <sheetData sheetId="15841" refreshError="1"/>
      <sheetData sheetId="15842" refreshError="1"/>
      <sheetData sheetId="15843" refreshError="1"/>
      <sheetData sheetId="15844" refreshError="1"/>
      <sheetData sheetId="15845" refreshError="1"/>
      <sheetData sheetId="15846" refreshError="1"/>
      <sheetData sheetId="15847" refreshError="1"/>
      <sheetData sheetId="15848" refreshError="1"/>
      <sheetData sheetId="15849" refreshError="1"/>
      <sheetData sheetId="15850" refreshError="1"/>
      <sheetData sheetId="15851" refreshError="1"/>
      <sheetData sheetId="15852" refreshError="1"/>
      <sheetData sheetId="15853" refreshError="1"/>
      <sheetData sheetId="15854" refreshError="1"/>
      <sheetData sheetId="15855" refreshError="1"/>
      <sheetData sheetId="15856" refreshError="1"/>
      <sheetData sheetId="15857" refreshError="1"/>
      <sheetData sheetId="15858" refreshError="1"/>
      <sheetData sheetId="15859" refreshError="1"/>
      <sheetData sheetId="15860" refreshError="1"/>
      <sheetData sheetId="15861" refreshError="1"/>
      <sheetData sheetId="15862" refreshError="1"/>
      <sheetData sheetId="15863" refreshError="1"/>
      <sheetData sheetId="15864" refreshError="1"/>
      <sheetData sheetId="15865" refreshError="1"/>
      <sheetData sheetId="15866" refreshError="1"/>
      <sheetData sheetId="15867" refreshError="1"/>
      <sheetData sheetId="15868" refreshError="1"/>
      <sheetData sheetId="15869" refreshError="1"/>
      <sheetData sheetId="15870" refreshError="1"/>
      <sheetData sheetId="15871" refreshError="1"/>
      <sheetData sheetId="15872" refreshError="1"/>
      <sheetData sheetId="15873" refreshError="1"/>
      <sheetData sheetId="15874" refreshError="1"/>
      <sheetData sheetId="15875" refreshError="1"/>
      <sheetData sheetId="15876" refreshError="1"/>
      <sheetData sheetId="15877" refreshError="1"/>
      <sheetData sheetId="15878" refreshError="1"/>
      <sheetData sheetId="15879" refreshError="1"/>
      <sheetData sheetId="15880" refreshError="1"/>
      <sheetData sheetId="15881" refreshError="1"/>
      <sheetData sheetId="15882" refreshError="1"/>
      <sheetData sheetId="15883" refreshError="1"/>
      <sheetData sheetId="15884" refreshError="1"/>
      <sheetData sheetId="15885" refreshError="1"/>
      <sheetData sheetId="15886" refreshError="1"/>
      <sheetData sheetId="15887" refreshError="1"/>
      <sheetData sheetId="15888" refreshError="1"/>
      <sheetData sheetId="15889" refreshError="1"/>
      <sheetData sheetId="15890" refreshError="1"/>
      <sheetData sheetId="15891" refreshError="1"/>
      <sheetData sheetId="15892" refreshError="1"/>
      <sheetData sheetId="15893" refreshError="1"/>
      <sheetData sheetId="15894" refreshError="1"/>
      <sheetData sheetId="15895" refreshError="1"/>
      <sheetData sheetId="15896" refreshError="1"/>
      <sheetData sheetId="15897" refreshError="1"/>
      <sheetData sheetId="15898" refreshError="1"/>
      <sheetData sheetId="15899" refreshError="1"/>
      <sheetData sheetId="15900" refreshError="1"/>
      <sheetData sheetId="15901" refreshError="1"/>
      <sheetData sheetId="15902" refreshError="1"/>
      <sheetData sheetId="15903" refreshError="1"/>
      <sheetData sheetId="15904" refreshError="1"/>
      <sheetData sheetId="15905" refreshError="1"/>
      <sheetData sheetId="15906" refreshError="1"/>
      <sheetData sheetId="15907" refreshError="1"/>
      <sheetData sheetId="15908" refreshError="1"/>
      <sheetData sheetId="15909" refreshError="1"/>
      <sheetData sheetId="15910" refreshError="1"/>
      <sheetData sheetId="15911" refreshError="1"/>
      <sheetData sheetId="15912" refreshError="1"/>
      <sheetData sheetId="15913" refreshError="1"/>
      <sheetData sheetId="15914" refreshError="1"/>
      <sheetData sheetId="15915" refreshError="1"/>
      <sheetData sheetId="15916" refreshError="1"/>
      <sheetData sheetId="15917" refreshError="1"/>
      <sheetData sheetId="15918" refreshError="1"/>
      <sheetData sheetId="15919" refreshError="1"/>
      <sheetData sheetId="15920" refreshError="1"/>
      <sheetData sheetId="15921" refreshError="1"/>
      <sheetData sheetId="15922" refreshError="1"/>
      <sheetData sheetId="15923" refreshError="1"/>
      <sheetData sheetId="15924" refreshError="1"/>
      <sheetData sheetId="15925" refreshError="1"/>
      <sheetData sheetId="15926" refreshError="1"/>
      <sheetData sheetId="15927" refreshError="1"/>
      <sheetData sheetId="15928" refreshError="1"/>
      <sheetData sheetId="15929" refreshError="1"/>
      <sheetData sheetId="15930" refreshError="1"/>
      <sheetData sheetId="15931" refreshError="1"/>
      <sheetData sheetId="15932" refreshError="1"/>
      <sheetData sheetId="15933" refreshError="1"/>
      <sheetData sheetId="15934" refreshError="1"/>
      <sheetData sheetId="15935" refreshError="1"/>
      <sheetData sheetId="15936" refreshError="1"/>
      <sheetData sheetId="15937" refreshError="1"/>
      <sheetData sheetId="15938" refreshError="1"/>
      <sheetData sheetId="15939" refreshError="1"/>
      <sheetData sheetId="15940" refreshError="1"/>
      <sheetData sheetId="15941" refreshError="1"/>
      <sheetData sheetId="15942" refreshError="1"/>
      <sheetData sheetId="15943" refreshError="1"/>
      <sheetData sheetId="15944" refreshError="1"/>
      <sheetData sheetId="15945" refreshError="1"/>
      <sheetData sheetId="15946" refreshError="1"/>
      <sheetData sheetId="15947" refreshError="1"/>
      <sheetData sheetId="15948" refreshError="1"/>
      <sheetData sheetId="15949" refreshError="1"/>
      <sheetData sheetId="15950" refreshError="1"/>
      <sheetData sheetId="15951" refreshError="1"/>
      <sheetData sheetId="15952" refreshError="1"/>
      <sheetData sheetId="15953" refreshError="1"/>
      <sheetData sheetId="15954" refreshError="1"/>
      <sheetData sheetId="15955" refreshError="1"/>
      <sheetData sheetId="15956" refreshError="1"/>
      <sheetData sheetId="15957" refreshError="1"/>
      <sheetData sheetId="15958" refreshError="1"/>
      <sheetData sheetId="15959" refreshError="1"/>
      <sheetData sheetId="15960" refreshError="1"/>
      <sheetData sheetId="15961" refreshError="1"/>
      <sheetData sheetId="15962" refreshError="1"/>
      <sheetData sheetId="15963" refreshError="1"/>
      <sheetData sheetId="15964" refreshError="1"/>
      <sheetData sheetId="15965" refreshError="1"/>
      <sheetData sheetId="15966" refreshError="1"/>
      <sheetData sheetId="15967" refreshError="1"/>
      <sheetData sheetId="15968" refreshError="1"/>
      <sheetData sheetId="15969" refreshError="1"/>
      <sheetData sheetId="15970" refreshError="1"/>
      <sheetData sheetId="15971" refreshError="1"/>
      <sheetData sheetId="15972" refreshError="1"/>
      <sheetData sheetId="15973" refreshError="1"/>
      <sheetData sheetId="15974" refreshError="1"/>
      <sheetData sheetId="15975" refreshError="1"/>
      <sheetData sheetId="15976" refreshError="1"/>
      <sheetData sheetId="15977" refreshError="1"/>
      <sheetData sheetId="15978" refreshError="1"/>
      <sheetData sheetId="15979" refreshError="1"/>
      <sheetData sheetId="15980" refreshError="1"/>
      <sheetData sheetId="15981" refreshError="1"/>
      <sheetData sheetId="15982" refreshError="1"/>
      <sheetData sheetId="15983" refreshError="1"/>
      <sheetData sheetId="15984" refreshError="1"/>
      <sheetData sheetId="15985" refreshError="1"/>
      <sheetData sheetId="15986" refreshError="1"/>
      <sheetData sheetId="15987" refreshError="1"/>
      <sheetData sheetId="15988" refreshError="1"/>
      <sheetData sheetId="15989" refreshError="1"/>
      <sheetData sheetId="15990" refreshError="1"/>
      <sheetData sheetId="15991" refreshError="1"/>
      <sheetData sheetId="15992" refreshError="1"/>
      <sheetData sheetId="15993" refreshError="1"/>
      <sheetData sheetId="15994" refreshError="1"/>
      <sheetData sheetId="15995" refreshError="1"/>
      <sheetData sheetId="15996" refreshError="1"/>
      <sheetData sheetId="15997" refreshError="1"/>
      <sheetData sheetId="15998" refreshError="1"/>
      <sheetData sheetId="15999" refreshError="1"/>
      <sheetData sheetId="16000" refreshError="1"/>
      <sheetData sheetId="16001">
        <row r="1">
          <cell r="J1">
            <v>1.7453292519943295E-2</v>
          </cell>
        </row>
      </sheetData>
      <sheetData sheetId="16002" refreshError="1"/>
      <sheetData sheetId="16003" refreshError="1"/>
      <sheetData sheetId="16004" refreshError="1"/>
      <sheetData sheetId="16005" refreshError="1"/>
      <sheetData sheetId="16006" refreshError="1"/>
      <sheetData sheetId="16007" refreshError="1"/>
      <sheetData sheetId="16008" refreshError="1"/>
      <sheetData sheetId="16009" refreshError="1"/>
      <sheetData sheetId="16010" refreshError="1"/>
      <sheetData sheetId="16011" refreshError="1"/>
      <sheetData sheetId="16012" refreshError="1"/>
      <sheetData sheetId="16013" refreshError="1"/>
      <sheetData sheetId="16014" refreshError="1"/>
      <sheetData sheetId="16015" refreshError="1"/>
      <sheetData sheetId="16016" refreshError="1"/>
      <sheetData sheetId="16017" refreshError="1"/>
      <sheetData sheetId="16018" refreshError="1"/>
      <sheetData sheetId="16019" refreshError="1"/>
      <sheetData sheetId="16020" refreshError="1"/>
      <sheetData sheetId="16021" refreshError="1"/>
      <sheetData sheetId="16022" refreshError="1"/>
      <sheetData sheetId="16023" refreshError="1"/>
      <sheetData sheetId="16024" refreshError="1"/>
      <sheetData sheetId="16025" refreshError="1"/>
      <sheetData sheetId="16026" refreshError="1"/>
      <sheetData sheetId="16027" refreshError="1"/>
      <sheetData sheetId="16028" refreshError="1"/>
      <sheetData sheetId="16029" refreshError="1"/>
      <sheetData sheetId="16030" refreshError="1"/>
      <sheetData sheetId="16031" refreshError="1"/>
      <sheetData sheetId="16032" refreshError="1"/>
      <sheetData sheetId="16033" refreshError="1"/>
      <sheetData sheetId="16034" refreshError="1"/>
      <sheetData sheetId="16035" refreshError="1"/>
      <sheetData sheetId="16036" refreshError="1"/>
      <sheetData sheetId="16037" refreshError="1"/>
      <sheetData sheetId="16038" refreshError="1"/>
      <sheetData sheetId="16039" refreshError="1"/>
      <sheetData sheetId="16040" refreshError="1"/>
      <sheetData sheetId="16041" refreshError="1"/>
      <sheetData sheetId="16042" refreshError="1"/>
      <sheetData sheetId="16043" refreshError="1"/>
      <sheetData sheetId="16044" refreshError="1"/>
      <sheetData sheetId="16045" refreshError="1"/>
      <sheetData sheetId="16046" refreshError="1"/>
      <sheetData sheetId="16047" refreshError="1"/>
      <sheetData sheetId="16048" refreshError="1"/>
      <sheetData sheetId="16049" refreshError="1"/>
      <sheetData sheetId="16050" refreshError="1"/>
      <sheetData sheetId="16051" refreshError="1"/>
      <sheetData sheetId="16052" refreshError="1"/>
      <sheetData sheetId="16053" refreshError="1"/>
      <sheetData sheetId="16054" refreshError="1"/>
      <sheetData sheetId="16055" refreshError="1"/>
      <sheetData sheetId="16056" refreshError="1"/>
      <sheetData sheetId="16057" refreshError="1"/>
      <sheetData sheetId="16058" refreshError="1"/>
      <sheetData sheetId="16059" refreshError="1"/>
      <sheetData sheetId="16060" refreshError="1"/>
      <sheetData sheetId="16061" refreshError="1"/>
      <sheetData sheetId="16062" refreshError="1"/>
      <sheetData sheetId="16063" refreshError="1"/>
      <sheetData sheetId="16064" refreshError="1"/>
      <sheetData sheetId="16065" refreshError="1"/>
      <sheetData sheetId="16066" refreshError="1"/>
      <sheetData sheetId="16067" refreshError="1"/>
      <sheetData sheetId="16068" refreshError="1"/>
      <sheetData sheetId="16069" refreshError="1"/>
      <sheetData sheetId="16070" refreshError="1"/>
      <sheetData sheetId="16071" refreshError="1"/>
      <sheetData sheetId="16072" refreshError="1"/>
      <sheetData sheetId="16073" refreshError="1"/>
      <sheetData sheetId="16074" refreshError="1"/>
      <sheetData sheetId="16075" refreshError="1"/>
      <sheetData sheetId="16076" refreshError="1"/>
      <sheetData sheetId="16077" refreshError="1"/>
      <sheetData sheetId="16078" refreshError="1"/>
      <sheetData sheetId="16079" refreshError="1"/>
      <sheetData sheetId="16080" refreshError="1"/>
      <sheetData sheetId="16081" refreshError="1"/>
      <sheetData sheetId="16082" refreshError="1"/>
      <sheetData sheetId="16083" refreshError="1"/>
      <sheetData sheetId="16084">
        <row r="1">
          <cell r="J1">
            <v>1.7453292519943295E-2</v>
          </cell>
        </row>
      </sheetData>
      <sheetData sheetId="16085" refreshError="1"/>
      <sheetData sheetId="16086" refreshError="1"/>
      <sheetData sheetId="16087" refreshError="1"/>
      <sheetData sheetId="16088" refreshError="1"/>
      <sheetData sheetId="16089" refreshError="1"/>
      <sheetData sheetId="16090" refreshError="1"/>
      <sheetData sheetId="16091" refreshError="1"/>
      <sheetData sheetId="16092" refreshError="1"/>
      <sheetData sheetId="16093" refreshError="1"/>
      <sheetData sheetId="16094" refreshError="1"/>
      <sheetData sheetId="16095" refreshError="1"/>
      <sheetData sheetId="16096" refreshError="1"/>
      <sheetData sheetId="16097" refreshError="1"/>
      <sheetData sheetId="16098" refreshError="1"/>
      <sheetData sheetId="16099" refreshError="1"/>
      <sheetData sheetId="16100" refreshError="1"/>
      <sheetData sheetId="16101" refreshError="1"/>
      <sheetData sheetId="16102" refreshError="1"/>
      <sheetData sheetId="16103" refreshError="1"/>
      <sheetData sheetId="16104" refreshError="1"/>
      <sheetData sheetId="16105" refreshError="1"/>
      <sheetData sheetId="16106" refreshError="1"/>
      <sheetData sheetId="16107" refreshError="1"/>
      <sheetData sheetId="16108" refreshError="1"/>
      <sheetData sheetId="16109" refreshError="1"/>
      <sheetData sheetId="16110" refreshError="1"/>
      <sheetData sheetId="16111" refreshError="1"/>
      <sheetData sheetId="16112" refreshError="1"/>
      <sheetData sheetId="16113" refreshError="1"/>
      <sheetData sheetId="16114" refreshError="1"/>
      <sheetData sheetId="16115" refreshError="1"/>
      <sheetData sheetId="16116" refreshError="1"/>
      <sheetData sheetId="16117" refreshError="1"/>
      <sheetData sheetId="16118" refreshError="1"/>
      <sheetData sheetId="16119" refreshError="1"/>
      <sheetData sheetId="16120" refreshError="1"/>
      <sheetData sheetId="16121" refreshError="1"/>
      <sheetData sheetId="16122" refreshError="1"/>
      <sheetData sheetId="16123" refreshError="1"/>
      <sheetData sheetId="16124" refreshError="1"/>
      <sheetData sheetId="16125" refreshError="1"/>
      <sheetData sheetId="16126" refreshError="1"/>
      <sheetData sheetId="16127" refreshError="1"/>
      <sheetData sheetId="16128" refreshError="1"/>
      <sheetData sheetId="16129" refreshError="1"/>
      <sheetData sheetId="16130" refreshError="1"/>
      <sheetData sheetId="16131" refreshError="1"/>
      <sheetData sheetId="16132" refreshError="1"/>
      <sheetData sheetId="16133" refreshError="1"/>
      <sheetData sheetId="16134" refreshError="1"/>
      <sheetData sheetId="16135" refreshError="1"/>
      <sheetData sheetId="16136" refreshError="1"/>
      <sheetData sheetId="16137" refreshError="1"/>
      <sheetData sheetId="16138" refreshError="1"/>
      <sheetData sheetId="16139" refreshError="1"/>
      <sheetData sheetId="16140" refreshError="1"/>
      <sheetData sheetId="16141" refreshError="1"/>
      <sheetData sheetId="16142" refreshError="1"/>
      <sheetData sheetId="16143" refreshError="1"/>
      <sheetData sheetId="16144" refreshError="1"/>
      <sheetData sheetId="16145" refreshError="1"/>
      <sheetData sheetId="16146" refreshError="1"/>
      <sheetData sheetId="16147" refreshError="1"/>
      <sheetData sheetId="16148" refreshError="1"/>
      <sheetData sheetId="16149" refreshError="1"/>
      <sheetData sheetId="16150" refreshError="1"/>
      <sheetData sheetId="16151" refreshError="1"/>
      <sheetData sheetId="16152" refreshError="1"/>
      <sheetData sheetId="16153" refreshError="1"/>
      <sheetData sheetId="16154" refreshError="1"/>
      <sheetData sheetId="16155" refreshError="1"/>
      <sheetData sheetId="16156" refreshError="1"/>
      <sheetData sheetId="16157" refreshError="1"/>
      <sheetData sheetId="16158" refreshError="1"/>
      <sheetData sheetId="16159">
        <row r="1">
          <cell r="J1">
            <v>1.7453292519943295E-2</v>
          </cell>
        </row>
      </sheetData>
      <sheetData sheetId="16160" refreshError="1"/>
      <sheetData sheetId="16161" refreshError="1"/>
      <sheetData sheetId="16162" refreshError="1"/>
      <sheetData sheetId="16163" refreshError="1"/>
      <sheetData sheetId="16164" refreshError="1"/>
      <sheetData sheetId="16165">
        <row r="1">
          <cell r="J1">
            <v>1.7453292519943295E-2</v>
          </cell>
        </row>
      </sheetData>
      <sheetData sheetId="16166" refreshError="1"/>
      <sheetData sheetId="16167" refreshError="1"/>
      <sheetData sheetId="16168">
        <row r="1">
          <cell r="J1">
            <v>1.7453292519943295E-2</v>
          </cell>
        </row>
      </sheetData>
      <sheetData sheetId="16169" refreshError="1"/>
      <sheetData sheetId="16170" refreshError="1"/>
      <sheetData sheetId="16171">
        <row r="1">
          <cell r="J1">
            <v>1.7453292519943295E-2</v>
          </cell>
        </row>
      </sheetData>
      <sheetData sheetId="16172" refreshError="1"/>
      <sheetData sheetId="16173" refreshError="1"/>
      <sheetData sheetId="16174" refreshError="1"/>
      <sheetData sheetId="16175" refreshError="1"/>
      <sheetData sheetId="16176" refreshError="1"/>
      <sheetData sheetId="16177" refreshError="1"/>
      <sheetData sheetId="16178" refreshError="1"/>
      <sheetData sheetId="16179">
        <row r="1">
          <cell r="J1">
            <v>1.7453292519943295E-2</v>
          </cell>
        </row>
      </sheetData>
      <sheetData sheetId="16180" refreshError="1"/>
      <sheetData sheetId="16181">
        <row r="1">
          <cell r="J1">
            <v>1.7453292519943295E-2</v>
          </cell>
        </row>
      </sheetData>
      <sheetData sheetId="16182" refreshError="1"/>
      <sheetData sheetId="16183" refreshError="1"/>
      <sheetData sheetId="16184">
        <row r="1">
          <cell r="J1">
            <v>1.7453292519943295E-2</v>
          </cell>
        </row>
      </sheetData>
      <sheetData sheetId="16185">
        <row r="1">
          <cell r="J1">
            <v>1.7453292519943295E-2</v>
          </cell>
        </row>
      </sheetData>
      <sheetData sheetId="16186" refreshError="1"/>
      <sheetData sheetId="16187" refreshError="1"/>
      <sheetData sheetId="16188">
        <row r="1">
          <cell r="J1">
            <v>1.7453292519943295E-2</v>
          </cell>
        </row>
      </sheetData>
      <sheetData sheetId="16189" refreshError="1"/>
      <sheetData sheetId="16190" refreshError="1"/>
      <sheetData sheetId="16191" refreshError="1"/>
      <sheetData sheetId="16192">
        <row r="1">
          <cell r="J1">
            <v>1.7453292519943295E-2</v>
          </cell>
        </row>
      </sheetData>
      <sheetData sheetId="16193" refreshError="1"/>
      <sheetData sheetId="16194" refreshError="1"/>
      <sheetData sheetId="16195" refreshError="1"/>
      <sheetData sheetId="16196" refreshError="1"/>
      <sheetData sheetId="16197" refreshError="1"/>
      <sheetData sheetId="16198">
        <row r="1">
          <cell r="J1">
            <v>1.7453292519943295E-2</v>
          </cell>
        </row>
      </sheetData>
      <sheetData sheetId="16199" refreshError="1"/>
      <sheetData sheetId="16200" refreshError="1"/>
      <sheetData sheetId="16201">
        <row r="1">
          <cell r="J1">
            <v>1.7453292519943295E-2</v>
          </cell>
        </row>
      </sheetData>
      <sheetData sheetId="16202" refreshError="1"/>
      <sheetData sheetId="16203" refreshError="1"/>
      <sheetData sheetId="16204" refreshError="1"/>
      <sheetData sheetId="16205" refreshError="1"/>
      <sheetData sheetId="16206" refreshError="1"/>
      <sheetData sheetId="16207" refreshError="1"/>
      <sheetData sheetId="16208" refreshError="1"/>
      <sheetData sheetId="16209" refreshError="1"/>
      <sheetData sheetId="16210" refreshError="1"/>
      <sheetData sheetId="16211" refreshError="1"/>
      <sheetData sheetId="16212" refreshError="1"/>
      <sheetData sheetId="16213" refreshError="1"/>
      <sheetData sheetId="16214" refreshError="1"/>
      <sheetData sheetId="16215" refreshError="1"/>
      <sheetData sheetId="16216" refreshError="1"/>
      <sheetData sheetId="16217" refreshError="1"/>
      <sheetData sheetId="16218" refreshError="1"/>
      <sheetData sheetId="16219" refreshError="1"/>
      <sheetData sheetId="16220" refreshError="1"/>
      <sheetData sheetId="16221" refreshError="1"/>
      <sheetData sheetId="16222" refreshError="1"/>
      <sheetData sheetId="16223" refreshError="1"/>
      <sheetData sheetId="16224" refreshError="1"/>
      <sheetData sheetId="16225" refreshError="1"/>
      <sheetData sheetId="16226" refreshError="1"/>
      <sheetData sheetId="16227" refreshError="1"/>
      <sheetData sheetId="16228" refreshError="1"/>
      <sheetData sheetId="16229" refreshError="1"/>
      <sheetData sheetId="16230" refreshError="1"/>
      <sheetData sheetId="16231" refreshError="1"/>
      <sheetData sheetId="16232" refreshError="1"/>
      <sheetData sheetId="16233" refreshError="1"/>
      <sheetData sheetId="16234" refreshError="1"/>
      <sheetData sheetId="16235" refreshError="1"/>
      <sheetData sheetId="16236" refreshError="1"/>
      <sheetData sheetId="16237" refreshError="1"/>
      <sheetData sheetId="16238" refreshError="1"/>
      <sheetData sheetId="16239" refreshError="1"/>
      <sheetData sheetId="16240" refreshError="1"/>
      <sheetData sheetId="16241" refreshError="1"/>
      <sheetData sheetId="16242" refreshError="1"/>
      <sheetData sheetId="16243" refreshError="1"/>
      <sheetData sheetId="16244" refreshError="1"/>
      <sheetData sheetId="16245" refreshError="1"/>
      <sheetData sheetId="16246" refreshError="1"/>
      <sheetData sheetId="16247" refreshError="1"/>
      <sheetData sheetId="16248" refreshError="1"/>
      <sheetData sheetId="16249" refreshError="1"/>
      <sheetData sheetId="16250" refreshError="1"/>
      <sheetData sheetId="16251" refreshError="1"/>
      <sheetData sheetId="16252" refreshError="1"/>
      <sheetData sheetId="16253" refreshError="1"/>
      <sheetData sheetId="16254" refreshError="1"/>
      <sheetData sheetId="16255" refreshError="1"/>
      <sheetData sheetId="16256" refreshError="1"/>
      <sheetData sheetId="16257" refreshError="1"/>
      <sheetData sheetId="16258" refreshError="1"/>
      <sheetData sheetId="16259" refreshError="1"/>
      <sheetData sheetId="16260" refreshError="1"/>
      <sheetData sheetId="16261" refreshError="1"/>
      <sheetData sheetId="16262" refreshError="1"/>
      <sheetData sheetId="16263" refreshError="1"/>
      <sheetData sheetId="16264" refreshError="1"/>
      <sheetData sheetId="16265" refreshError="1"/>
      <sheetData sheetId="16266" refreshError="1"/>
      <sheetData sheetId="16267" refreshError="1"/>
      <sheetData sheetId="16268" refreshError="1"/>
      <sheetData sheetId="16269" refreshError="1"/>
      <sheetData sheetId="16270" refreshError="1"/>
      <sheetData sheetId="16271" refreshError="1"/>
      <sheetData sheetId="16272" refreshError="1"/>
      <sheetData sheetId="16273" refreshError="1"/>
      <sheetData sheetId="16274" refreshError="1"/>
      <sheetData sheetId="16275" refreshError="1"/>
      <sheetData sheetId="16276" refreshError="1"/>
      <sheetData sheetId="16277" refreshError="1"/>
      <sheetData sheetId="16278" refreshError="1"/>
      <sheetData sheetId="16279" refreshError="1"/>
      <sheetData sheetId="16280" refreshError="1"/>
      <sheetData sheetId="16281" refreshError="1"/>
      <sheetData sheetId="16282" refreshError="1"/>
      <sheetData sheetId="16283" refreshError="1"/>
      <sheetData sheetId="16284" refreshError="1"/>
      <sheetData sheetId="16285" refreshError="1"/>
      <sheetData sheetId="16286" refreshError="1"/>
      <sheetData sheetId="16287">
        <row r="1">
          <cell r="J1">
            <v>1.7453292519943295E-2</v>
          </cell>
        </row>
      </sheetData>
      <sheetData sheetId="16288">
        <row r="1">
          <cell r="J1">
            <v>1.7453292519943295E-2</v>
          </cell>
        </row>
      </sheetData>
      <sheetData sheetId="16289" refreshError="1"/>
      <sheetData sheetId="16290" refreshError="1"/>
      <sheetData sheetId="16291" refreshError="1"/>
      <sheetData sheetId="16292" refreshError="1"/>
      <sheetData sheetId="16293" refreshError="1"/>
      <sheetData sheetId="16294" refreshError="1"/>
      <sheetData sheetId="16295">
        <row r="1">
          <cell r="J1">
            <v>1.7453292519943295E-2</v>
          </cell>
        </row>
      </sheetData>
      <sheetData sheetId="16296">
        <row r="1">
          <cell r="J1">
            <v>1.7453292519943295E-2</v>
          </cell>
        </row>
      </sheetData>
      <sheetData sheetId="16297">
        <row r="1">
          <cell r="J1">
            <v>1.7453292519943295E-2</v>
          </cell>
        </row>
      </sheetData>
      <sheetData sheetId="16298" refreshError="1"/>
      <sheetData sheetId="16299">
        <row r="1">
          <cell r="J1">
            <v>1.7453292519943295E-2</v>
          </cell>
        </row>
      </sheetData>
      <sheetData sheetId="16300" refreshError="1"/>
      <sheetData sheetId="16301" refreshError="1"/>
      <sheetData sheetId="16302" refreshError="1"/>
      <sheetData sheetId="16303" refreshError="1"/>
      <sheetData sheetId="16304">
        <row r="1">
          <cell r="J1">
            <v>1.7453292519943295E-2</v>
          </cell>
        </row>
      </sheetData>
      <sheetData sheetId="16305" refreshError="1"/>
      <sheetData sheetId="16306" refreshError="1"/>
      <sheetData sheetId="16307" refreshError="1"/>
      <sheetData sheetId="16308" refreshError="1"/>
      <sheetData sheetId="16309" refreshError="1"/>
      <sheetData sheetId="16310" refreshError="1"/>
      <sheetData sheetId="16311" refreshError="1"/>
      <sheetData sheetId="16312">
        <row r="1">
          <cell r="J1">
            <v>1.7453292519943295E-2</v>
          </cell>
        </row>
      </sheetData>
      <sheetData sheetId="16313" refreshError="1"/>
      <sheetData sheetId="16314" refreshError="1"/>
      <sheetData sheetId="16315" refreshError="1"/>
      <sheetData sheetId="16316" refreshError="1"/>
      <sheetData sheetId="16317" refreshError="1"/>
      <sheetData sheetId="16318" refreshError="1"/>
      <sheetData sheetId="16319" refreshError="1"/>
      <sheetData sheetId="16320" refreshError="1"/>
      <sheetData sheetId="16321" refreshError="1"/>
      <sheetData sheetId="16322" refreshError="1"/>
      <sheetData sheetId="16323" refreshError="1"/>
      <sheetData sheetId="16324" refreshError="1"/>
      <sheetData sheetId="16325" refreshError="1"/>
      <sheetData sheetId="16326" refreshError="1"/>
      <sheetData sheetId="16327" refreshError="1"/>
      <sheetData sheetId="16328" refreshError="1"/>
      <sheetData sheetId="16329" refreshError="1"/>
      <sheetData sheetId="16330" refreshError="1"/>
      <sheetData sheetId="16331" refreshError="1"/>
      <sheetData sheetId="16332" refreshError="1"/>
      <sheetData sheetId="16333" refreshError="1"/>
      <sheetData sheetId="16334" refreshError="1"/>
      <sheetData sheetId="16335" refreshError="1"/>
      <sheetData sheetId="16336" refreshError="1"/>
      <sheetData sheetId="16337" refreshError="1"/>
      <sheetData sheetId="16338" refreshError="1"/>
      <sheetData sheetId="16339" refreshError="1"/>
      <sheetData sheetId="16340" refreshError="1"/>
      <sheetData sheetId="16341" refreshError="1"/>
      <sheetData sheetId="16342" refreshError="1"/>
      <sheetData sheetId="16343" refreshError="1"/>
      <sheetData sheetId="16344" refreshError="1"/>
      <sheetData sheetId="16345" refreshError="1"/>
      <sheetData sheetId="16346">
        <row r="1">
          <cell r="J1">
            <v>1.7453292519943295E-2</v>
          </cell>
        </row>
      </sheetData>
      <sheetData sheetId="16347">
        <row r="1">
          <cell r="J1">
            <v>1.7453292519943295E-2</v>
          </cell>
        </row>
      </sheetData>
      <sheetData sheetId="16348">
        <row r="1">
          <cell r="J1">
            <v>1.7453292519943295E-2</v>
          </cell>
        </row>
      </sheetData>
      <sheetData sheetId="16349" refreshError="1"/>
      <sheetData sheetId="16350" refreshError="1"/>
      <sheetData sheetId="16351" refreshError="1"/>
      <sheetData sheetId="16352" refreshError="1"/>
      <sheetData sheetId="16353" refreshError="1"/>
      <sheetData sheetId="16354" refreshError="1"/>
      <sheetData sheetId="16355" refreshError="1"/>
      <sheetData sheetId="16356" refreshError="1"/>
      <sheetData sheetId="16357" refreshError="1"/>
      <sheetData sheetId="16358" refreshError="1"/>
      <sheetData sheetId="16359" refreshError="1"/>
      <sheetData sheetId="16360" refreshError="1"/>
      <sheetData sheetId="16361" refreshError="1"/>
      <sheetData sheetId="16362" refreshError="1"/>
      <sheetData sheetId="16363" refreshError="1"/>
      <sheetData sheetId="16364" refreshError="1"/>
      <sheetData sheetId="16365" refreshError="1"/>
      <sheetData sheetId="16366" refreshError="1"/>
      <sheetData sheetId="16367" refreshError="1"/>
      <sheetData sheetId="16368" refreshError="1"/>
      <sheetData sheetId="16369" refreshError="1"/>
      <sheetData sheetId="16370" refreshError="1"/>
      <sheetData sheetId="16371" refreshError="1"/>
      <sheetData sheetId="16372" refreshError="1"/>
      <sheetData sheetId="16373" refreshError="1"/>
      <sheetData sheetId="16374" refreshError="1"/>
      <sheetData sheetId="16375" refreshError="1"/>
      <sheetData sheetId="16376" refreshError="1"/>
      <sheetData sheetId="16377" refreshError="1"/>
      <sheetData sheetId="16378" refreshError="1"/>
      <sheetData sheetId="16379" refreshError="1"/>
      <sheetData sheetId="16380" refreshError="1"/>
      <sheetData sheetId="16381" refreshError="1"/>
      <sheetData sheetId="16382" refreshError="1"/>
      <sheetData sheetId="16383" refreshError="1"/>
      <sheetData sheetId="16384" refreshError="1"/>
      <sheetData sheetId="16385" refreshError="1"/>
      <sheetData sheetId="16386" refreshError="1"/>
      <sheetData sheetId="16387" refreshError="1"/>
      <sheetData sheetId="16388" refreshError="1"/>
      <sheetData sheetId="16389" refreshError="1"/>
      <sheetData sheetId="16390" refreshError="1"/>
      <sheetData sheetId="16391" refreshError="1"/>
      <sheetData sheetId="16392" refreshError="1"/>
      <sheetData sheetId="16393" refreshError="1"/>
      <sheetData sheetId="16394" refreshError="1"/>
      <sheetData sheetId="16395" refreshError="1"/>
      <sheetData sheetId="16396" refreshError="1"/>
      <sheetData sheetId="16397" refreshError="1"/>
      <sheetData sheetId="16398" refreshError="1"/>
      <sheetData sheetId="16399" refreshError="1"/>
      <sheetData sheetId="16400" refreshError="1"/>
      <sheetData sheetId="16401" refreshError="1"/>
      <sheetData sheetId="16402" refreshError="1"/>
      <sheetData sheetId="16403" refreshError="1"/>
      <sheetData sheetId="16404" refreshError="1"/>
      <sheetData sheetId="16405" refreshError="1"/>
      <sheetData sheetId="16406" refreshError="1"/>
      <sheetData sheetId="16407">
        <row r="1">
          <cell r="J1">
            <v>1.7453292519943295E-2</v>
          </cell>
        </row>
      </sheetData>
      <sheetData sheetId="16408">
        <row r="1">
          <cell r="J1">
            <v>1.7453292519943295E-2</v>
          </cell>
        </row>
      </sheetData>
      <sheetData sheetId="16409">
        <row r="1">
          <cell r="J1">
            <v>1.7453292519943295E-2</v>
          </cell>
        </row>
      </sheetData>
      <sheetData sheetId="16410" refreshError="1"/>
      <sheetData sheetId="16411" refreshError="1"/>
      <sheetData sheetId="16412" refreshError="1"/>
      <sheetData sheetId="16413" refreshError="1"/>
      <sheetData sheetId="16414" refreshError="1"/>
      <sheetData sheetId="16415" refreshError="1"/>
      <sheetData sheetId="16416" refreshError="1"/>
      <sheetData sheetId="16417" refreshError="1"/>
      <sheetData sheetId="16418" refreshError="1"/>
      <sheetData sheetId="16419" refreshError="1"/>
      <sheetData sheetId="16420" refreshError="1"/>
      <sheetData sheetId="16421" refreshError="1"/>
      <sheetData sheetId="16422" refreshError="1"/>
      <sheetData sheetId="16423" refreshError="1"/>
      <sheetData sheetId="16424" refreshError="1"/>
      <sheetData sheetId="16425" refreshError="1"/>
      <sheetData sheetId="16426" refreshError="1"/>
      <sheetData sheetId="16427" refreshError="1"/>
      <sheetData sheetId="16428" refreshError="1"/>
      <sheetData sheetId="16429" refreshError="1"/>
      <sheetData sheetId="16430" refreshError="1"/>
      <sheetData sheetId="16431" refreshError="1"/>
      <sheetData sheetId="16432" refreshError="1"/>
      <sheetData sheetId="16433" refreshError="1"/>
      <sheetData sheetId="16434" refreshError="1"/>
      <sheetData sheetId="16435" refreshError="1"/>
      <sheetData sheetId="16436" refreshError="1"/>
      <sheetData sheetId="16437" refreshError="1"/>
      <sheetData sheetId="16438" refreshError="1"/>
      <sheetData sheetId="16439" refreshError="1"/>
      <sheetData sheetId="16440" refreshError="1"/>
      <sheetData sheetId="16441" refreshError="1"/>
      <sheetData sheetId="16442" refreshError="1"/>
      <sheetData sheetId="16443" refreshError="1"/>
      <sheetData sheetId="16444" refreshError="1"/>
      <sheetData sheetId="16445" refreshError="1"/>
      <sheetData sheetId="16446" refreshError="1"/>
      <sheetData sheetId="16447" refreshError="1"/>
      <sheetData sheetId="16448" refreshError="1"/>
      <sheetData sheetId="16449" refreshError="1"/>
      <sheetData sheetId="16450" refreshError="1"/>
      <sheetData sheetId="16451" refreshError="1"/>
      <sheetData sheetId="16452" refreshError="1"/>
      <sheetData sheetId="16453" refreshError="1"/>
      <sheetData sheetId="16454" refreshError="1"/>
      <sheetData sheetId="16455" refreshError="1"/>
      <sheetData sheetId="16456" refreshError="1"/>
      <sheetData sheetId="16457" refreshError="1"/>
      <sheetData sheetId="16458" refreshError="1"/>
      <sheetData sheetId="16459" refreshError="1"/>
      <sheetData sheetId="16460" refreshError="1"/>
      <sheetData sheetId="16461" refreshError="1"/>
      <sheetData sheetId="16462" refreshError="1"/>
      <sheetData sheetId="16463" refreshError="1"/>
      <sheetData sheetId="16464" refreshError="1"/>
      <sheetData sheetId="16465" refreshError="1"/>
      <sheetData sheetId="1646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LOCK-A (MEA.SHEET)"/>
      <sheetName val="BLOCK_A _MEA_SHEET_"/>
      <sheetName val="C Sum"/>
      <sheetName val="A Sum"/>
      <sheetName val="Fin Sum"/>
      <sheetName val="India F&amp;S Template"/>
      <sheetName val="Rate analysis"/>
      <sheetName val="RA-markate"/>
      <sheetName val="seT"/>
      <sheetName val="PRECAST lightconc-II"/>
      <sheetName val="Detail"/>
      <sheetName val="Voucher"/>
      <sheetName val="Data"/>
      <sheetName val="boq"/>
      <sheetName val="Form 6"/>
      <sheetName val="Meas.-Hotel Part"/>
      <sheetName val="INDIGINEOUS ITEMS "/>
      <sheetName val="Stress Calculation"/>
      <sheetName val="S &amp; A"/>
      <sheetName val="TBAL9697 -group wise  sdpl"/>
      <sheetName val="Basement Budget"/>
      <sheetName val="sheet6"/>
      <sheetName val="Design"/>
      <sheetName val="factor"/>
      <sheetName val="Sheet2"/>
      <sheetName val="Headings"/>
      <sheetName val="#REF"/>
      <sheetName val="BASIC RATES"/>
      <sheetName val="Internet"/>
      <sheetName val="Measurements"/>
      <sheetName val="Tables"/>
      <sheetName val="Flooring"/>
      <sheetName val="Ceilings"/>
      <sheetName val="ACAD Finishes"/>
      <sheetName val="Site Details"/>
      <sheetName val="Chair"/>
      <sheetName val="Site Area Statement"/>
      <sheetName val="Doors"/>
      <sheetName val="Estimate"/>
      <sheetName val="sept-plan"/>
      <sheetName val="VIWSCo1"/>
      <sheetName val="Fee Rate Summary"/>
      <sheetName val="MASTER_RATE ANALYSIS"/>
      <sheetName val="BLOCK-A_(MEA_SHEET)"/>
      <sheetName val="BLOCK_A__MEA_SHEET_"/>
      <sheetName val="C_Sum"/>
      <sheetName val="A_Sum"/>
      <sheetName val="Fin_Sum"/>
      <sheetName val="India_F&amp;S_Template"/>
      <sheetName val="Meas_-Hotel_Part"/>
      <sheetName val="Rate_analysis"/>
      <sheetName val="PRECAST_lightconc-II"/>
      <sheetName val="INDIGINEOUS_ITEMS_"/>
      <sheetName val="Form_6"/>
      <sheetName val="Stress_Calculation"/>
      <sheetName val="E &amp; R"/>
      <sheetName val="banilad"/>
      <sheetName val="Mactan"/>
      <sheetName val="Mandaue"/>
      <sheetName val="Costing"/>
      <sheetName val="currency (2)"/>
      <sheetName val="Supplier"/>
      <sheetName val="VCH-SLC"/>
      <sheetName val="COST"/>
      <sheetName val="Progress"/>
      <sheetName val="Sheet3"/>
      <sheetName val="IO List"/>
      <sheetName val="SOR"/>
      <sheetName val="Report"/>
      <sheetName val="Cut &amp; Sew"/>
      <sheetName val="SPT vs PH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lumn"/>
      <sheetName val="Column steel"/>
      <sheetName val="Raft Steel"/>
      <sheetName val="NT-RAFT"/>
      <sheetName val="Raft-T20"/>
      <sheetName val="Raft-T21"/>
      <sheetName val="Raft-T22-COMBINED"/>
      <sheetName val="Raft-T22"/>
      <sheetName val="T23"/>
      <sheetName val="Lift (Typical)"/>
      <sheetName val="Column Upto Raft Top T-20"/>
      <sheetName val="Column Upto Raft Top T-21"/>
      <sheetName val="Column Upto Raft Top T-22"/>
      <sheetName val="Sheet3"/>
      <sheetName val="Column Basement T-22"/>
      <sheetName val="Column GROUND T-22"/>
      <sheetName val="Beams-Basement Roof T-22"/>
      <sheetName val="Slab-Basement Roof T-22"/>
      <sheetName val="Phase-1stirrups"/>
      <sheetName val="Sheet1"/>
      <sheetName val="Staircase No.1"/>
      <sheetName val="Staircase No.2"/>
      <sheetName val="Summary"/>
      <sheetName val="BBS Format"/>
      <sheetName val="labour"/>
      <sheetName val="SCHEDU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2">
          <cell r="V2">
            <v>0.04</v>
          </cell>
        </row>
      </sheetData>
      <sheetData sheetId="17"/>
      <sheetData sheetId="18">
        <row r="3">
          <cell r="A3">
            <v>40</v>
          </cell>
        </row>
      </sheetData>
      <sheetData sheetId="19"/>
      <sheetData sheetId="20"/>
      <sheetData sheetId="21"/>
      <sheetData sheetId="22"/>
      <sheetData sheetId="23"/>
      <sheetData sheetId="24"/>
      <sheetData sheetId="2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ck_Cal_for OMC"/>
      <sheetName val="Beams-Basement Roof T-22"/>
    </sheetNames>
    <sheetDataSet>
      <sheetData sheetId="0"/>
      <sheetData sheetId="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bour"/>
      <sheetName val="summary"/>
      <sheetName val="DG (Justified)"/>
      <sheetName val="DG"/>
      <sheetName val="C.T. Piping"/>
      <sheetName val="meas. sheet equip."/>
      <sheetName val="bus dUCT"/>
      <sheetName val="Earthing"/>
      <sheetName val="RATE-HV INST."/>
      <sheetName val="RATE-HV INST. (justified)"/>
      <sheetName val="BOQ"/>
      <sheetName val="HT CABLE"/>
      <sheetName val="battary charger"/>
      <sheetName val="Safety equipments"/>
      <sheetName val="HT Cable laying &amp; Termination"/>
      <sheetName val="control cables"/>
      <sheetName val="LAYING OF CABLE"/>
      <sheetName val="Control cable termination"/>
      <sheetName val="SUBSTATION panel"/>
      <sheetName val="C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th 4&quot;X1.75&quot; Outer"/>
      <sheetName val="With 2.5&quot;X1.5&quot; Outer"/>
      <sheetName val="Unit Weight"/>
      <sheetName val="labour"/>
    </sheetNames>
    <sheetDataSet>
      <sheetData sheetId="0"/>
      <sheetData sheetId="1"/>
      <sheetData sheetId="2">
        <row r="2">
          <cell r="B2">
            <v>1.3009999999999999</v>
          </cell>
        </row>
        <row r="3">
          <cell r="B3">
            <v>7.0999999999999994E-2</v>
          </cell>
        </row>
        <row r="4">
          <cell r="B4">
            <v>0.16</v>
          </cell>
        </row>
        <row r="5">
          <cell r="B5">
            <v>0.47599999999999998</v>
          </cell>
        </row>
        <row r="6">
          <cell r="B6">
            <v>0.57499999999999996</v>
          </cell>
        </row>
        <row r="7">
          <cell r="B7">
            <v>0.108</v>
          </cell>
        </row>
        <row r="8">
          <cell r="B8">
            <v>0.71899999999999997</v>
          </cell>
        </row>
        <row r="9">
          <cell r="B9">
            <v>0.75900000000000001</v>
          </cell>
        </row>
        <row r="10">
          <cell r="B10">
            <v>1.0549999999999999</v>
          </cell>
        </row>
        <row r="11">
          <cell r="B11">
            <v>1.0549999999999999</v>
          </cell>
        </row>
        <row r="12">
          <cell r="B12">
            <v>0.46</v>
          </cell>
        </row>
        <row r="13">
          <cell r="B13">
            <v>0.75800000000000001</v>
          </cell>
        </row>
      </sheetData>
      <sheetData sheetId="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Details"/>
      <sheetName val="labour"/>
      <sheetName val="Sheet1"/>
      <sheetName val="Unit Weight"/>
      <sheetName val="PARAMETRES"/>
      <sheetName val="Costing"/>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DULE"/>
      <sheetName val="Shape Codes"/>
      <sheetName val="Database"/>
      <sheetName val="Help"/>
      <sheetName val="Setup"/>
      <sheetName val="About"/>
      <sheetName val="More"/>
      <sheetName val="page"/>
      <sheetName val="Info"/>
      <sheetName val="check"/>
      <sheetName val="schedule nos"/>
      <sheetName val="Sheet1"/>
      <sheetName val="Sheet2"/>
      <sheetName val="Beams-Basement Roof T-22"/>
      <sheetName val="Phase-1stirrups"/>
      <sheetName val="Data"/>
    </sheetNames>
    <sheetDataSet>
      <sheetData sheetId="0">
        <row r="9">
          <cell r="AU9">
            <v>20</v>
          </cell>
          <cell r="AV9">
            <v>32</v>
          </cell>
          <cell r="AW9">
            <v>33</v>
          </cell>
          <cell r="AX9">
            <v>34</v>
          </cell>
          <cell r="AY9">
            <v>35</v>
          </cell>
          <cell r="AZ9">
            <v>37</v>
          </cell>
          <cell r="BA9">
            <v>38</v>
          </cell>
          <cell r="BB9">
            <v>41</v>
          </cell>
          <cell r="BC9">
            <v>43</v>
          </cell>
          <cell r="BD9">
            <v>51</v>
          </cell>
          <cell r="BE9">
            <v>61</v>
          </cell>
          <cell r="BF9">
            <v>62</v>
          </cell>
          <cell r="BG9">
            <v>82</v>
          </cell>
          <cell r="BH9">
            <v>39</v>
          </cell>
          <cell r="BI9">
            <v>42</v>
          </cell>
          <cell r="BJ9">
            <v>45</v>
          </cell>
          <cell r="BK9">
            <v>49</v>
          </cell>
          <cell r="BL9">
            <v>52</v>
          </cell>
          <cell r="BM9">
            <v>53</v>
          </cell>
          <cell r="BN9">
            <v>54</v>
          </cell>
          <cell r="BO9">
            <v>55</v>
          </cell>
          <cell r="BP9">
            <v>65</v>
          </cell>
          <cell r="BQ9">
            <v>77</v>
          </cell>
          <cell r="BR9">
            <v>78</v>
          </cell>
          <cell r="BS9">
            <v>79</v>
          </cell>
          <cell r="BT9">
            <v>85</v>
          </cell>
          <cell r="BU9">
            <v>87</v>
          </cell>
          <cell r="BV9">
            <v>99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lumn"/>
      <sheetName val="Column steel"/>
      <sheetName val="Raft Steel"/>
      <sheetName val="NT-RAFT"/>
      <sheetName val="Raft-T22-COMBINED"/>
      <sheetName val="Raft-T12"/>
      <sheetName val="Lift (Typical)"/>
      <sheetName val="Column T-12"/>
      <sheetName val="Sheet3"/>
      <sheetName val="Beam T-12"/>
      <sheetName val="Slab T-12"/>
      <sheetName val="Phase-1stirrups"/>
      <sheetName val="Sheet1"/>
      <sheetName val="Staircase No.1&amp;2"/>
      <sheetName val="NTA Roof Beam"/>
      <sheetName val="NTA Roof Slab"/>
      <sheetName val="Summary"/>
      <sheetName val="BBS Format"/>
      <sheetName val="Sumary2"/>
      <sheetName val="NAME CODE"/>
      <sheetName val="Beams-Basement Roof T-22"/>
      <sheetName val="SCHEDULE"/>
      <sheetName val="TBAL9697 -group wise  sdpl"/>
    </sheetNames>
    <sheetDataSet>
      <sheetData sheetId="0"/>
      <sheetData sheetId="1"/>
      <sheetData sheetId="2"/>
      <sheetData sheetId="3"/>
      <sheetData sheetId="4"/>
      <sheetData sheetId="5"/>
      <sheetData sheetId="6"/>
      <sheetData sheetId="7"/>
      <sheetData sheetId="8"/>
      <sheetData sheetId="9"/>
      <sheetData sheetId="10"/>
      <sheetData sheetId="11">
        <row r="3">
          <cell r="A3">
            <v>40</v>
          </cell>
        </row>
      </sheetData>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BOQ"/>
      <sheetName val="interest on mob"/>
      <sheetName val="Valuation"/>
      <sheetName val="Sub Abstract"/>
      <sheetName val="Details"/>
      <sheetName val="Sheet4"/>
      <sheetName val="Chander kiran"/>
      <sheetName val="Sheet1"/>
      <sheetName val="interest_on_mob"/>
      <sheetName val="Sub_Abstract"/>
      <sheetName val="Chander_kiran"/>
      <sheetName val="Fill this out first..."/>
      <sheetName val="Beam T-12"/>
      <sheetName val="SUMMARY-client"/>
      <sheetName val="labour"/>
    </sheetNames>
    <sheetDataSet>
      <sheetData sheetId="0"/>
      <sheetData sheetId="1"/>
      <sheetData sheetId="2"/>
      <sheetData sheetId="3"/>
      <sheetData sheetId="4"/>
      <sheetData sheetId="5">
        <row r="5">
          <cell r="K5" t="str">
            <v>Academic block</v>
          </cell>
        </row>
        <row r="6">
          <cell r="K6" t="str">
            <v>Boys' hostel</v>
          </cell>
        </row>
        <row r="7">
          <cell r="K7" t="str">
            <v>Dining</v>
          </cell>
        </row>
        <row r="8">
          <cell r="K8" t="str">
            <v>Girls' hostel</v>
          </cell>
        </row>
        <row r="9">
          <cell r="K9" t="str">
            <v>Lecture hall</v>
          </cell>
        </row>
        <row r="10">
          <cell r="K10" t="str">
            <v>Library</v>
          </cell>
        </row>
      </sheetData>
      <sheetData sheetId="6"/>
      <sheetData sheetId="7"/>
      <sheetData sheetId="8"/>
      <sheetData sheetId="9"/>
      <sheetData sheetId="10"/>
      <sheetData sheetId="11"/>
      <sheetData sheetId="12"/>
      <sheetData sheetId="13"/>
      <sheetData sheetId="14"/>
      <sheetData sheetId="15"/>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 Info"/>
      <sheetName val="Details"/>
    </sheetNames>
    <sheetDataSet>
      <sheetData sheetId="0"/>
      <sheetData sheetId="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lumn"/>
      <sheetName val="Column steel"/>
      <sheetName val="Raft Steel"/>
      <sheetName val="NT-RAFT"/>
      <sheetName val="Raft-T20"/>
      <sheetName val="Raft-T21"/>
      <sheetName val="Raft-T22-COMBINED"/>
      <sheetName val="Raft-T22"/>
      <sheetName val="T23"/>
      <sheetName val="Lift (Typical)"/>
      <sheetName val="Column Upto Raft Top T-20"/>
      <sheetName val="Column Upto Raft Top T-21"/>
      <sheetName val="Column Upto Raft Top T-22"/>
      <sheetName val="Sheet3"/>
      <sheetName val="Column Basement T-22"/>
      <sheetName val="Column GROUND T-22"/>
      <sheetName val="Beams-Basement Roof T-22"/>
      <sheetName val="Slab-Basement Roof T-22"/>
      <sheetName val="Phase-1stirrups"/>
      <sheetName val="Sheet1"/>
      <sheetName val="Staircase No.1"/>
      <sheetName val="Staircase No.2"/>
      <sheetName val="Summary"/>
      <sheetName val="BBS 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2">
          <cell r="V2">
            <v>0.04</v>
          </cell>
        </row>
      </sheetData>
      <sheetData sheetId="17"/>
      <sheetData sheetId="18">
        <row r="3">
          <cell r="A3">
            <v>40</v>
          </cell>
        </row>
      </sheetData>
      <sheetData sheetId="19"/>
      <sheetData sheetId="20"/>
      <sheetData sheetId="21"/>
      <sheetData sheetId="22"/>
      <sheetData sheetId="23"/>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sheetName val="Demolition"/>
      <sheetName val="Ground Works"/>
      <sheetName val="Overall Excavation"/>
      <sheetName val="Footing"/>
      <sheetName val="Pile Cap"/>
      <sheetName val="Grade Beam"/>
      <sheetName val="RCC or STP Wall"/>
      <sheetName val="Retain wall"/>
      <sheetName val="Column"/>
      <sheetName val="Slab"/>
      <sheetName val="Drop panel"/>
      <sheetName val="RCC Beam"/>
      <sheetName val="Fin Sum"/>
      <sheetName val="Wall Sum"/>
      <sheetName val="Wall"/>
      <sheetName val="Finishes"/>
      <sheetName val="Staircase &amp; Ramp"/>
      <sheetName val="TBAL9697 -group wise  sdpl"/>
      <sheetName val="Fill this out fir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21"/>
      <sheetName val="E22"/>
      <sheetName val="E23"/>
      <sheetName val="E24"/>
      <sheetName val="E25"/>
      <sheetName val="E26"/>
      <sheetName val="E27"/>
      <sheetName val="E28"/>
      <sheetName val="E29"/>
      <sheetName val="E30"/>
      <sheetName val="E31"/>
      <sheetName val="E32"/>
      <sheetName val="E33"/>
      <sheetName val="E35"/>
      <sheetName val="Civil Works"/>
      <sheetName val="basic-data"/>
      <sheetName val="mem-property"/>
      <sheetName val="환율"/>
      <sheetName val="TBAL9697 -group wise  sdpl"/>
      <sheetName val="zone-8"/>
      <sheetName val="MHNO_LEV"/>
      <sheetName val="Civil_Works"/>
      <sheetName val="pilecap"/>
      <sheetName val="concrete"/>
      <sheetName val="beam-reinft-IIInd floor"/>
      <sheetName val="gen"/>
      <sheetName val="Factors"/>
      <sheetName val="Config"/>
      <sheetName val="Break Dw"/>
      <sheetName val="RATE ANALYSIS HYDRAULIC 17-03-2"/>
      <sheetName val="refer"/>
      <sheetName val="cables - Warmshell"/>
      <sheetName val="Summary_Bank"/>
      <sheetName val="Fin Sum"/>
      <sheetName val="key dates"/>
      <sheetName val="Actuals"/>
      <sheetName val="CCTV_EST1"/>
      <sheetName val="Staff Acco."/>
      <sheetName val="GR.slab-reinft"/>
      <sheetName val="Name List"/>
      <sheetName val="Profile"/>
      <sheetName val="Sheet3"/>
      <sheetName val="co_5"/>
      <sheetName val="Cash Flow Input Data_ISC"/>
      <sheetName val="Interface_SC"/>
      <sheetName val="Calc_ISC"/>
      <sheetName val="Calc_SC"/>
      <sheetName val="Interface_ISC"/>
      <sheetName val="GD"/>
      <sheetName val="zone-2"/>
      <sheetName val="key info"/>
      <sheetName val="Res Sheet"/>
      <sheetName val="Civil BOQ"/>
      <sheetName val="Sheet1"/>
      <sheetName val="Cash Flow"/>
      <sheetName val="VCH-SLC"/>
      <sheetName val="Supplier"/>
      <sheetName val="Civil_Works1"/>
      <sheetName val="labour rates"/>
      <sheetName val="Data sheet"/>
      <sheetName val="coa_ramco_168"/>
      <sheetName val="beam-reinft-IIInd_floor"/>
      <sheetName val="Civil_Works2"/>
      <sheetName val="TBAL9697_-group_wise__sdpl"/>
      <sheetName val="beam-reinft-IIInd_floor1"/>
      <sheetName val="Civil_Works3"/>
      <sheetName val="TBAL9697_-group_wise__sdpl1"/>
      <sheetName val="beam-reinft-IIInd_floor2"/>
      <sheetName val="2_civil-RA"/>
      <sheetName val="2.civil-RA"/>
      <sheetName val="Design"/>
      <sheetName val="BOQ"/>
      <sheetName val="Mat.-Rates"/>
      <sheetName val="Assumptions"/>
      <sheetName val="Assmpns"/>
      <sheetName val="VALIDATIONS"/>
      <sheetName val="final abstract"/>
      <sheetName val="Costing"/>
      <sheetName val="INPUT SHEET"/>
      <sheetName val="COA-17"/>
      <sheetName val="C-18"/>
      <sheetName val="Break_Dw"/>
      <sheetName val="Break_Dw1"/>
      <sheetName val="PRECAST_lightconc-II2"/>
      <sheetName val="Civil &amp; design"/>
      <sheetName val="FINOLEX"/>
      <sheetName val="Sheet 1"/>
      <sheetName val="Set"/>
      <sheetName val="Map"/>
      <sheetName val="계정"/>
      <sheetName val="Door"/>
      <sheetName val="Per Unit"/>
      <sheetName val="Window"/>
      <sheetName val="Pacakges split"/>
      <sheetName val="Footings"/>
      <sheetName val="Pay_Sep06"/>
      <sheetName val="Cashflow projection"/>
      <sheetName val="220 11  BS "/>
      <sheetName val="data"/>
      <sheetName val="P&amp;LSum"/>
      <sheetName val="IDC"/>
      <sheetName val="Fill this out first..."/>
      <sheetName val="AOR"/>
      <sheetName val="Driveway Beams"/>
      <sheetName val="4 CIS"/>
      <sheetName val="VL"/>
      <sheetName val="TN"/>
      <sheetName val="ND"/>
      <sheetName val="Civil_Works4"/>
      <sheetName val="Data_sheet"/>
      <sheetName val="TBAL9697_-group_wise__sdpl2"/>
      <sheetName val="beam-reinft-IIInd_floor3"/>
      <sheetName val="RATE_ANALYSIS_HYDRAULIC_17-03-2"/>
      <sheetName val="cables_-_Warmshell"/>
      <sheetName val="Name_List"/>
      <sheetName val="Fin_Sum"/>
      <sheetName val="key_dates"/>
      <sheetName val="Staff_Acco_"/>
      <sheetName val="GR_slab-reinft"/>
      <sheetName val="Cash_Flow_Input_Data_ISC"/>
      <sheetName val="key_info"/>
      <sheetName val="Res_Sheet"/>
      <sheetName val="Civil_BOQ"/>
      <sheetName val="Cash_Flow"/>
      <sheetName val="labour_rates"/>
      <sheetName val="Mat_-Rates"/>
      <sheetName val="INPUT_SHEET"/>
      <sheetName val="2_civil-RA1"/>
      <sheetName val="final_abstract"/>
      <sheetName val="Civil_Works5"/>
      <sheetName val="TBAL9697_-group_wise__sdpl3"/>
      <sheetName val="beam-reinft-IIInd_floor4"/>
      <sheetName val="cables_-_Warmshell1"/>
      <sheetName val="RATE_ANALYSIS_HYDRAULIC_17-03-1"/>
      <sheetName val="Fin_Sum1"/>
      <sheetName val="key_dates1"/>
      <sheetName val="Staff_Acco_1"/>
      <sheetName val="GR_slab-reinft1"/>
      <sheetName val="Name_List1"/>
      <sheetName val="Cash_Flow_Input_Data_ISC1"/>
      <sheetName val="key_info1"/>
      <sheetName val="Res_Sheet1"/>
      <sheetName val="Civil_BOQ1"/>
      <sheetName val="Cash_Flow1"/>
      <sheetName val="labour_rates1"/>
      <sheetName val="Data_sheet1"/>
      <sheetName val="Mat_-Rates1"/>
      <sheetName val="INPUT_SHEET1"/>
      <sheetName val="2_civil-RA2"/>
      <sheetName val="final_abstract1"/>
      <sheetName val="INTIME PROJECT AREA"/>
      <sheetName val="p&amp;m"/>
      <sheetName val="C-12"/>
      <sheetName val="Meas.-Hotel Part"/>
      <sheetName val="sc-mar2000"/>
      <sheetName val="Build-up"/>
      <sheetName val="Components"/>
      <sheetName val="RCC,Ret. Wall"/>
      <sheetName val="P&amp;L_summary_sub_Fund"/>
      <sheetName val="RA-markate"/>
      <sheetName val="System Summary"/>
      <sheetName val="R2"/>
      <sheetName val="Break_Dw2"/>
      <sheetName val="Pacakges_split"/>
      <sheetName val="Sheet_1"/>
      <sheetName val="Per_Unit"/>
      <sheetName val="Cashflow_projection"/>
      <sheetName val="220_11__BS_"/>
      <sheetName val="Civil_&amp;_design"/>
      <sheetName val="Fill_this_out_first___"/>
      <sheetName val="Driveway_Beams"/>
      <sheetName val="Civil_Works6"/>
      <sheetName val="key_dates2"/>
      <sheetName val="TBAL9697_-group_wise__sdpl4"/>
      <sheetName val="Fin_Sum2"/>
      <sheetName val="beam-reinft-IIInd_floor5"/>
      <sheetName val="Staff_Acco_2"/>
      <sheetName val="Mat_-Rates2"/>
      <sheetName val="RATE_ANALYSIS_HYDRAULIC_17-03-3"/>
      <sheetName val="cables_-_Warmshell2"/>
      <sheetName val="Break_Dw4"/>
      <sheetName val="GR_slab-reinft2"/>
      <sheetName val="Name_List2"/>
      <sheetName val="Pacakges_split2"/>
      <sheetName val="Data_sheet2"/>
      <sheetName val="Sheet_12"/>
      <sheetName val="Per_Unit2"/>
      <sheetName val="Cash_Flow_Input_Data_ISC2"/>
      <sheetName val="key_info2"/>
      <sheetName val="Cashflow_projection2"/>
      <sheetName val="220_11__BS_2"/>
      <sheetName val="2_civil-RA3"/>
      <sheetName val="final_abstract2"/>
      <sheetName val="labour_rates2"/>
      <sheetName val="Civil_&amp;_design2"/>
      <sheetName val="Res_Sheet2"/>
      <sheetName val="Civil_BOQ2"/>
      <sheetName val="Cash_Flow2"/>
      <sheetName val="Fill_this_out_first___2"/>
      <sheetName val="Driveway_Beams2"/>
      <sheetName val="Break_Dw3"/>
      <sheetName val="Pacakges_split1"/>
      <sheetName val="Sheet_11"/>
      <sheetName val="Per_Unit1"/>
      <sheetName val="Cashflow_projection1"/>
      <sheetName val="220_11__BS_1"/>
      <sheetName val="Civil_&amp;_design1"/>
      <sheetName val="Fill_this_out_first___1"/>
      <sheetName val="Driveway_Beams1"/>
      <sheetName val="Civil_Works7"/>
      <sheetName val="key_dates3"/>
      <sheetName val="TBAL9697_-group_wise__sdpl5"/>
      <sheetName val="Fin_Sum3"/>
      <sheetName val="beam-reinft-IIInd_floor6"/>
      <sheetName val="Staff_Acco_3"/>
      <sheetName val="Mat_-Rates3"/>
      <sheetName val="RATE_ANALYSIS_HYDRAULIC_17-03-4"/>
      <sheetName val="cables_-_Warmshell3"/>
      <sheetName val="Break_Dw5"/>
      <sheetName val="GR_slab-reinft3"/>
      <sheetName val="Name_List3"/>
      <sheetName val="Pacakges_split3"/>
      <sheetName val="Data_sheet3"/>
      <sheetName val="Sheet_13"/>
      <sheetName val="Per_Unit3"/>
      <sheetName val="Cash_Flow_Input_Data_ISC3"/>
      <sheetName val="key_info3"/>
      <sheetName val="Cashflow_projection3"/>
      <sheetName val="220_11__BS_3"/>
      <sheetName val="2_civil-RA4"/>
      <sheetName val="final_abstract3"/>
      <sheetName val="labour_rates3"/>
      <sheetName val="Civil_&amp;_design3"/>
      <sheetName val="Res_Sheet3"/>
      <sheetName val="Civil_BOQ3"/>
      <sheetName val="Cash_Flow3"/>
      <sheetName val="Fill_this_out_first___3"/>
      <sheetName val="Driveway_Beams3"/>
      <sheetName val="Civil_Works8"/>
      <sheetName val="key_dates4"/>
      <sheetName val="TBAL9697_-group_wise__sdpl6"/>
      <sheetName val="Fin_Sum4"/>
      <sheetName val="beam-reinft-IIInd_floor7"/>
      <sheetName val="Staff_Acco_4"/>
      <sheetName val="Mat_-Rates4"/>
      <sheetName val="RATE_ANALYSIS_HYDRAULIC_17-03-5"/>
      <sheetName val="cables_-_Warmshell4"/>
      <sheetName val="Break_Dw6"/>
      <sheetName val="GR_slab-reinft4"/>
      <sheetName val="Name_List4"/>
      <sheetName val="Pacakges_split4"/>
      <sheetName val="Data_sheet4"/>
      <sheetName val="Sheet_14"/>
      <sheetName val="Per_Unit4"/>
      <sheetName val="Cash_Flow_Input_Data_ISC4"/>
      <sheetName val="key_info4"/>
      <sheetName val="Cashflow_projection4"/>
      <sheetName val="220_11__BS_4"/>
      <sheetName val="2_civil-RA5"/>
      <sheetName val="final_abstract4"/>
      <sheetName val="labour_rates4"/>
      <sheetName val="Civil_&amp;_design4"/>
      <sheetName val="Res_Sheet4"/>
      <sheetName val="Civil_BOQ4"/>
      <sheetName val="Cash_Flow4"/>
      <sheetName val="Fill_this_out_first___4"/>
      <sheetName val="Driveway_Beams4"/>
      <sheetName val="Civil_Works9"/>
      <sheetName val="key_dates5"/>
      <sheetName val="TBAL9697_-group_wise__sdpl7"/>
      <sheetName val="Fin_Sum5"/>
      <sheetName val="beam-reinft-IIInd_floor8"/>
      <sheetName val="Staff_Acco_5"/>
      <sheetName val="Mat_-Rates5"/>
      <sheetName val="RATE_ANALYSIS_HYDRAULIC_17-03-6"/>
      <sheetName val="cables_-_Warmshell5"/>
      <sheetName val="Break_Dw7"/>
      <sheetName val="GR_slab-reinft5"/>
      <sheetName val="Name_List5"/>
      <sheetName val="Pacakges_split5"/>
      <sheetName val="Data_sheet5"/>
      <sheetName val="Sheet_15"/>
      <sheetName val="Per_Unit5"/>
      <sheetName val="Cash_Flow_Input_Data_ISC5"/>
      <sheetName val="key_info5"/>
      <sheetName val="Cashflow_projection5"/>
      <sheetName val="220_11__BS_5"/>
      <sheetName val="2_civil-RA6"/>
      <sheetName val="final_abstract5"/>
      <sheetName val="labour_rates5"/>
      <sheetName val="Civil_&amp;_design5"/>
      <sheetName val="Res_Sheet5"/>
      <sheetName val="Civil_BOQ5"/>
      <sheetName val="Cash_Flow5"/>
      <sheetName val="Fill_this_out_first___5"/>
      <sheetName val="Driveway_Beams5"/>
      <sheetName val="Civil_Works10"/>
      <sheetName val="key_dates6"/>
      <sheetName val="TBAL9697_-group_wise__sdpl8"/>
      <sheetName val="Fin_Sum6"/>
      <sheetName val="beam-reinft-IIInd_floor9"/>
      <sheetName val="Staff_Acco_6"/>
      <sheetName val="Mat_-Rates6"/>
      <sheetName val="RATE_ANALYSIS_HYDRAULIC_17-03-7"/>
      <sheetName val="cables_-_Warmshell6"/>
      <sheetName val="Break_Dw8"/>
      <sheetName val="GR_slab-reinft6"/>
      <sheetName val="Name_List6"/>
      <sheetName val="Pacakges_split6"/>
      <sheetName val="Data_sheet6"/>
      <sheetName val="Sheet_16"/>
      <sheetName val="Per_Unit6"/>
      <sheetName val="Cash_Flow_Input_Data_ISC6"/>
      <sheetName val="key_info6"/>
      <sheetName val="Cashflow_projection6"/>
      <sheetName val="220_11__BS_6"/>
      <sheetName val="2_civil-RA7"/>
      <sheetName val="final_abstract6"/>
      <sheetName val="labour_rates6"/>
      <sheetName val="Civil_&amp;_design6"/>
      <sheetName val="Res_Sheet6"/>
      <sheetName val="Civil_BOQ6"/>
      <sheetName val="Cash_Flow6"/>
      <sheetName val="Fill_this_out_first___6"/>
      <sheetName val="Driveway_Beams6"/>
      <sheetName val="Civil_Works11"/>
      <sheetName val="key_dates7"/>
      <sheetName val="TBAL9697_-group_wise__sdpl9"/>
      <sheetName val="Fin_Sum7"/>
      <sheetName val="beam-reinft-IIInd_floor10"/>
      <sheetName val="Staff_Acco_7"/>
      <sheetName val="Mat_-Rates7"/>
      <sheetName val="RATE_ANALYSIS_HYDRAULIC_17-03-8"/>
      <sheetName val="cables_-_Warmshell7"/>
      <sheetName val="Break_Dw9"/>
      <sheetName val="GR_slab-reinft7"/>
      <sheetName val="Name_List7"/>
      <sheetName val="Pacakges_split7"/>
      <sheetName val="Data_sheet7"/>
      <sheetName val="Sheet_17"/>
      <sheetName val="Per_Unit7"/>
      <sheetName val="Cash_Flow_Input_Data_ISC7"/>
      <sheetName val="key_info7"/>
      <sheetName val="Cashflow_projection7"/>
      <sheetName val="220_11__BS_7"/>
      <sheetName val="2_civil-RA8"/>
      <sheetName val="final_abstract7"/>
      <sheetName val="labour_rates7"/>
      <sheetName val="Civil_&amp;_design7"/>
      <sheetName val="Res_Sheet7"/>
      <sheetName val="Civil_BOQ7"/>
      <sheetName val="Cash_Flow7"/>
      <sheetName val="Fill_this_out_first___7"/>
      <sheetName val="Driveway_Beams7"/>
      <sheetName val="Civil_Works12"/>
      <sheetName val="key_dates8"/>
      <sheetName val="TBAL9697_-group_wise__sdpl10"/>
      <sheetName val="Fin_Sum8"/>
      <sheetName val="beam-reinft-IIInd_floor11"/>
      <sheetName val="Staff_Acco_8"/>
      <sheetName val="Mat_-Rates8"/>
      <sheetName val="RATE_ANALYSIS_HYDRAULIC_17-03-9"/>
      <sheetName val="cables_-_Warmshell8"/>
      <sheetName val="Break_Dw10"/>
      <sheetName val="GR_slab-reinft8"/>
      <sheetName val="Name_List8"/>
      <sheetName val="Pacakges_split8"/>
      <sheetName val="Data_sheet8"/>
      <sheetName val="Sheet_18"/>
      <sheetName val="Per_Unit8"/>
      <sheetName val="Cash_Flow_Input_Data_ISC8"/>
      <sheetName val="key_info8"/>
      <sheetName val="Cashflow_projection8"/>
      <sheetName val="220_11__BS_8"/>
      <sheetName val="2_civil-RA9"/>
      <sheetName val="final_abstract8"/>
      <sheetName val="labour_rates8"/>
      <sheetName val="Civil_&amp;_design8"/>
      <sheetName val="Res_Sheet8"/>
      <sheetName val="Civil_BOQ8"/>
      <sheetName val="Cash_Flow8"/>
      <sheetName val="Fill_this_out_first___8"/>
      <sheetName val="Driveway_Beams8"/>
      <sheetName val="Co-Inf"/>
      <sheetName val="Cleaning &amp; Grubbing"/>
      <sheetName val="PRECAST lightconc-II"/>
      <sheetName val="analysis"/>
      <sheetName val="BOQ Distribution"/>
      <sheetName val="Civil_Works18"/>
      <sheetName val="key_dates14"/>
      <sheetName val="TBAL9697_-group_wise__sdpl16"/>
      <sheetName val="Fin_Sum14"/>
      <sheetName val="beam-reinft-IIInd_floor17"/>
      <sheetName val="Staff_Acco_14"/>
      <sheetName val="Mat_-Rates14"/>
      <sheetName val="RATE_ANALYSIS_HYDRAULIC_17-0315"/>
      <sheetName val="cables_-_Warmshell14"/>
      <sheetName val="Break_Dw16"/>
      <sheetName val="GR_slab-reinft14"/>
      <sheetName val="Name_List14"/>
      <sheetName val="Pacakges_split14"/>
      <sheetName val="Data_sheet14"/>
      <sheetName val="Sheet_114"/>
      <sheetName val="Per_Unit14"/>
      <sheetName val="Cash_Flow_Input_Data_ISC14"/>
      <sheetName val="key_info14"/>
      <sheetName val="Cashflow_projection14"/>
      <sheetName val="220_11__BS_14"/>
      <sheetName val="2_civil-RA15"/>
      <sheetName val="final_abstract14"/>
      <sheetName val="labour_rates14"/>
      <sheetName val="Civil_&amp;_design14"/>
      <sheetName val="Res_Sheet14"/>
      <sheetName val="Civil_BOQ14"/>
      <sheetName val="Cash_Flow14"/>
      <sheetName val="Fill_this_out_first___14"/>
      <sheetName val="Driveway_Beams14"/>
      <sheetName val="Civil_Works14"/>
      <sheetName val="key_dates10"/>
      <sheetName val="TBAL9697_-group_wise__sdpl12"/>
      <sheetName val="Fin_Sum10"/>
      <sheetName val="beam-reinft-IIInd_floor13"/>
      <sheetName val="Staff_Acco_10"/>
      <sheetName val="Mat_-Rates10"/>
      <sheetName val="RATE_ANALYSIS_HYDRAULIC_17-0311"/>
      <sheetName val="cables_-_Warmshell10"/>
      <sheetName val="Break_Dw12"/>
      <sheetName val="GR_slab-reinft10"/>
      <sheetName val="Name_List10"/>
      <sheetName val="Pacakges_split10"/>
      <sheetName val="Data_sheet10"/>
      <sheetName val="Sheet_110"/>
      <sheetName val="Per_Unit10"/>
      <sheetName val="Cash_Flow_Input_Data_ISC10"/>
      <sheetName val="key_info10"/>
      <sheetName val="Cashflow_projection10"/>
      <sheetName val="220_11__BS_10"/>
      <sheetName val="2_civil-RA11"/>
      <sheetName val="final_abstract10"/>
      <sheetName val="labour_rates10"/>
      <sheetName val="Civil_&amp;_design10"/>
      <sheetName val="Res_Sheet10"/>
      <sheetName val="Civil_BOQ10"/>
      <sheetName val="Cash_Flow10"/>
      <sheetName val="Fill_this_out_first___10"/>
      <sheetName val="Driveway_Beams10"/>
      <sheetName val="Civil_Works13"/>
      <sheetName val="key_dates9"/>
      <sheetName val="TBAL9697_-group_wise__sdpl11"/>
      <sheetName val="Fin_Sum9"/>
      <sheetName val="beam-reinft-IIInd_floor12"/>
      <sheetName val="Staff_Acco_9"/>
      <sheetName val="Mat_-Rates9"/>
      <sheetName val="RATE_ANALYSIS_HYDRAULIC_17-0310"/>
      <sheetName val="cables_-_Warmshell9"/>
      <sheetName val="Break_Dw11"/>
      <sheetName val="GR_slab-reinft9"/>
      <sheetName val="Name_List9"/>
      <sheetName val="Pacakges_split9"/>
      <sheetName val="Data_sheet9"/>
      <sheetName val="Sheet_19"/>
      <sheetName val="Per_Unit9"/>
      <sheetName val="Cash_Flow_Input_Data_ISC9"/>
      <sheetName val="key_info9"/>
      <sheetName val="Cashflow_projection9"/>
      <sheetName val="220_11__BS_9"/>
      <sheetName val="2_civil-RA10"/>
      <sheetName val="final_abstract9"/>
      <sheetName val="labour_rates9"/>
      <sheetName val="Civil_&amp;_design9"/>
      <sheetName val="Res_Sheet9"/>
      <sheetName val="Civil_BOQ9"/>
      <sheetName val="Cash_Flow9"/>
      <sheetName val="Fill_this_out_first___9"/>
      <sheetName val="Driveway_Beams9"/>
      <sheetName val="Civil_Works15"/>
      <sheetName val="key_dates11"/>
      <sheetName val="TBAL9697_-group_wise__sdpl13"/>
      <sheetName val="Fin_Sum11"/>
      <sheetName val="beam-reinft-IIInd_floor14"/>
      <sheetName val="Staff_Acco_11"/>
      <sheetName val="Mat_-Rates11"/>
      <sheetName val="RATE_ANALYSIS_HYDRAULIC_17-0312"/>
      <sheetName val="cables_-_Warmshell11"/>
      <sheetName val="Break_Dw13"/>
      <sheetName val="GR_slab-reinft11"/>
      <sheetName val="Name_List11"/>
      <sheetName val="Pacakges_split11"/>
      <sheetName val="Data_sheet11"/>
      <sheetName val="Sheet_111"/>
      <sheetName val="Per_Unit11"/>
      <sheetName val="Cash_Flow_Input_Data_ISC11"/>
      <sheetName val="key_info11"/>
      <sheetName val="Cashflow_projection11"/>
      <sheetName val="Sheet2 (2)"/>
      <sheetName val="E15"/>
      <sheetName val="\\Basant\projects\PROJECTS\Proj"/>
      <sheetName val="RATE.XLS"/>
      <sheetName val="Mat_Cost"/>
      <sheetName val="220_11__BS_11"/>
      <sheetName val="2_civil-RA12"/>
      <sheetName val="final_abstract11"/>
      <sheetName val="foot-slab reinft"/>
      <sheetName val="Basic Material Rates(7)"/>
      <sheetName val="labour_rates11"/>
      <sheetName val="Civil_&amp;_design11"/>
      <sheetName val="Res_Sheet11"/>
      <sheetName val="Civil_BOQ11"/>
      <sheetName val="Cash_Flow11"/>
      <sheetName val="Fill_this_out_first___11"/>
      <sheetName val="Driveway_Beams11"/>
      <sheetName val="Civil_Works16"/>
      <sheetName val="key_dates12"/>
      <sheetName val="TBAL9697_-group_wise__sdpl14"/>
      <sheetName val="Fin_Sum12"/>
      <sheetName val="beam-reinft-IIInd_floor15"/>
      <sheetName val="Staff_Acco_12"/>
      <sheetName val="Mat_-Rates12"/>
      <sheetName val="RATE_ANALYSIS_HYDRAULIC_17-0313"/>
      <sheetName val="cables_-_Warmshell12"/>
      <sheetName val="Break_Dw14"/>
      <sheetName val="GR_slab-reinft12"/>
      <sheetName val="Name_List12"/>
      <sheetName val="Pacakges_split12"/>
      <sheetName val="Data_sheet12"/>
      <sheetName val="Sheet_112"/>
      <sheetName val="Per_Unit12"/>
      <sheetName val="Cash_Flow_Input_Data_ISC12"/>
      <sheetName val="key_info12"/>
      <sheetName val="Cashflow_projection12"/>
      <sheetName val="220_11__BS_12"/>
      <sheetName val="2_civil-RA13"/>
      <sheetName val="final_abstract12"/>
      <sheetName val="labour_rates12"/>
      <sheetName val="Civil_&amp;_design12"/>
      <sheetName val="Res_Sheet12"/>
      <sheetName val="Civil_BOQ12"/>
      <sheetName val="Cash_Flow12"/>
      <sheetName val="Fill_this_out_first___12"/>
      <sheetName val="Driveway_Beams12"/>
      <sheetName val="Civil_Works17"/>
      <sheetName val="key_dates13"/>
      <sheetName val="TBAL9697_-group_wise__sdpl15"/>
      <sheetName val="Fin_Sum13"/>
      <sheetName val="beam-reinft-IIInd_floor16"/>
      <sheetName val="Staff_Acco_13"/>
      <sheetName val="Mat_-Rates13"/>
      <sheetName val="RATE_ANALYSIS_HYDRAULIC_17-0314"/>
      <sheetName val="cables_-_Warmshell13"/>
      <sheetName val="Break_Dw15"/>
      <sheetName val="GR_slab-reinft13"/>
      <sheetName val="Name_List13"/>
      <sheetName val="Pacakges_split13"/>
      <sheetName val="Data_sheet13"/>
      <sheetName val="Sheet_113"/>
      <sheetName val="Per_Unit13"/>
      <sheetName val="Cash_Flow_Input_Data_ISC13"/>
      <sheetName val="key_info13"/>
      <sheetName val="Cashflow_projection13"/>
      <sheetName val="220_11__BS_13"/>
      <sheetName val="2_civil-RA14"/>
      <sheetName val="final_abstract13"/>
      <sheetName val="labour_rates13"/>
      <sheetName val="Civil_&amp;_design13"/>
      <sheetName val="Res_Sheet13"/>
      <sheetName val="Civil_BOQ13"/>
      <sheetName val="Cash_Flow13"/>
      <sheetName val="Fill_this_out_first___13"/>
      <sheetName val="Driveway_Beams13"/>
      <sheetName val="Civil_Works24"/>
      <sheetName val="key_dates20"/>
      <sheetName val="TBAL9697_-group_wise__sdpl22"/>
      <sheetName val="Fin_Sum20"/>
      <sheetName val="beam-reinft-IIInd_floor23"/>
      <sheetName val="Staff_Acco_20"/>
      <sheetName val="Mat_-Rates20"/>
      <sheetName val="RATE_ANALYSIS_HYDRAULIC_17-0321"/>
      <sheetName val="cables_-_Warmshell20"/>
      <sheetName val="Break_Dw22"/>
      <sheetName val="GR_slab-reinft20"/>
      <sheetName val="Name_List20"/>
      <sheetName val="Pacakges_split20"/>
      <sheetName val="Data_sheet20"/>
      <sheetName val="Sheet_120"/>
      <sheetName val="Per_Unit20"/>
      <sheetName val="Cash_Flow_Input_Data_ISC20"/>
      <sheetName val="key_info20"/>
      <sheetName val="Cashflow_projection20"/>
      <sheetName val="220_11__BS_20"/>
      <sheetName val="2_civil-RA21"/>
      <sheetName val="final_abstract20"/>
      <sheetName val="labour_rates20"/>
      <sheetName val="Civil_&amp;_design20"/>
      <sheetName val="Res_Sheet20"/>
      <sheetName val="Civil_BOQ20"/>
      <sheetName val="Cash_Flow20"/>
      <sheetName val="Fill_this_out_first___20"/>
      <sheetName val="Driveway_Beams20"/>
      <sheetName val="Civil_Works19"/>
      <sheetName val="key_dates15"/>
      <sheetName val="TBAL9697_-group_wise__sdpl17"/>
      <sheetName val="Fin_Sum15"/>
      <sheetName val="beam-reinft-IIInd_floor18"/>
      <sheetName val="Staff_Acco_15"/>
      <sheetName val="Mat_-Rates15"/>
      <sheetName val="RATE_ANALYSIS_HYDRAULIC_17-0316"/>
      <sheetName val="cables_-_Warmshell15"/>
      <sheetName val="Break_Dw17"/>
      <sheetName val="GR_slab-reinft15"/>
      <sheetName val="Name_List15"/>
      <sheetName val="Pacakges_split15"/>
      <sheetName val="Data_sheet15"/>
      <sheetName val="Sheet_115"/>
      <sheetName val="Per_Unit15"/>
      <sheetName val="Cash_Flow_Input_Data_ISC15"/>
      <sheetName val="key_info15"/>
      <sheetName val="Cashflow_projection15"/>
      <sheetName val="220_11__BS_15"/>
      <sheetName val="2_civil-RA16"/>
      <sheetName val="final_abstract15"/>
      <sheetName val="labour_rates15"/>
      <sheetName val="Civil_&amp;_design15"/>
      <sheetName val="Res_Sheet15"/>
      <sheetName val="Civil_BOQ15"/>
      <sheetName val="Cash_Flow15"/>
      <sheetName val="Fill_this_out_first___15"/>
      <sheetName val="Driveway_Beams15"/>
      <sheetName val="Civil_Works20"/>
      <sheetName val="key_dates16"/>
      <sheetName val="TBAL9697_-group_wise__sdpl18"/>
      <sheetName val="Fin_Sum16"/>
      <sheetName val="beam-reinft-IIInd_floor19"/>
      <sheetName val="Staff_Acco_16"/>
      <sheetName val="Mat_-Rates16"/>
      <sheetName val="RATE_ANALYSIS_HYDRAULIC_17-0317"/>
      <sheetName val="cables_-_Warmshell16"/>
      <sheetName val="Break_Dw18"/>
      <sheetName val="GR_slab-reinft16"/>
      <sheetName val="Name_List16"/>
      <sheetName val="Pacakges_split16"/>
      <sheetName val="Data_sheet16"/>
      <sheetName val="Sheet_116"/>
      <sheetName val="Per_Unit16"/>
      <sheetName val="Cash_Flow_Input_Data_ISC16"/>
      <sheetName val="key_info16"/>
      <sheetName val="Cashflow_projection16"/>
      <sheetName val="220_11__BS_16"/>
      <sheetName val="2_civil-RA17"/>
      <sheetName val="final_abstract16"/>
      <sheetName val="labour_rates16"/>
      <sheetName val="Civil_&amp;_design16"/>
      <sheetName val="Res_Sheet16"/>
      <sheetName val="Civil_BOQ16"/>
      <sheetName val="Cash_Flow16"/>
      <sheetName val="Fill_this_out_first___16"/>
      <sheetName val="Driveway_Beams16"/>
      <sheetName val="RCC,Ret__Wall3"/>
      <sheetName val="Civil_Works21"/>
      <sheetName val="key_dates17"/>
      <sheetName val="TBAL9697_-group_wise__sdpl19"/>
      <sheetName val="Fin_Sum17"/>
      <sheetName val="beam-reinft-IIInd_floor20"/>
      <sheetName val="Staff_Acco_17"/>
      <sheetName val="Mat_-Rates17"/>
      <sheetName val="RATE_ANALYSIS_HYDRAULIC_17-0318"/>
      <sheetName val="cables_-_Warmshell17"/>
      <sheetName val="Break_Dw19"/>
      <sheetName val="GR_slab-reinft17"/>
      <sheetName val="Name_List17"/>
      <sheetName val="Pacakges_split17"/>
      <sheetName val="Data_sheet17"/>
      <sheetName val="Sheet_117"/>
      <sheetName val="Per_Unit17"/>
      <sheetName val="Cash_Flow_Input_Data_ISC17"/>
      <sheetName val="key_info17"/>
      <sheetName val="Cashflow_projection17"/>
      <sheetName val="220_11__BS_17"/>
      <sheetName val="2_civil-RA18"/>
      <sheetName val="final_abstract17"/>
      <sheetName val="labour_rates17"/>
      <sheetName val="Civil_&amp;_design17"/>
      <sheetName val="Res_Sheet17"/>
      <sheetName val="Civil_BOQ17"/>
      <sheetName val="Cash_Flow17"/>
      <sheetName val="Fill_this_out_first___17"/>
      <sheetName val="Driveway_Beams17"/>
      <sheetName val="RCC,Ret__Wall"/>
      <sheetName val="Civil_Works22"/>
      <sheetName val="key_dates18"/>
      <sheetName val="TBAL9697_-group_wise__sdpl20"/>
      <sheetName val="Fin_Sum18"/>
      <sheetName val="beam-reinft-IIInd_floor21"/>
      <sheetName val="Staff_Acco_18"/>
      <sheetName val="Mat_-Rates18"/>
      <sheetName val="RATE_ANALYSIS_HYDRAULIC_17-0319"/>
      <sheetName val="cables_-_Warmshell18"/>
      <sheetName val="Break_Dw20"/>
      <sheetName val="GR_slab-reinft18"/>
      <sheetName val="Name_List18"/>
      <sheetName val="Pacakges_split18"/>
      <sheetName val="Data_sheet18"/>
      <sheetName val="Sheet_118"/>
      <sheetName val="Per_Unit18"/>
      <sheetName val="Cash_Flow_Input_Data_ISC18"/>
      <sheetName val="key_info18"/>
      <sheetName val="Cashflow_projection18"/>
      <sheetName val="220_11__BS_18"/>
      <sheetName val="2_civil-RA19"/>
      <sheetName val="final_abstract18"/>
      <sheetName val="labour_rates18"/>
      <sheetName val="Civil_&amp;_design18"/>
      <sheetName val="Res_Sheet18"/>
      <sheetName val="Civil_BOQ18"/>
      <sheetName val="Cash_Flow18"/>
      <sheetName val="Fill_this_out_first___18"/>
      <sheetName val="Driveway_Beams18"/>
      <sheetName val="RCC,Ret__Wall1"/>
      <sheetName val="Civil_Works23"/>
      <sheetName val="key_dates19"/>
      <sheetName val="TBAL9697_-group_wise__sdpl21"/>
      <sheetName val="Fin_Sum19"/>
      <sheetName val="beam-reinft-IIInd_floor22"/>
      <sheetName val="Staff_Acco_19"/>
      <sheetName val="Mat_-Rates19"/>
      <sheetName val="RATE_ANALYSIS_HYDRAULIC_17-0320"/>
      <sheetName val="cables_-_Warmshell19"/>
      <sheetName val="Break_Dw21"/>
      <sheetName val="GR_slab-reinft19"/>
      <sheetName val="Name_List19"/>
      <sheetName val="Pacakges_split19"/>
      <sheetName val="Data_sheet19"/>
      <sheetName val="Sheet_119"/>
      <sheetName val="Per_Unit19"/>
      <sheetName val="Cash_Flow_Input_Data_ISC19"/>
      <sheetName val="key_info19"/>
      <sheetName val="Cashflow_projection19"/>
      <sheetName val="220_11__BS_19"/>
      <sheetName val="2_civil-RA20"/>
      <sheetName val="final_abstract19"/>
      <sheetName val="labour_rates19"/>
      <sheetName val="Civil_&amp;_design19"/>
      <sheetName val="Res_Sheet19"/>
      <sheetName val="Civil_BOQ19"/>
      <sheetName val="Cash_Flow19"/>
      <sheetName val="Fill_this_out_first___19"/>
      <sheetName val="Driveway_Beams19"/>
      <sheetName val="RCC,Ret__Wall2"/>
      <sheetName val="Civil_Works25"/>
      <sheetName val="key_dates21"/>
      <sheetName val="TBAL9697_-group_wise__sdpl23"/>
      <sheetName val="Fin_Sum21"/>
      <sheetName val="beam-reinft-IIInd_floor24"/>
      <sheetName val="Staff_Acco_21"/>
      <sheetName val="Mat_-Rates21"/>
      <sheetName val="RATE_ANALYSIS_HYDRAULIC_17-0322"/>
      <sheetName val="cables_-_Warmshell21"/>
      <sheetName val="Break_Dw23"/>
      <sheetName val="GR_slab-reinft21"/>
      <sheetName val="Name_List21"/>
      <sheetName val="Pacakges_split21"/>
      <sheetName val="Data_sheet21"/>
      <sheetName val="Sheet_121"/>
      <sheetName val="Per_Unit21"/>
      <sheetName val="Cash_Flow_Input_Data_ISC21"/>
      <sheetName val="key_info21"/>
      <sheetName val="Cashflow_projection21"/>
      <sheetName val="220_11__BS_21"/>
      <sheetName val="2_civil-RA22"/>
      <sheetName val="final_abstract21"/>
      <sheetName val="labour_rates21"/>
      <sheetName val="Civil_&amp;_design21"/>
      <sheetName val="Res_Sheet21"/>
      <sheetName val="Civil_BOQ21"/>
      <sheetName val="Cash_Flow21"/>
      <sheetName val="Fill_this_out_first___21"/>
      <sheetName val="Driveway_Beams21"/>
      <sheetName val="RCC,Ret__Wall4"/>
      <sheetName val="Civil_Works26"/>
      <sheetName val="key_dates22"/>
      <sheetName val="TBAL9697_-group_wise__sdpl24"/>
      <sheetName val="Fin_Sum22"/>
      <sheetName val="beam-reinft-IIInd_floor25"/>
      <sheetName val="Staff_Acco_22"/>
      <sheetName val="Mat_-Rates22"/>
      <sheetName val="RATE_ANALYSIS_HYDRAULIC_17-0323"/>
      <sheetName val="cables_-_Warmshell22"/>
      <sheetName val="Break_Dw24"/>
      <sheetName val="GR_slab-reinft22"/>
      <sheetName val="Name_List22"/>
      <sheetName val="Pacakges_split22"/>
      <sheetName val="Data_sheet22"/>
      <sheetName val="Sheet_122"/>
      <sheetName val="Per_Unit22"/>
      <sheetName val="Cash_Flow_Input_Data_ISC22"/>
      <sheetName val="key_info22"/>
      <sheetName val="Cashflow_projection22"/>
      <sheetName val="220_11__BS_22"/>
      <sheetName val="2_civil-RA23"/>
      <sheetName val="final_abstract22"/>
      <sheetName val="labour_rates22"/>
      <sheetName val="Civil_&amp;_design22"/>
      <sheetName val="Res_Sheet22"/>
      <sheetName val="Civil_BOQ22"/>
      <sheetName val="Cash_Flow22"/>
      <sheetName val="Fill_this_out_first___22"/>
      <sheetName val="Driveway_Beams22"/>
      <sheetName val="RCC,Ret__Wall5"/>
      <sheetName val="COP Final"/>
      <sheetName val="Civil_Works27"/>
      <sheetName val="key_dates23"/>
      <sheetName val="TBAL9697_-group_wise__sdpl25"/>
      <sheetName val="Fin_Sum23"/>
      <sheetName val="beam-reinft-IIInd_floor26"/>
      <sheetName val="Staff_Acco_23"/>
      <sheetName val="Mat_-Rates23"/>
      <sheetName val="RATE_ANALYSIS_HYDRAULIC_17-0324"/>
      <sheetName val="cables_-_Warmshell23"/>
      <sheetName val="Break_Dw25"/>
      <sheetName val="GR_slab-reinft23"/>
      <sheetName val="Name_List23"/>
      <sheetName val="Pacakges_split23"/>
      <sheetName val="Data_sheet23"/>
      <sheetName val="Sheet_123"/>
      <sheetName val="Per_Unit23"/>
      <sheetName val="Cash_Flow_Input_Data_ISC23"/>
      <sheetName val="key_info23"/>
      <sheetName val="Cashflow_projection23"/>
      <sheetName val="220_11__BS_23"/>
      <sheetName val="2_civil-RA24"/>
      <sheetName val="final_abstract23"/>
      <sheetName val="labour_rates23"/>
      <sheetName val="Civil_&amp;_design23"/>
      <sheetName val="Res_Sheet23"/>
      <sheetName val="Civil_BOQ23"/>
      <sheetName val="Cash_Flow23"/>
      <sheetName val="Fill_this_out_first___23"/>
      <sheetName val="Driveway_Beams23"/>
      <sheetName val="RCC,Ret__Wall6"/>
      <sheetName val="Civil_Works28"/>
      <sheetName val="key_dates24"/>
      <sheetName val="TBAL9697_-group_wise__sdpl26"/>
      <sheetName val="Fin_Sum24"/>
      <sheetName val="beam-reinft-IIInd_floor27"/>
      <sheetName val="Staff_Acco_24"/>
      <sheetName val="Mat_-Rates24"/>
      <sheetName val="RATE_ANALYSIS_HYDRAULIC_17-0325"/>
      <sheetName val="cables_-_Warmshell24"/>
      <sheetName val="Break_Dw26"/>
      <sheetName val="GR_slab-reinft24"/>
      <sheetName val="Name_List24"/>
      <sheetName val="Pacakges_split24"/>
      <sheetName val="Data_sheet24"/>
      <sheetName val="Sheet_124"/>
      <sheetName val="Per_Unit24"/>
      <sheetName val="Cash_Flow_Input_Data_ISC24"/>
      <sheetName val="key_info24"/>
      <sheetName val="Cashflow_projection24"/>
      <sheetName val="220_11__BS_24"/>
      <sheetName val="2_civil-RA25"/>
      <sheetName val="final_abstract24"/>
      <sheetName val="labour_rates24"/>
      <sheetName val="Civil_&amp;_design24"/>
      <sheetName val="Res_Sheet24"/>
      <sheetName val="Civil_BOQ24"/>
      <sheetName val="Cash_Flow24"/>
      <sheetName val="Fill_this_out_first___24"/>
      <sheetName val="Driveway_Beams24"/>
      <sheetName val="RCC,Ret__Wall7"/>
      <sheetName val="Meas_-Hotel_Part"/>
      <sheetName val="4_CIS"/>
      <sheetName val="Control"/>
      <sheetName val=""/>
      <sheetName val="Code Map"/>
      <sheetName val="PointNo.5"/>
      <sheetName val=" COP 100%"/>
      <sheetName val="Rates Basic"/>
      <sheetName val="SUMMARY-client"/>
      <sheetName val="SILICATE"/>
      <sheetName val="PMS"/>
      <sheetName val="SCF"/>
      <sheetName val="Nu_2"/>
      <sheetName val="Ve"/>
      <sheetName val="__Basant_projects_PROJECTS_Proj"/>
      <sheetName val="INDIGINEOUS ITEMS "/>
      <sheetName val="dBase"/>
      <sheetName val="Schedules"/>
      <sheetName val="CABLE DATA"/>
      <sheetName val="titles"/>
      <sheetName val="B1"/>
      <sheetName val="Conversions Final"/>
      <sheetName val="[RATE ANALYSIS HYDRAULIC 17-03-"/>
      <sheetName val="Civil_Works29"/>
      <sheetName val="class &amp; category"/>
      <sheetName val="Precalculation"/>
      <sheetName val="BOQ-Part1"/>
      <sheetName val="DETAILED  BOQ"/>
      <sheetName val="A"/>
      <sheetName val="RA"/>
      <sheetName val="Factor Sheet"/>
      <sheetName val="CDC-4"/>
      <sheetName val="ZIC"/>
      <sheetName val="CFForecast detail"/>
      <sheetName val="Measer1"/>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SSG"/>
      <sheetName val="KQ Cost Controlling"/>
      <sheetName val="KQ Appropriation"/>
      <sheetName val="Detail P&amp;L"/>
      <sheetName val="Assumption Sheet"/>
      <sheetName val="EXIS-COMBINED"/>
      <sheetName val="Project Brief"/>
      <sheetName val="Area Statement"/>
      <sheetName val="SPILL OVER"/>
      <sheetName val="Labour"/>
      <sheetName val="OS"/>
      <sheetName val="17"/>
      <sheetName val="est"/>
      <sheetName val="detail"/>
      <sheetName val="key_dates25"/>
      <sheetName val="TBAL9697_-group_wise__sdpl27"/>
      <sheetName val="Fin_Sum25"/>
      <sheetName val="beam-reinft-IIInd_floor28"/>
      <sheetName val="Mat_-Rates25"/>
      <sheetName val="RATE_ANALYSIS_HYDRAULIC_17-0326"/>
      <sheetName val="Staff_Acco_25"/>
      <sheetName val="cables_-_Warmshell25"/>
      <sheetName val="Break_Dw27"/>
      <sheetName val="GR_slab-reinft25"/>
      <sheetName val="Name_List25"/>
      <sheetName val="Cash_Flow_Input_Data_ISC25"/>
      <sheetName val="key_info25"/>
      <sheetName val="Data_sheet25"/>
      <sheetName val="Sheet_125"/>
      <sheetName val="Per_Unit25"/>
      <sheetName val="220_11__BS_25"/>
      <sheetName val="Pacakges_split25"/>
      <sheetName val="Cashflow_projection25"/>
      <sheetName val="Res_Sheet25"/>
      <sheetName val="Civil_BOQ25"/>
      <sheetName val="Cash_Flow25"/>
      <sheetName val="labour_rates25"/>
      <sheetName val="final_abstract25"/>
      <sheetName val="2_civil-RA26"/>
      <sheetName val="Civil_&amp;_design25"/>
      <sheetName val="INPUT_SHEET2"/>
      <sheetName val="Meas_-Hotel_Part1"/>
      <sheetName val="4_CIS1"/>
      <sheetName val="Driveway_Beams25"/>
      <sheetName val="INTIME_PROJECT_AREA"/>
      <sheetName val="RCC,Ret__Wall8"/>
      <sheetName val="System_Summary"/>
      <sheetName val="Fill_this_out_first___25"/>
      <sheetName val="BOQ_Distribution"/>
      <sheetName val="Cleaning_&amp;_Grubbing"/>
      <sheetName val="PRECAST_lightconc-II"/>
      <sheetName val="foot-slab_reinft"/>
      <sheetName val="RATE_XLS"/>
      <sheetName val="Sheet2_(2)"/>
      <sheetName val="Code_Map"/>
      <sheetName val="PointNo_5"/>
      <sheetName val="_COP_100%"/>
      <sheetName val="Basic_Material_Rates(7)"/>
      <sheetName val="COP_Final"/>
      <sheetName val="INDIGINEOUS_ITEMS_"/>
      <sheetName val="Conversions_Final"/>
      <sheetName val="DETAILED__BOQ"/>
      <sheetName val="Rates_Basic"/>
      <sheetName val="Factor_Sheet"/>
      <sheetName val="11B_"/>
      <sheetName val="Civil_Works30"/>
      <sheetName val="key_dates26"/>
      <sheetName val="TBAL9697_-group_wise__sdpl28"/>
      <sheetName val="Fin_Sum26"/>
      <sheetName val="beam-reinft-IIInd_floor29"/>
      <sheetName val="Mat_-Rates26"/>
      <sheetName val="RATE_ANALYSIS_HYDRAULIC_17-0327"/>
      <sheetName val="Staff_Acco_26"/>
      <sheetName val="cables_-_Warmshell26"/>
      <sheetName val="Break_Dw28"/>
      <sheetName val="GR_slab-reinft26"/>
      <sheetName val="Name_List26"/>
      <sheetName val="Cash_Flow_Input_Data_ISC26"/>
      <sheetName val="key_info26"/>
      <sheetName val="Data_sheet26"/>
      <sheetName val="Sheet_126"/>
      <sheetName val="Per_Unit26"/>
      <sheetName val="220_11__BS_26"/>
      <sheetName val="Pacakges_split26"/>
      <sheetName val="Cashflow_projection26"/>
      <sheetName val="Res_Sheet26"/>
      <sheetName val="Civil_BOQ26"/>
      <sheetName val="Cash_Flow26"/>
      <sheetName val="labour_rates26"/>
      <sheetName val="final_abstract26"/>
      <sheetName val="2_civil-RA27"/>
      <sheetName val="Civil_&amp;_design26"/>
      <sheetName val="INPUT_SHEET3"/>
      <sheetName val="Meas_-Hotel_Part2"/>
      <sheetName val="4_CIS2"/>
      <sheetName val="Driveway_Beams26"/>
      <sheetName val="INTIME_PROJECT_AREA1"/>
      <sheetName val="RCC,Ret__Wall9"/>
      <sheetName val="System_Summary1"/>
      <sheetName val="Fill_this_out_first___26"/>
      <sheetName val="BOQ_Distribution1"/>
      <sheetName val="Cleaning_&amp;_Grubbing1"/>
      <sheetName val="PRECAST_lightconc-II1"/>
      <sheetName val="foot-slab_reinft1"/>
      <sheetName val="RATE_XLS1"/>
      <sheetName val="Sheet2_(2)1"/>
      <sheetName val="Code_Map1"/>
      <sheetName val="PointNo_51"/>
      <sheetName val="_COP_100%1"/>
      <sheetName val="Basic_Material_Rates(7)1"/>
      <sheetName val="COP_Final1"/>
      <sheetName val="INDIGINEOUS_ITEMS_1"/>
      <sheetName val="Conversions_Final1"/>
      <sheetName val="DETAILED__BOQ1"/>
      <sheetName val="Rates_Basic1"/>
      <sheetName val="Factor_Sheet1"/>
      <sheetName val="11B_1"/>
      <sheetName val="Clipsal"/>
      <sheetName val="Legrand DB"/>
      <sheetName val="DG"/>
      <sheetName val="BEC MS "/>
      <sheetName val="Earthing"/>
      <sheetName val="Endtermination"/>
      <sheetName val="Fire"/>
      <sheetName val="Legrand Popular"/>
      <sheetName val="DPX LEGRAND"/>
      <sheetName val="Margin"/>
      <sheetName val="mccb"/>
      <sheetName val="Mosac"/>
      <sheetName val="Myline"/>
      <sheetName val="Wiring"/>
      <sheetName val="Roma"/>
      <sheetName val="Tray &amp; trunking"/>
      <sheetName val="GUT (2)"/>
      <sheetName val="ACE-OUT"/>
      <sheetName val="Data Input"/>
      <sheetName val="Project Charter"/>
      <sheetName val="SomeRate"/>
      <sheetName val="ItemSearched"/>
      <sheetName val="ItemList"/>
      <sheetName val="DSL-S"/>
      <sheetName val="LA- lookups"/>
      <sheetName val="Other assumptions"/>
      <sheetName val="Det_Des"/>
      <sheetName val="SPT vs PHI"/>
      <sheetName val="Headings"/>
      <sheetName val="Section 2"/>
      <sheetName val="System_Summary2"/>
      <sheetName val="COA"/>
      <sheetName val="Rate analysis- BOQ 1 "/>
      <sheetName val="_RATE ANALYSIS HYDRAULIC 17-03-"/>
      <sheetName val="labour coeff"/>
      <sheetName val="beam-reinft"/>
      <sheetName val="FORM7"/>
      <sheetName val="sum-all"/>
      <sheetName val="Annex"/>
      <sheetName val="Table"/>
      <sheetName val="Plumbing  BOQ_Pune"/>
      <sheetName val="Project Details"/>
      <sheetName val="Codes"/>
      <sheetName val="Intro"/>
      <sheetName val="Mmt"/>
      <sheetName val="banilad"/>
      <sheetName val="Mactan"/>
      <sheetName val="Mandaue"/>
      <sheetName val="Rate analysis"/>
      <sheetName val="Materials "/>
      <sheetName val="Rising Main 1"/>
      <sheetName val="소상 &quot;1&quot;"/>
      <sheetName val="L+M"/>
      <sheetName val="CPIPE"/>
      <sheetName val="exp-ded-jan' 06"/>
      <sheetName val="Design sheet"/>
      <sheetName val="except wiring"/>
      <sheetName val="Projects"/>
      <sheetName val="Structure Bills Qty"/>
      <sheetName val="inWords"/>
      <sheetName val="Rates 7-20"/>
      <sheetName val="Cashflow - Con"/>
      <sheetName val="TEXT"/>
      <sheetName val="SubAnlysis"/>
      <sheetName val="Sheet2"/>
      <sheetName val="csdim"/>
      <sheetName val="cdsload"/>
      <sheetName val="chsload"/>
      <sheetName val="CLAMP"/>
      <sheetName val="cvsload"/>
      <sheetName val="pipe"/>
      <sheetName val="BOQ. SUB-ST."/>
      <sheetName val="BOQ. SUB STATION"/>
      <sheetName val="BOQ. CCTV SYS."/>
      <sheetName val="COMPARETIVE OVERALL"/>
      <sheetName val="Gen Info"/>
      <sheetName val="01"/>
      <sheetName val="02"/>
      <sheetName val="03"/>
      <sheetName val="04"/>
      <sheetName val="Cash2"/>
      <sheetName val="Z"/>
      <sheetName val="GM 000"/>
      <sheetName val="LTG-STG"/>
      <sheetName val="Civil_Works38"/>
      <sheetName val="TBAL9697_-group_wise__sdpl36"/>
      <sheetName val="beam-reinft-IIInd_floor37"/>
      <sheetName val="Break_Dw36"/>
      <sheetName val="RATE_ANALYSIS_HYDRAULIC_17-0335"/>
      <sheetName val="cables_-_Warmshell34"/>
      <sheetName val="Fin_Sum34"/>
      <sheetName val="key_dates34"/>
      <sheetName val="Staff_Acco_34"/>
      <sheetName val="GR_slab-reinft34"/>
      <sheetName val="Name_List34"/>
      <sheetName val="Cash_Flow_Input_Data_ISC34"/>
      <sheetName val="key_info34"/>
      <sheetName val="Res_Sheet34"/>
      <sheetName val="Civil_BOQ34"/>
      <sheetName val="Cash_Flow34"/>
      <sheetName val="labour_rates34"/>
      <sheetName val="Data_sheet34"/>
      <sheetName val="2_civil-RA35"/>
      <sheetName val="Mat_-Rates34"/>
      <sheetName val="final_abstract34"/>
      <sheetName val="INPUT_SHEET11"/>
      <sheetName val="Civil_&amp;_design34"/>
      <sheetName val="Sheet_134"/>
      <sheetName val="Per_Unit34"/>
      <sheetName val="Pacakges_split34"/>
      <sheetName val="Cashflow_projection34"/>
      <sheetName val="220_11__BS_34"/>
      <sheetName val="INTIME_PROJECT_AREA9"/>
      <sheetName val="Driveway_Beams34"/>
      <sheetName val="4_CIS10"/>
      <sheetName val="Meas_-Hotel_Part10"/>
      <sheetName val="RCC,Ret__Wall17"/>
      <sheetName val="System_Summary9"/>
      <sheetName val="Fill_this_out_first___34"/>
      <sheetName val="BOQ_Distribution9"/>
      <sheetName val="Cleaning_&amp;_Grubbing9"/>
      <sheetName val="PRECAST_lightconc-II10"/>
      <sheetName val="foot-slab_reinft9"/>
      <sheetName val="RATE_XLS9"/>
      <sheetName val="Code_Map9"/>
      <sheetName val="PointNo_59"/>
      <sheetName val="_COP_100%9"/>
      <sheetName val="Sheet2_(2)9"/>
      <sheetName val="Basic_Material_Rates(7)9"/>
      <sheetName val="[RATE_ANALYSIS_HYDRAULIC_17-039"/>
      <sheetName val="COP_Final9"/>
      <sheetName val="INDIGINEOUS_ITEMS_9"/>
      <sheetName val="Rates_Basic9"/>
      <sheetName val="Conversions_Final9"/>
      <sheetName val="Factor_Sheet9"/>
      <sheetName val="DETAILED__BOQ9"/>
      <sheetName val="class_&amp;_category9"/>
      <sheetName val="CABLE_DATA9"/>
      <sheetName val="CFForecast_detail9"/>
      <sheetName val="[RATE_ANALYSIS_HYDRAULIC_17-03-"/>
      <sheetName val="class_&amp;_category"/>
      <sheetName val="CABLE_DATA"/>
      <sheetName val="CFForecast_detail"/>
      <sheetName val="Civil_Works31"/>
      <sheetName val="TBAL9697_-group_wise__sdpl29"/>
      <sheetName val="beam-reinft-IIInd_floor30"/>
      <sheetName val="Break_Dw29"/>
      <sheetName val="RATE_ANALYSIS_HYDRAULIC_17-0328"/>
      <sheetName val="cables_-_Warmshell27"/>
      <sheetName val="Fin_Sum27"/>
      <sheetName val="key_dates27"/>
      <sheetName val="Staff_Acco_27"/>
      <sheetName val="GR_slab-reinft27"/>
      <sheetName val="Name_List27"/>
      <sheetName val="Cash_Flow_Input_Data_ISC27"/>
      <sheetName val="key_info27"/>
      <sheetName val="Res_Sheet27"/>
      <sheetName val="Civil_BOQ27"/>
      <sheetName val="Cash_Flow27"/>
      <sheetName val="labour_rates27"/>
      <sheetName val="Data_sheet27"/>
      <sheetName val="2_civil-RA28"/>
      <sheetName val="Mat_-Rates27"/>
      <sheetName val="final_abstract27"/>
      <sheetName val="INPUT_SHEET4"/>
      <sheetName val="Civil_&amp;_design27"/>
      <sheetName val="Sheet_127"/>
      <sheetName val="Per_Unit27"/>
      <sheetName val="Pacakges_split27"/>
      <sheetName val="Cashflow_projection27"/>
      <sheetName val="220_11__BS_27"/>
      <sheetName val="INTIME_PROJECT_AREA2"/>
      <sheetName val="Driveway_Beams27"/>
      <sheetName val="4_CIS3"/>
      <sheetName val="Meas_-Hotel_Part3"/>
      <sheetName val="RCC,Ret__Wall10"/>
      <sheetName val="Fill_this_out_first___27"/>
      <sheetName val="BOQ_Distribution2"/>
      <sheetName val="Cleaning_&amp;_Grubbing2"/>
      <sheetName val="PRECAST_lightconc-II3"/>
      <sheetName val="foot-slab_reinft2"/>
      <sheetName val="RATE_XLS2"/>
      <sheetName val="Code_Map2"/>
      <sheetName val="PointNo_52"/>
      <sheetName val="_COP_100%2"/>
      <sheetName val="Sheet2_(2)2"/>
      <sheetName val="Basic_Material_Rates(7)2"/>
      <sheetName val="[RATE_ANALYSIS_HYDRAULIC_17-032"/>
      <sheetName val="COP_Final2"/>
      <sheetName val="INDIGINEOUS_ITEMS_2"/>
      <sheetName val="Rates_Basic2"/>
      <sheetName val="Conversions_Final2"/>
      <sheetName val="Factor_Sheet2"/>
      <sheetName val="DETAILED__BOQ2"/>
      <sheetName val="class_&amp;_category2"/>
      <sheetName val="CABLE_DATA2"/>
      <sheetName val="CFForecast_detail2"/>
      <sheetName val="[RATE_ANALYSIS_HYDRAULIC_17-031"/>
      <sheetName val="class_&amp;_category1"/>
      <sheetName val="CABLE_DATA1"/>
      <sheetName val="CFForecast_detail1"/>
      <sheetName val="Civil_Works34"/>
      <sheetName val="TBAL9697_-group_wise__sdpl32"/>
      <sheetName val="beam-reinft-IIInd_floor33"/>
      <sheetName val="Break_Dw32"/>
      <sheetName val="RATE_ANALYSIS_HYDRAULIC_17-0331"/>
      <sheetName val="cables_-_Warmshell30"/>
      <sheetName val="Fin_Sum30"/>
      <sheetName val="key_dates30"/>
      <sheetName val="Staff_Acco_30"/>
      <sheetName val="GR_slab-reinft30"/>
      <sheetName val="Name_List30"/>
      <sheetName val="Cash_Flow_Input_Data_ISC30"/>
      <sheetName val="key_info30"/>
      <sheetName val="Res_Sheet30"/>
      <sheetName val="Civil_BOQ30"/>
      <sheetName val="Cash_Flow30"/>
      <sheetName val="labour_rates30"/>
      <sheetName val="Data_sheet30"/>
      <sheetName val="2_civil-RA31"/>
      <sheetName val="Mat_-Rates30"/>
      <sheetName val="final_abstract30"/>
      <sheetName val="INPUT_SHEET7"/>
      <sheetName val="Civil_&amp;_design30"/>
      <sheetName val="Sheet_130"/>
      <sheetName val="Per_Unit30"/>
      <sheetName val="Pacakges_split30"/>
      <sheetName val="Cashflow_projection30"/>
      <sheetName val="220_11__BS_30"/>
      <sheetName val="INTIME_PROJECT_AREA5"/>
      <sheetName val="Driveway_Beams30"/>
      <sheetName val="4_CIS6"/>
      <sheetName val="Meas_-Hotel_Part6"/>
      <sheetName val="RCC,Ret__Wall13"/>
      <sheetName val="System_Summary5"/>
      <sheetName val="Fill_this_out_first___30"/>
      <sheetName val="BOQ_Distribution5"/>
      <sheetName val="Cleaning_&amp;_Grubbing5"/>
      <sheetName val="PRECAST_lightconc-II6"/>
      <sheetName val="foot-slab_reinft5"/>
      <sheetName val="RATE_XLS5"/>
      <sheetName val="Code_Map5"/>
      <sheetName val="PointNo_55"/>
      <sheetName val="_COP_100%5"/>
      <sheetName val="Sheet2_(2)5"/>
      <sheetName val="Basic_Material_Rates(7)5"/>
      <sheetName val="[RATE_ANALYSIS_HYDRAULIC_17-035"/>
      <sheetName val="COP_Final5"/>
      <sheetName val="INDIGINEOUS_ITEMS_5"/>
      <sheetName val="Rates_Basic5"/>
      <sheetName val="Conversions_Final5"/>
      <sheetName val="Factor_Sheet5"/>
      <sheetName val="DETAILED__BOQ5"/>
      <sheetName val="class_&amp;_category5"/>
      <sheetName val="CABLE_DATA5"/>
      <sheetName val="CFForecast_detail5"/>
      <sheetName val="Civil_Works33"/>
      <sheetName val="TBAL9697_-group_wise__sdpl31"/>
      <sheetName val="beam-reinft-IIInd_floor32"/>
      <sheetName val="Break_Dw31"/>
      <sheetName val="RATE_ANALYSIS_HYDRAULIC_17-0330"/>
      <sheetName val="cables_-_Warmshell29"/>
      <sheetName val="Fin_Sum29"/>
      <sheetName val="key_dates29"/>
      <sheetName val="Staff_Acco_29"/>
      <sheetName val="GR_slab-reinft29"/>
      <sheetName val="Name_List29"/>
      <sheetName val="Cash_Flow_Input_Data_ISC29"/>
      <sheetName val="key_info29"/>
      <sheetName val="Res_Sheet29"/>
      <sheetName val="Civil_BOQ29"/>
      <sheetName val="Cash_Flow29"/>
      <sheetName val="labour_rates29"/>
      <sheetName val="Data_sheet29"/>
      <sheetName val="2_civil-RA30"/>
      <sheetName val="Mat_-Rates29"/>
      <sheetName val="final_abstract29"/>
      <sheetName val="INPUT_SHEET6"/>
      <sheetName val="Civil_&amp;_design29"/>
      <sheetName val="Sheet_129"/>
      <sheetName val="Per_Unit29"/>
      <sheetName val="Pacakges_split29"/>
      <sheetName val="Cashflow_projection29"/>
      <sheetName val="220_11__BS_29"/>
      <sheetName val="INTIME_PROJECT_AREA4"/>
      <sheetName val="Driveway_Beams29"/>
      <sheetName val="4_CIS5"/>
      <sheetName val="Meas_-Hotel_Part5"/>
      <sheetName val="RCC,Ret__Wall12"/>
      <sheetName val="System_Summary4"/>
      <sheetName val="Fill_this_out_first___29"/>
      <sheetName val="BOQ_Distribution4"/>
      <sheetName val="Cleaning_&amp;_Grubbing4"/>
      <sheetName val="PRECAST_lightconc-II5"/>
      <sheetName val="foot-slab_reinft4"/>
      <sheetName val="RATE_XLS4"/>
      <sheetName val="Code_Map4"/>
      <sheetName val="PointNo_54"/>
      <sheetName val="_COP_100%4"/>
      <sheetName val="Sheet2_(2)4"/>
      <sheetName val="Basic_Material_Rates(7)4"/>
      <sheetName val="[RATE_ANALYSIS_HYDRAULIC_17-034"/>
      <sheetName val="COP_Final4"/>
      <sheetName val="INDIGINEOUS_ITEMS_4"/>
      <sheetName val="Rates_Basic4"/>
      <sheetName val="Conversions_Final4"/>
      <sheetName val="Factor_Sheet4"/>
      <sheetName val="DETAILED__BOQ4"/>
      <sheetName val="class_&amp;_category4"/>
      <sheetName val="CABLE_DATA4"/>
      <sheetName val="CFForecast_detail4"/>
      <sheetName val="Civil_Works32"/>
      <sheetName val="TBAL9697_-group_wise__sdpl30"/>
      <sheetName val="beam-reinft-IIInd_floor31"/>
      <sheetName val="Break_Dw30"/>
      <sheetName val="RATE_ANALYSIS_HYDRAULIC_17-0329"/>
      <sheetName val="cables_-_Warmshell28"/>
      <sheetName val="Fin_Sum28"/>
      <sheetName val="key_dates28"/>
      <sheetName val="Staff_Acco_28"/>
      <sheetName val="GR_slab-reinft28"/>
      <sheetName val="Name_List28"/>
      <sheetName val="Cash_Flow_Input_Data_ISC28"/>
      <sheetName val="key_info28"/>
      <sheetName val="Res_Sheet28"/>
      <sheetName val="Civil_BOQ28"/>
      <sheetName val="Cash_Flow28"/>
      <sheetName val="labour_rates28"/>
      <sheetName val="Data_sheet28"/>
      <sheetName val="2_civil-RA29"/>
      <sheetName val="Mat_-Rates28"/>
      <sheetName val="final_abstract28"/>
      <sheetName val="INPUT_SHEET5"/>
      <sheetName val="Civil_&amp;_design28"/>
      <sheetName val="Sheet_128"/>
      <sheetName val="Per_Unit28"/>
      <sheetName val="Pacakges_split28"/>
      <sheetName val="Cashflow_projection28"/>
      <sheetName val="220_11__BS_28"/>
      <sheetName val="INTIME_PROJECT_AREA3"/>
      <sheetName val="Driveway_Beams28"/>
      <sheetName val="4_CIS4"/>
      <sheetName val="Meas_-Hotel_Part4"/>
      <sheetName val="RCC,Ret__Wall11"/>
      <sheetName val="System_Summary3"/>
      <sheetName val="Fill_this_out_first___28"/>
      <sheetName val="BOQ_Distribution3"/>
      <sheetName val="Cleaning_&amp;_Grubbing3"/>
      <sheetName val="PRECAST_lightconc-II4"/>
      <sheetName val="foot-slab_reinft3"/>
      <sheetName val="RATE_XLS3"/>
      <sheetName val="Code_Map3"/>
      <sheetName val="PointNo_53"/>
      <sheetName val="_COP_100%3"/>
      <sheetName val="Sheet2_(2)3"/>
      <sheetName val="Basic_Material_Rates(7)3"/>
      <sheetName val="[RATE_ANALYSIS_HYDRAULIC_17-033"/>
      <sheetName val="COP_Final3"/>
      <sheetName val="INDIGINEOUS_ITEMS_3"/>
      <sheetName val="Rates_Basic3"/>
      <sheetName val="Conversions_Final3"/>
      <sheetName val="Factor_Sheet3"/>
      <sheetName val="DETAILED__BOQ3"/>
      <sheetName val="class_&amp;_category3"/>
      <sheetName val="CABLE_DATA3"/>
      <sheetName val="CFForecast_detail3"/>
      <sheetName val="Civil_Works35"/>
      <sheetName val="TBAL9697_-group_wise__sdpl33"/>
      <sheetName val="beam-reinft-IIInd_floor34"/>
      <sheetName val="Break_Dw33"/>
      <sheetName val="RATE_ANALYSIS_HYDRAULIC_17-0332"/>
      <sheetName val="cables_-_Warmshell31"/>
      <sheetName val="Fin_Sum31"/>
      <sheetName val="key_dates31"/>
      <sheetName val="Staff_Acco_31"/>
      <sheetName val="GR_slab-reinft31"/>
      <sheetName val="Name_List31"/>
      <sheetName val="Cash_Flow_Input_Data_ISC31"/>
      <sheetName val="key_info31"/>
      <sheetName val="Res_Sheet31"/>
      <sheetName val="Civil_BOQ31"/>
      <sheetName val="Cash_Flow31"/>
      <sheetName val="labour_rates31"/>
      <sheetName val="Data_sheet31"/>
      <sheetName val="2_civil-RA32"/>
      <sheetName val="Mat_-Rates31"/>
      <sheetName val="final_abstract31"/>
      <sheetName val="INPUT_SHEET8"/>
      <sheetName val="Civil_&amp;_design31"/>
      <sheetName val="Sheet_131"/>
      <sheetName val="Per_Unit31"/>
      <sheetName val="Pacakges_split31"/>
      <sheetName val="Cashflow_projection31"/>
      <sheetName val="220_11__BS_31"/>
      <sheetName val="INTIME_PROJECT_AREA6"/>
      <sheetName val="Driveway_Beams31"/>
      <sheetName val="4_CIS7"/>
      <sheetName val="Meas_-Hotel_Part7"/>
      <sheetName val="RCC,Ret__Wall14"/>
      <sheetName val="System_Summary6"/>
      <sheetName val="Fill_this_out_first___31"/>
      <sheetName val="BOQ_Distribution6"/>
      <sheetName val="Cleaning_&amp;_Grubbing6"/>
      <sheetName val="PRECAST_lightconc-II7"/>
      <sheetName val="foot-slab_reinft6"/>
      <sheetName val="RATE_XLS6"/>
      <sheetName val="Code_Map6"/>
      <sheetName val="PointNo_56"/>
      <sheetName val="_COP_100%6"/>
      <sheetName val="Sheet2_(2)6"/>
      <sheetName val="Basic_Material_Rates(7)6"/>
      <sheetName val="[RATE_ANALYSIS_HYDRAULIC_17-036"/>
      <sheetName val="COP_Final6"/>
      <sheetName val="INDIGINEOUS_ITEMS_6"/>
      <sheetName val="Rates_Basic6"/>
      <sheetName val="Conversions_Final6"/>
      <sheetName val="Factor_Sheet6"/>
      <sheetName val="DETAILED__BOQ6"/>
      <sheetName val="class_&amp;_category6"/>
      <sheetName val="CABLE_DATA6"/>
      <sheetName val="CFForecast_detail6"/>
      <sheetName val="Civil_Works36"/>
      <sheetName val="TBAL9697_-group_wise__sdpl34"/>
      <sheetName val="beam-reinft-IIInd_floor35"/>
      <sheetName val="Break_Dw34"/>
      <sheetName val="RATE_ANALYSIS_HYDRAULIC_17-0333"/>
      <sheetName val="cables_-_Warmshell32"/>
      <sheetName val="Fin_Sum32"/>
      <sheetName val="key_dates32"/>
      <sheetName val="Staff_Acco_32"/>
      <sheetName val="GR_slab-reinft32"/>
      <sheetName val="Name_List32"/>
      <sheetName val="Cash_Flow_Input_Data_ISC32"/>
      <sheetName val="key_info32"/>
      <sheetName val="Res_Sheet32"/>
      <sheetName val="Civil_BOQ32"/>
      <sheetName val="Cash_Flow32"/>
      <sheetName val="labour_rates32"/>
      <sheetName val="Data_sheet32"/>
      <sheetName val="2_civil-RA33"/>
      <sheetName val="Mat_-Rates32"/>
      <sheetName val="final_abstract32"/>
      <sheetName val="INPUT_SHEET9"/>
      <sheetName val="Civil_&amp;_design32"/>
      <sheetName val="Sheet_132"/>
      <sheetName val="Per_Unit32"/>
      <sheetName val="Pacakges_split32"/>
      <sheetName val="Cashflow_projection32"/>
      <sheetName val="220_11__BS_32"/>
      <sheetName val="INTIME_PROJECT_AREA7"/>
      <sheetName val="Driveway_Beams32"/>
      <sheetName val="4_CIS8"/>
      <sheetName val="Meas_-Hotel_Part8"/>
      <sheetName val="RCC,Ret__Wall15"/>
      <sheetName val="System_Summary7"/>
      <sheetName val="Fill_this_out_first___32"/>
      <sheetName val="BOQ_Distribution7"/>
      <sheetName val="Cleaning_&amp;_Grubbing7"/>
      <sheetName val="PRECAST_lightconc-II8"/>
      <sheetName val="foot-slab_reinft7"/>
      <sheetName val="RATE_XLS7"/>
      <sheetName val="Code_Map7"/>
      <sheetName val="PointNo_57"/>
      <sheetName val="_COP_100%7"/>
      <sheetName val="Sheet2_(2)7"/>
      <sheetName val="Basic_Material_Rates(7)7"/>
      <sheetName val="[RATE_ANALYSIS_HYDRAULIC_17-037"/>
      <sheetName val="COP_Final7"/>
      <sheetName val="INDIGINEOUS_ITEMS_7"/>
      <sheetName val="Rates_Basic7"/>
      <sheetName val="Conversions_Final7"/>
      <sheetName val="Factor_Sheet7"/>
      <sheetName val="DETAILED__BOQ7"/>
      <sheetName val="class_&amp;_category7"/>
      <sheetName val="CABLE_DATA7"/>
      <sheetName val="CFForecast_detail7"/>
      <sheetName val="Civil_Works37"/>
      <sheetName val="TBAL9697_-group_wise__sdpl35"/>
      <sheetName val="beam-reinft-IIInd_floor36"/>
      <sheetName val="Break_Dw35"/>
      <sheetName val="RATE_ANALYSIS_HYDRAULIC_17-0334"/>
      <sheetName val="cables_-_Warmshell33"/>
      <sheetName val="Fin_Sum33"/>
      <sheetName val="key_dates33"/>
      <sheetName val="Staff_Acco_33"/>
      <sheetName val="GR_slab-reinft33"/>
      <sheetName val="Name_List33"/>
      <sheetName val="Cash_Flow_Input_Data_ISC33"/>
      <sheetName val="key_info33"/>
      <sheetName val="Res_Sheet33"/>
      <sheetName val="Civil_BOQ33"/>
      <sheetName val="Cash_Flow33"/>
      <sheetName val="labour_rates33"/>
      <sheetName val="Data_sheet33"/>
      <sheetName val="2_civil-RA34"/>
      <sheetName val="Mat_-Rates33"/>
      <sheetName val="final_abstract33"/>
      <sheetName val="INPUT_SHEET10"/>
      <sheetName val="Civil_&amp;_design33"/>
      <sheetName val="Sheet_133"/>
      <sheetName val="Per_Unit33"/>
      <sheetName val="Pacakges_split33"/>
      <sheetName val="Cashflow_projection33"/>
      <sheetName val="220_11__BS_33"/>
      <sheetName val="INTIME_PROJECT_AREA8"/>
      <sheetName val="Driveway_Beams33"/>
      <sheetName val="4_CIS9"/>
      <sheetName val="Meas_-Hotel_Part9"/>
      <sheetName val="RCC,Ret__Wall16"/>
      <sheetName val="System_Summary8"/>
      <sheetName val="Fill_this_out_first___33"/>
      <sheetName val="BOQ_Distribution8"/>
      <sheetName val="Cleaning_&amp;_Grubbing8"/>
      <sheetName val="PRECAST_lightconc-II9"/>
      <sheetName val="foot-slab_reinft8"/>
      <sheetName val="RATE_XLS8"/>
      <sheetName val="Code_Map8"/>
      <sheetName val="PointNo_58"/>
      <sheetName val="_COP_100%8"/>
      <sheetName val="Sheet2_(2)8"/>
      <sheetName val="Basic_Material_Rates(7)8"/>
      <sheetName val="[RATE_ANALYSIS_HYDRAULIC_17-038"/>
      <sheetName val="COP_Final8"/>
      <sheetName val="INDIGINEOUS_ITEMS_8"/>
      <sheetName val="Rates_Basic8"/>
      <sheetName val="Conversions_Final8"/>
      <sheetName val="Factor_Sheet8"/>
      <sheetName val="DETAILED__BOQ8"/>
      <sheetName val="class_&amp;_category8"/>
      <sheetName val="CABLE_DATA8"/>
      <sheetName val="CFForecast_detail8"/>
      <sheetName val="Civil_Works40"/>
      <sheetName val="TBAL9697_-group_wise__sdpl38"/>
      <sheetName val="beam-reinft-IIInd_floor39"/>
      <sheetName val="Break_Dw38"/>
      <sheetName val="RATE_ANALYSIS_HYDRAULIC_17-0337"/>
      <sheetName val="cables_-_Warmshell36"/>
      <sheetName val="Fin_Sum36"/>
      <sheetName val="key_dates36"/>
      <sheetName val="Staff_Acco_36"/>
      <sheetName val="GR_slab-reinft36"/>
      <sheetName val="Name_List36"/>
      <sheetName val="Cash_Flow_Input_Data_ISC36"/>
      <sheetName val="key_info36"/>
      <sheetName val="Res_Sheet36"/>
      <sheetName val="Civil_BOQ36"/>
      <sheetName val="Cash_Flow36"/>
      <sheetName val="labour_rates36"/>
      <sheetName val="Data_sheet36"/>
      <sheetName val="2_civil-RA37"/>
      <sheetName val="Mat_-Rates36"/>
      <sheetName val="final_abstract36"/>
      <sheetName val="INPUT_SHEET13"/>
      <sheetName val="Civil_&amp;_design36"/>
      <sheetName val="Sheet_136"/>
      <sheetName val="Per_Unit36"/>
      <sheetName val="Pacakges_split36"/>
      <sheetName val="Cashflow_projection36"/>
      <sheetName val="220_11__BS_36"/>
      <sheetName val="INTIME_PROJECT_AREA11"/>
      <sheetName val="Driveway_Beams36"/>
      <sheetName val="4_CIS12"/>
      <sheetName val="Meas_-Hotel_Part12"/>
      <sheetName val="RCC,Ret__Wall19"/>
      <sheetName val="System_Summary11"/>
      <sheetName val="Fill_this_out_first___36"/>
      <sheetName val="BOQ_Distribution11"/>
      <sheetName val="Cleaning_&amp;_Grubbing11"/>
      <sheetName val="PRECAST_lightconc-II12"/>
      <sheetName val="foot-slab_reinft11"/>
      <sheetName val="RATE_XLS11"/>
      <sheetName val="Code_Map11"/>
      <sheetName val="PointNo_511"/>
      <sheetName val="_COP_100%11"/>
      <sheetName val="Sheet2_(2)11"/>
      <sheetName val="Basic_Material_Rates(7)11"/>
      <sheetName val="[RATE_ANALYSIS_HYDRAULIC_17-011"/>
      <sheetName val="COP_Final11"/>
      <sheetName val="INDIGINEOUS_ITEMS_11"/>
      <sheetName val="Rates_Basic11"/>
      <sheetName val="Conversions_Final11"/>
      <sheetName val="Factor_Sheet11"/>
      <sheetName val="DETAILED__BOQ11"/>
      <sheetName val="class_&amp;_category11"/>
      <sheetName val="CABLE_DATA11"/>
      <sheetName val="CFForecast_detail11"/>
      <sheetName val="Civil_Works39"/>
      <sheetName val="TBAL9697_-group_wise__sdpl37"/>
      <sheetName val="beam-reinft-IIInd_floor38"/>
      <sheetName val="Break_Dw37"/>
      <sheetName val="RATE_ANALYSIS_HYDRAULIC_17-0336"/>
      <sheetName val="cables_-_Warmshell35"/>
      <sheetName val="Fin_Sum35"/>
      <sheetName val="key_dates35"/>
      <sheetName val="Staff_Acco_35"/>
      <sheetName val="GR_slab-reinft35"/>
      <sheetName val="Name_List35"/>
      <sheetName val="Cash_Flow_Input_Data_ISC35"/>
      <sheetName val="key_info35"/>
      <sheetName val="Res_Sheet35"/>
      <sheetName val="Civil_BOQ35"/>
      <sheetName val="Cash_Flow35"/>
      <sheetName val="labour_rates35"/>
      <sheetName val="Data_sheet35"/>
      <sheetName val="2_civil-RA36"/>
      <sheetName val="Mat_-Rates35"/>
      <sheetName val="final_abstract35"/>
      <sheetName val="INPUT_SHEET12"/>
      <sheetName val="Civil_&amp;_design35"/>
      <sheetName val="Sheet_135"/>
      <sheetName val="Per_Unit35"/>
      <sheetName val="Pacakges_split35"/>
      <sheetName val="Cashflow_projection35"/>
      <sheetName val="220_11__BS_35"/>
      <sheetName val="INTIME_PROJECT_AREA10"/>
      <sheetName val="Driveway_Beams35"/>
      <sheetName val="4_CIS11"/>
      <sheetName val="Meas_-Hotel_Part11"/>
      <sheetName val="RCC,Ret__Wall18"/>
      <sheetName val="System_Summary10"/>
      <sheetName val="Fill_this_out_first___35"/>
      <sheetName val="BOQ_Distribution10"/>
      <sheetName val="Cleaning_&amp;_Grubbing10"/>
      <sheetName val="PRECAST_lightconc-II11"/>
      <sheetName val="foot-slab_reinft10"/>
      <sheetName val="RATE_XLS10"/>
      <sheetName val="Code_Map10"/>
      <sheetName val="PointNo_510"/>
      <sheetName val="_COP_100%10"/>
      <sheetName val="Sheet2_(2)10"/>
      <sheetName val="Basic_Material_Rates(7)10"/>
      <sheetName val="[RATE_ANALYSIS_HYDRAULIC_17-010"/>
      <sheetName val="COP_Final10"/>
      <sheetName val="INDIGINEOUS_ITEMS_10"/>
      <sheetName val="Rates_Basic10"/>
      <sheetName val="Conversions_Final10"/>
      <sheetName val="Factor_Sheet10"/>
      <sheetName val="DETAILED__BOQ10"/>
      <sheetName val="class_&amp;_category10"/>
      <sheetName val="CABLE_DATA10"/>
      <sheetName val="CFForecast_detail10"/>
      <sheetName val="Civil_Works41"/>
      <sheetName val="TBAL9697_-group_wise__sdpl39"/>
      <sheetName val="beam-reinft-IIInd_floor40"/>
      <sheetName val="Break_Dw39"/>
      <sheetName val="RATE_ANALYSIS_HYDRAULIC_17-0338"/>
      <sheetName val="cables_-_Warmshell37"/>
      <sheetName val="Fin_Sum37"/>
      <sheetName val="key_dates37"/>
      <sheetName val="Staff_Acco_37"/>
      <sheetName val="GR_slab-reinft37"/>
      <sheetName val="Name_List37"/>
      <sheetName val="Cash_Flow_Input_Data_ISC37"/>
      <sheetName val="key_info37"/>
      <sheetName val="Res_Sheet37"/>
      <sheetName val="Civil_BOQ37"/>
      <sheetName val="Cash_Flow37"/>
      <sheetName val="labour_rates37"/>
      <sheetName val="Data_sheet37"/>
      <sheetName val="2_civil-RA38"/>
      <sheetName val="Mat_-Rates37"/>
      <sheetName val="final_abstract37"/>
      <sheetName val="INPUT_SHEET14"/>
      <sheetName val="Civil_&amp;_design37"/>
      <sheetName val="Sheet_137"/>
      <sheetName val="Per_Unit37"/>
      <sheetName val="Pacakges_split37"/>
      <sheetName val="Cashflow_projection37"/>
      <sheetName val="220_11__BS_37"/>
      <sheetName val="INTIME_PROJECT_AREA12"/>
      <sheetName val="Driveway_Beams37"/>
      <sheetName val="4_CIS13"/>
      <sheetName val="Meas_-Hotel_Part13"/>
      <sheetName val="RCC,Ret__Wall20"/>
      <sheetName val="System_Summary12"/>
      <sheetName val="Fill_this_out_first___37"/>
      <sheetName val="BOQ_Distribution12"/>
      <sheetName val="Cleaning_&amp;_Grubbing12"/>
      <sheetName val="PRECAST_lightconc-II13"/>
      <sheetName val="foot-slab_reinft12"/>
      <sheetName val="RATE_XLS12"/>
      <sheetName val="Code_Map12"/>
      <sheetName val="PointNo_512"/>
      <sheetName val="_COP_100%12"/>
      <sheetName val="Sheet2_(2)12"/>
      <sheetName val="Basic_Material_Rates(7)12"/>
      <sheetName val="[RATE_ANALYSIS_HYDRAULIC_17-012"/>
      <sheetName val="COP_Final12"/>
      <sheetName val="INDIGINEOUS_ITEMS_12"/>
      <sheetName val="Rates_Basic12"/>
      <sheetName val="Conversions_Final12"/>
      <sheetName val="Factor_Sheet12"/>
      <sheetName val="DETAILED__BOQ12"/>
      <sheetName val="class_&amp;_category12"/>
      <sheetName val="CABLE_DATA12"/>
      <sheetName val="CFForecast_detail12"/>
      <sheetName val="Civil_Works42"/>
      <sheetName val="TBAL9697_-group_wise__sdpl40"/>
      <sheetName val="beam-reinft-IIInd_floor41"/>
      <sheetName val="Break_Dw40"/>
      <sheetName val="RATE_ANALYSIS_HYDRAULIC_17-0339"/>
      <sheetName val="cables_-_Warmshell38"/>
      <sheetName val="Fin_Sum38"/>
      <sheetName val="key_dates38"/>
      <sheetName val="Staff_Acco_38"/>
      <sheetName val="GR_slab-reinft38"/>
      <sheetName val="Name_List38"/>
      <sheetName val="Cash_Flow_Input_Data_ISC38"/>
      <sheetName val="key_info38"/>
      <sheetName val="Res_Sheet38"/>
      <sheetName val="Civil_BOQ38"/>
      <sheetName val="Cash_Flow38"/>
      <sheetName val="labour_rates38"/>
      <sheetName val="Data_sheet38"/>
      <sheetName val="2_civil-RA39"/>
      <sheetName val="Mat_-Rates38"/>
      <sheetName val="final_abstract38"/>
      <sheetName val="INPUT_SHEET15"/>
      <sheetName val="Civil_&amp;_design38"/>
      <sheetName val="Sheet_138"/>
      <sheetName val="Per_Unit38"/>
      <sheetName val="Pacakges_split38"/>
      <sheetName val="Cashflow_projection38"/>
      <sheetName val="220_11__BS_38"/>
      <sheetName val="INTIME_PROJECT_AREA13"/>
      <sheetName val="Driveway_Beams38"/>
      <sheetName val="4_CIS14"/>
      <sheetName val="Meas_-Hotel_Part14"/>
      <sheetName val="RCC,Ret__Wall21"/>
      <sheetName val="System_Summary13"/>
      <sheetName val="Fill_this_out_first___38"/>
      <sheetName val="BOQ_Distribution13"/>
      <sheetName val="Cleaning_&amp;_Grubbing13"/>
      <sheetName val="PRECAST_lightconc-II14"/>
      <sheetName val="foot-slab_reinft13"/>
      <sheetName val="RATE_XLS13"/>
      <sheetName val="Code_Map13"/>
      <sheetName val="PointNo_513"/>
      <sheetName val="_COP_100%13"/>
      <sheetName val="Sheet2_(2)13"/>
      <sheetName val="Basic_Material_Rates(7)13"/>
      <sheetName val="[RATE_ANALYSIS_HYDRAULIC_17-013"/>
      <sheetName val="COP_Final13"/>
      <sheetName val="INDIGINEOUS_ITEMS_13"/>
      <sheetName val="Rates_Basic13"/>
      <sheetName val="Conversions_Final13"/>
      <sheetName val="Factor_Sheet13"/>
      <sheetName val="DETAILED__BOQ13"/>
      <sheetName val="class_&amp;_category13"/>
      <sheetName val="CABLE_DATA13"/>
      <sheetName val="CFForecast_detail13"/>
      <sheetName val="Civil_Works43"/>
      <sheetName val="TBAL9697_-group_wise__sdpl41"/>
      <sheetName val="beam-reinft-IIInd_floor42"/>
      <sheetName val="Break_Dw41"/>
      <sheetName val="RATE_ANALYSIS_HYDRAULIC_17-0340"/>
      <sheetName val="cables_-_Warmshell39"/>
      <sheetName val="Fin_Sum39"/>
      <sheetName val="key_dates39"/>
      <sheetName val="Staff_Acco_39"/>
      <sheetName val="GR_slab-reinft39"/>
      <sheetName val="Name_List39"/>
      <sheetName val="Cash_Flow_Input_Data_ISC39"/>
      <sheetName val="key_info39"/>
      <sheetName val="Res_Sheet39"/>
      <sheetName val="Civil_BOQ39"/>
      <sheetName val="Cash_Flow39"/>
      <sheetName val="labour_rates39"/>
      <sheetName val="Data_sheet39"/>
      <sheetName val="2_civil-RA40"/>
      <sheetName val="Mat_-Rates39"/>
      <sheetName val="final_abstract39"/>
      <sheetName val="INPUT_SHEET16"/>
      <sheetName val="Civil_&amp;_design39"/>
      <sheetName val="Sheet_139"/>
      <sheetName val="Per_Unit39"/>
      <sheetName val="Pacakges_split39"/>
      <sheetName val="Cashflow_projection39"/>
      <sheetName val="220_11__BS_39"/>
      <sheetName val="INTIME_PROJECT_AREA14"/>
      <sheetName val="Driveway_Beams39"/>
      <sheetName val="4_CIS15"/>
      <sheetName val="Meas_-Hotel_Part15"/>
      <sheetName val="RCC,Ret__Wall22"/>
      <sheetName val="System_Summary14"/>
      <sheetName val="Fill_this_out_first___39"/>
      <sheetName val="BOQ_Distribution14"/>
      <sheetName val="Cleaning_&amp;_Grubbing14"/>
      <sheetName val="PRECAST_lightconc-II15"/>
      <sheetName val="foot-slab_reinft14"/>
      <sheetName val="RATE_XLS14"/>
      <sheetName val="Code_Map14"/>
      <sheetName val="PointNo_514"/>
      <sheetName val="_COP_100%14"/>
      <sheetName val="Sheet2_(2)14"/>
      <sheetName val="Basic_Material_Rates(7)14"/>
      <sheetName val="[RATE_ANALYSIS_HYDRAULIC_17-014"/>
      <sheetName val="COP_Final14"/>
      <sheetName val="INDIGINEOUS_ITEMS_14"/>
      <sheetName val="Rates_Basic14"/>
      <sheetName val="Conversions_Final14"/>
      <sheetName val="Factor_Sheet14"/>
      <sheetName val="DETAILED__BOQ14"/>
      <sheetName val="class_&amp;_category14"/>
      <sheetName val="CABLE_DATA14"/>
      <sheetName val="CFForecast_detail14"/>
      <sheetName val="Civil_Works44"/>
      <sheetName val="TBAL9697_-group_wise__sdpl42"/>
      <sheetName val="beam-reinft-IIInd_floor43"/>
      <sheetName val="Break_Dw42"/>
      <sheetName val="RATE_ANALYSIS_HYDRAULIC_17-0341"/>
      <sheetName val="cables_-_Warmshell40"/>
      <sheetName val="Fin_Sum40"/>
      <sheetName val="key_dates40"/>
      <sheetName val="Staff_Acco_40"/>
      <sheetName val="GR_slab-reinft40"/>
      <sheetName val="Name_List40"/>
      <sheetName val="Cash_Flow_Input_Data_ISC40"/>
      <sheetName val="key_info40"/>
      <sheetName val="Res_Sheet40"/>
      <sheetName val="Civil_BOQ40"/>
      <sheetName val="Cash_Flow40"/>
      <sheetName val="labour_rates40"/>
      <sheetName val="Data_sheet40"/>
      <sheetName val="2_civil-RA41"/>
      <sheetName val="Mat_-Rates40"/>
      <sheetName val="final_abstract40"/>
      <sheetName val="INPUT_SHEET17"/>
      <sheetName val="Civil_&amp;_design40"/>
      <sheetName val="Sheet_140"/>
      <sheetName val="Per_Unit40"/>
      <sheetName val="Pacakges_split40"/>
      <sheetName val="Cashflow_projection40"/>
      <sheetName val="220_11__BS_40"/>
      <sheetName val="INTIME_PROJECT_AREA15"/>
      <sheetName val="Driveway_Beams40"/>
      <sheetName val="4_CIS16"/>
      <sheetName val="Meas_-Hotel_Part16"/>
      <sheetName val="RCC,Ret__Wall23"/>
      <sheetName val="System_Summary15"/>
      <sheetName val="Fill_this_out_first___40"/>
      <sheetName val="BOQ_Distribution15"/>
      <sheetName val="Cleaning_&amp;_Grubbing15"/>
      <sheetName val="PRECAST_lightconc-II16"/>
      <sheetName val="foot-slab_reinft15"/>
      <sheetName val="RATE_XLS15"/>
      <sheetName val="Code_Map15"/>
      <sheetName val="PointNo_515"/>
      <sheetName val="_COP_100%15"/>
      <sheetName val="Sheet2_(2)15"/>
      <sheetName val="Basic_Material_Rates(7)15"/>
      <sheetName val="[RATE_ANALYSIS_HYDRAULIC_17-015"/>
      <sheetName val="COP_Final15"/>
      <sheetName val="INDIGINEOUS_ITEMS_15"/>
      <sheetName val="Rates_Basic15"/>
      <sheetName val="Conversions_Final15"/>
      <sheetName val="Factor_Sheet15"/>
      <sheetName val="DETAILED__BOQ15"/>
      <sheetName val="class_&amp;_category15"/>
      <sheetName val="CABLE_DATA15"/>
      <sheetName val="CFForecast_detail15"/>
      <sheetName val="SPILL_OVER"/>
      <sheetName val="Civil_Works45"/>
      <sheetName val="TBAL9697_-group_wise__sdpl43"/>
      <sheetName val="beam-reinft-IIInd_floor44"/>
      <sheetName val="Break_Dw43"/>
      <sheetName val="RATE_ANALYSIS_HYDRAULIC_17-0342"/>
      <sheetName val="cables_-_Warmshell41"/>
      <sheetName val="Fin_Sum41"/>
      <sheetName val="key_dates41"/>
      <sheetName val="Staff_Acco_41"/>
      <sheetName val="GR_slab-reinft41"/>
      <sheetName val="Name_List41"/>
      <sheetName val="Cash_Flow_Input_Data_ISC41"/>
      <sheetName val="key_info41"/>
      <sheetName val="Res_Sheet41"/>
      <sheetName val="Civil_BOQ41"/>
      <sheetName val="Cash_Flow41"/>
      <sheetName val="labour_rates41"/>
      <sheetName val="Data_sheet41"/>
      <sheetName val="2_civil-RA42"/>
      <sheetName val="Mat_-Rates41"/>
      <sheetName val="final_abstract41"/>
      <sheetName val="INPUT_SHEET18"/>
      <sheetName val="Civil_&amp;_design41"/>
      <sheetName val="Sheet_141"/>
      <sheetName val="Per_Unit41"/>
      <sheetName val="Pacakges_split41"/>
      <sheetName val="Cashflow_projection41"/>
      <sheetName val="220_11__BS_41"/>
      <sheetName val="INTIME_PROJECT_AREA16"/>
      <sheetName val="Driveway_Beams41"/>
      <sheetName val="4_CIS17"/>
      <sheetName val="Meas_-Hotel_Part17"/>
      <sheetName val="RCC,Ret__Wall24"/>
      <sheetName val="System_Summary16"/>
      <sheetName val="Fill_this_out_first___41"/>
      <sheetName val="BOQ_Distribution16"/>
      <sheetName val="Cleaning_&amp;_Grubbing16"/>
      <sheetName val="PRECAST_lightconc-II17"/>
      <sheetName val="foot-slab_reinft16"/>
      <sheetName val="RATE_XLS16"/>
      <sheetName val="Code_Map16"/>
      <sheetName val="PointNo_516"/>
      <sheetName val="_COP_100%16"/>
      <sheetName val="Sheet2_(2)16"/>
      <sheetName val="Basic_Material_Rates(7)16"/>
      <sheetName val="[RATE_ANALYSIS_HYDRAULIC_17-016"/>
      <sheetName val="COP_Final16"/>
      <sheetName val="INDIGINEOUS_ITEMS_16"/>
      <sheetName val="Rates_Basic16"/>
      <sheetName val="Conversions_Final16"/>
      <sheetName val="Factor_Sheet16"/>
      <sheetName val="DETAILED__BOQ16"/>
      <sheetName val="class_&amp;_category16"/>
      <sheetName val="CABLE_DATA16"/>
      <sheetName val="CFForecast_detail16"/>
      <sheetName val="SPILL_OVER1"/>
      <sheetName val="Civil_Works46"/>
      <sheetName val="TBAL9697_-group_wise__sdpl44"/>
      <sheetName val="beam-reinft-IIInd_floor45"/>
      <sheetName val="Break_Dw44"/>
      <sheetName val="RATE_ANALYSIS_HYDRAULIC_17-0343"/>
      <sheetName val="cables_-_Warmshell42"/>
      <sheetName val="Fin_Sum42"/>
      <sheetName val="key_dates42"/>
      <sheetName val="Staff_Acco_42"/>
      <sheetName val="GR_slab-reinft42"/>
      <sheetName val="Name_List42"/>
      <sheetName val="Cash_Flow_Input_Data_ISC42"/>
      <sheetName val="key_info42"/>
      <sheetName val="Res_Sheet42"/>
      <sheetName val="Civil_BOQ42"/>
      <sheetName val="Cash_Flow42"/>
      <sheetName val="labour_rates42"/>
      <sheetName val="Data_sheet42"/>
      <sheetName val="2_civil-RA43"/>
      <sheetName val="Mat_-Rates42"/>
      <sheetName val="final_abstract42"/>
      <sheetName val="INPUT_SHEET19"/>
      <sheetName val="Civil_&amp;_design42"/>
      <sheetName val="Sheet_142"/>
      <sheetName val="Per_Unit42"/>
      <sheetName val="Pacakges_split42"/>
      <sheetName val="Cashflow_projection42"/>
      <sheetName val="220_11__BS_42"/>
      <sheetName val="INTIME_PROJECT_AREA17"/>
      <sheetName val="Driveway_Beams42"/>
      <sheetName val="4_CIS18"/>
      <sheetName val="Meas_-Hotel_Part18"/>
      <sheetName val="RCC,Ret__Wall25"/>
      <sheetName val="System_Summary17"/>
      <sheetName val="Fill_this_out_first___42"/>
      <sheetName val="BOQ_Distribution17"/>
      <sheetName val="Cleaning_&amp;_Grubbing17"/>
      <sheetName val="PRECAST_lightconc-II18"/>
      <sheetName val="foot-slab_reinft17"/>
      <sheetName val="RATE_XLS17"/>
      <sheetName val="Code_Map17"/>
      <sheetName val="PointNo_517"/>
      <sheetName val="_COP_100%17"/>
      <sheetName val="Sheet2_(2)17"/>
      <sheetName val="Basic_Material_Rates(7)17"/>
      <sheetName val="[RATE_ANALYSIS_HYDRAULIC_17-017"/>
      <sheetName val="COP_Final17"/>
      <sheetName val="INDIGINEOUS_ITEMS_17"/>
      <sheetName val="Rates_Basic17"/>
      <sheetName val="Conversions_Final17"/>
      <sheetName val="Factor_Sheet17"/>
      <sheetName val="DETAILED__BOQ17"/>
      <sheetName val="class_&amp;_category17"/>
      <sheetName val="CABLE_DATA17"/>
      <sheetName val="CFForecast_detail17"/>
      <sheetName val="11B_2"/>
      <sheetName val="SPILL_OVER2"/>
      <sheetName val="Balance Sheet Details CMC"/>
      <sheetName val="35"/>
      <sheetName val="Summary"/>
      <sheetName val="SITE OVERHEADS"/>
      <sheetName val="s"/>
      <sheetName val=" AT-1-220 "/>
      <sheetName val=" BC-220"/>
      <sheetName val="BHIWANI LINE"/>
      <sheetName val="Basic Rates"/>
      <sheetName val="Legrand_DB"/>
      <sheetName val="BEC_MS_"/>
      <sheetName val="Legrand_Popular"/>
      <sheetName val="DPX_LEGRAND"/>
      <sheetName val="Tray_&amp;_trunking"/>
      <sheetName val="KQ_Cost_Controlling"/>
      <sheetName val="KQ_Appropriation"/>
      <sheetName val="Detail_P&amp;L"/>
      <sheetName val="Assumption_Sheet"/>
      <sheetName val="Project_Brief"/>
      <sheetName val="Area_Statement"/>
      <sheetName val="Data_Input"/>
      <sheetName val="Project_Charter"/>
      <sheetName val="dummy2"/>
      <sheetName val="Traveller Details"/>
      <sheetName val="Basement Budget"/>
      <sheetName val="sheeet7"/>
      <sheetName val="Measurment"/>
      <sheetName val="A.O.R."/>
      <sheetName val="Control Sheet"/>
      <sheetName val="IO's"/>
      <sheetName val="SICAM"/>
      <sheetName val="Prices"/>
      <sheetName val="Daten"/>
      <sheetName val="F-DCF"/>
      <sheetName val="Boq (Main Building)"/>
      <sheetName val="11 kV SWGR"/>
      <sheetName val="Civil_Works48"/>
      <sheetName val="beam-reinft-IIInd_floor47"/>
      <sheetName val="TBAL9697_-group_wise__sdpl46"/>
      <sheetName val="RATE_ANALYSIS_HYDRAULIC_17-0345"/>
      <sheetName val="Staff_Acco_44"/>
      <sheetName val="Name_List44"/>
      <sheetName val="Break_Dw46"/>
      <sheetName val="cables_-_Warmshell44"/>
      <sheetName val="key_dates44"/>
      <sheetName val="Fin_Sum44"/>
      <sheetName val="GR_slab-reinft44"/>
      <sheetName val="Mat_-Rates44"/>
      <sheetName val="Cash_Flow_Input_Data_ISC44"/>
      <sheetName val="final_abstract43"/>
      <sheetName val="Data_sheet43"/>
      <sheetName val="Sheet_143"/>
      <sheetName val="Per_Unit43"/>
      <sheetName val="Pacakges_split43"/>
      <sheetName val="Res_Sheet43"/>
      <sheetName val="Civil_BOQ43"/>
      <sheetName val="2_civil-RA44"/>
      <sheetName val="labour_rates43"/>
      <sheetName val="Civil_&amp;_design43"/>
      <sheetName val="key_info43"/>
      <sheetName val="Cash_Flow43"/>
      <sheetName val="220_11__BS_43"/>
      <sheetName val="Cashflow_projection43"/>
      <sheetName val="Civil_Works47"/>
      <sheetName val="beam-reinft-IIInd_floor46"/>
      <sheetName val="TBAL9697_-group_wise__sdpl45"/>
      <sheetName val="RATE_ANALYSIS_HYDRAULIC_17-0344"/>
      <sheetName val="Staff_Acco_43"/>
      <sheetName val="Name_List43"/>
      <sheetName val="Break_Dw45"/>
      <sheetName val="cables_-_Warmshell43"/>
      <sheetName val="key_dates43"/>
      <sheetName val="Fin_Sum43"/>
      <sheetName val="GR_slab-reinft43"/>
      <sheetName val="Mat_-Rates43"/>
      <sheetName val="Cash_Flow_Input_Data_ISC43"/>
      <sheetName val="Civil_Works51"/>
      <sheetName val="beam-reinft-IIInd_floor50"/>
      <sheetName val="TBAL9697_-group_wise__sdpl49"/>
      <sheetName val="RATE_ANALYSIS_HYDRAULIC_17-0348"/>
      <sheetName val="Staff_Acco_47"/>
      <sheetName val="Name_List47"/>
      <sheetName val="Break_Dw49"/>
      <sheetName val="cables_-_Warmshell47"/>
      <sheetName val="key_dates47"/>
      <sheetName val="Fin_Sum47"/>
      <sheetName val="GR_slab-reinft47"/>
      <sheetName val="Mat_-Rates47"/>
      <sheetName val="Cash_Flow_Input_Data_ISC47"/>
      <sheetName val="final_abstract46"/>
      <sheetName val="Data_sheet46"/>
      <sheetName val="Sheet_146"/>
      <sheetName val="Per_Unit46"/>
      <sheetName val="Pacakges_split46"/>
      <sheetName val="Res_Sheet46"/>
      <sheetName val="Civil_BOQ46"/>
      <sheetName val="2_civil-RA47"/>
      <sheetName val="labour_rates46"/>
      <sheetName val="Civil_&amp;_design46"/>
      <sheetName val="key_info46"/>
      <sheetName val="Cash_Flow46"/>
      <sheetName val="220_11__BS_46"/>
      <sheetName val="Cashflow_projection46"/>
      <sheetName val="Civil_Works50"/>
      <sheetName val="beam-reinft-IIInd_floor49"/>
      <sheetName val="TBAL9697_-group_wise__sdpl48"/>
      <sheetName val="RATE_ANALYSIS_HYDRAULIC_17-0347"/>
      <sheetName val="Staff_Acco_46"/>
      <sheetName val="Name_List46"/>
      <sheetName val="Break_Dw48"/>
      <sheetName val="cables_-_Warmshell46"/>
      <sheetName val="key_dates46"/>
      <sheetName val="Fin_Sum46"/>
      <sheetName val="GR_slab-reinft46"/>
      <sheetName val="Mat_-Rates46"/>
      <sheetName val="Cash_Flow_Input_Data_ISC46"/>
      <sheetName val="final_abstract45"/>
      <sheetName val="Data_sheet45"/>
      <sheetName val="Sheet_145"/>
      <sheetName val="Per_Unit45"/>
      <sheetName val="Pacakges_split45"/>
      <sheetName val="Res_Sheet45"/>
      <sheetName val="Civil_BOQ45"/>
      <sheetName val="2_civil-RA46"/>
      <sheetName val="labour_rates45"/>
      <sheetName val="Civil_&amp;_design45"/>
      <sheetName val="key_info45"/>
      <sheetName val="Cash_Flow45"/>
      <sheetName val="220_11__BS_45"/>
      <sheetName val="Cashflow_projection45"/>
      <sheetName val="Civil_Works49"/>
      <sheetName val="beam-reinft-IIInd_floor48"/>
      <sheetName val="TBAL9697_-group_wise__sdpl47"/>
      <sheetName val="RATE_ANALYSIS_HYDRAULIC_17-0346"/>
      <sheetName val="Staff_Acco_45"/>
      <sheetName val="Name_List45"/>
      <sheetName val="Break_Dw47"/>
      <sheetName val="cables_-_Warmshell45"/>
      <sheetName val="key_dates45"/>
      <sheetName val="Fin_Sum45"/>
      <sheetName val="GR_slab-reinft45"/>
      <sheetName val="Mat_-Rates45"/>
      <sheetName val="Cash_Flow_Input_Data_ISC45"/>
      <sheetName val="final_abstract44"/>
      <sheetName val="Data_sheet44"/>
      <sheetName val="Sheet_144"/>
      <sheetName val="Per_Unit44"/>
      <sheetName val="Pacakges_split44"/>
      <sheetName val="Res_Sheet44"/>
      <sheetName val="Civil_BOQ44"/>
      <sheetName val="2_civil-RA45"/>
      <sheetName val="labour_rates44"/>
      <sheetName val="Civil_&amp;_design44"/>
      <sheetName val="key_info44"/>
      <sheetName val="Cash_Flow44"/>
      <sheetName val="220_11__BS_44"/>
      <sheetName val="Cashflow_projection44"/>
      <sheetName val="Civil_Works52"/>
      <sheetName val="beam-reinft-IIInd_floor51"/>
      <sheetName val="TBAL9697_-group_wise__sdpl50"/>
      <sheetName val="RATE_ANALYSIS_HYDRAULIC_17-0349"/>
      <sheetName val="Staff_Acco_48"/>
      <sheetName val="Name_List48"/>
      <sheetName val="Break_Dw50"/>
      <sheetName val="cables_-_Warmshell48"/>
      <sheetName val="key_dates48"/>
      <sheetName val="Fin_Sum48"/>
      <sheetName val="GR_slab-reinft48"/>
      <sheetName val="Mat_-Rates48"/>
      <sheetName val="Cash_Flow_Input_Data_ISC48"/>
      <sheetName val="final_abstract47"/>
      <sheetName val="Data_sheet47"/>
      <sheetName val="Sheet_147"/>
      <sheetName val="Per_Unit47"/>
      <sheetName val="Pacakges_split47"/>
      <sheetName val="Res_Sheet47"/>
      <sheetName val="Civil_BOQ47"/>
      <sheetName val="2_civil-RA48"/>
      <sheetName val="labour_rates47"/>
      <sheetName val="Civil_&amp;_design47"/>
      <sheetName val="key_info47"/>
      <sheetName val="Cash_Flow47"/>
      <sheetName val="220_11__BS_47"/>
      <sheetName val="Cashflow_projection47"/>
      <sheetName val="Civil_Works53"/>
      <sheetName val="beam-reinft-IIInd_floor52"/>
      <sheetName val="TBAL9697_-group_wise__sdpl51"/>
      <sheetName val="RATE_ANALYSIS_HYDRAULIC_17-0350"/>
      <sheetName val="Staff_Acco_49"/>
      <sheetName val="Name_List49"/>
      <sheetName val="Break_Dw51"/>
      <sheetName val="cables_-_Warmshell49"/>
      <sheetName val="key_dates49"/>
      <sheetName val="Fin_Sum49"/>
      <sheetName val="GR_slab-reinft49"/>
      <sheetName val="Mat_-Rates49"/>
      <sheetName val="Cash_Flow_Input_Data_ISC49"/>
      <sheetName val="final_abstract48"/>
      <sheetName val="Data_sheet48"/>
      <sheetName val="Sheet_148"/>
      <sheetName val="Per_Unit48"/>
      <sheetName val="Pacakges_split48"/>
      <sheetName val="Res_Sheet48"/>
      <sheetName val="Civil_BOQ48"/>
      <sheetName val="2_civil-RA49"/>
      <sheetName val="labour_rates48"/>
      <sheetName val="Civil_&amp;_design48"/>
      <sheetName val="key_info48"/>
      <sheetName val="Cash_Flow48"/>
      <sheetName val="220_11__BS_48"/>
      <sheetName val="Cashflow_projection48"/>
      <sheetName val="Civil_Works55"/>
      <sheetName val="beam-reinft-IIInd_floor54"/>
      <sheetName val="TBAL9697_-group_wise__sdpl53"/>
      <sheetName val="RATE_ANALYSIS_HYDRAULIC_17-0352"/>
      <sheetName val="Staff_Acco_51"/>
      <sheetName val="Name_List51"/>
      <sheetName val="Break_Dw53"/>
      <sheetName val="cables_-_Warmshell51"/>
      <sheetName val="key_dates51"/>
      <sheetName val="Fin_Sum51"/>
      <sheetName val="GR_slab-reinft51"/>
      <sheetName val="Mat_-Rates51"/>
      <sheetName val="Cash_Flow_Input_Data_ISC51"/>
      <sheetName val="final_abstract50"/>
      <sheetName val="Data_sheet50"/>
      <sheetName val="Sheet_150"/>
      <sheetName val="Per_Unit50"/>
      <sheetName val="Pacakges_split50"/>
      <sheetName val="Res_Sheet50"/>
      <sheetName val="Civil_BOQ50"/>
      <sheetName val="2_civil-RA51"/>
      <sheetName val="labour_rates50"/>
      <sheetName val="Civil_&amp;_design50"/>
      <sheetName val="key_info50"/>
      <sheetName val="Cash_Flow50"/>
      <sheetName val="220_11__BS_50"/>
      <sheetName val="Cashflow_projection50"/>
      <sheetName val="Civil_Works54"/>
      <sheetName val="beam-reinft-IIInd_floor53"/>
      <sheetName val="TBAL9697_-group_wise__sdpl52"/>
      <sheetName val="RATE_ANALYSIS_HYDRAULIC_17-0351"/>
      <sheetName val="Staff_Acco_50"/>
      <sheetName val="Name_List50"/>
      <sheetName val="Break_Dw52"/>
      <sheetName val="cables_-_Warmshell50"/>
      <sheetName val="key_dates50"/>
      <sheetName val="Fin_Sum50"/>
      <sheetName val="GR_slab-reinft50"/>
      <sheetName val="Mat_-Rates50"/>
      <sheetName val="Cash_Flow_Input_Data_ISC50"/>
      <sheetName val="final_abstract49"/>
      <sheetName val="Data_sheet49"/>
      <sheetName val="Sheet_149"/>
      <sheetName val="Per_Unit49"/>
      <sheetName val="Pacakges_split49"/>
      <sheetName val="Res_Sheet49"/>
      <sheetName val="Civil_BOQ49"/>
      <sheetName val="2_civil-RA50"/>
      <sheetName val="labour_rates49"/>
      <sheetName val="Civil_&amp;_design49"/>
      <sheetName val="key_info49"/>
      <sheetName val="Cash_Flow49"/>
      <sheetName val="220_11__BS_49"/>
      <sheetName val="Cashflow_projection49"/>
      <sheetName val="Civil_Works58"/>
      <sheetName val="beam-reinft-IIInd_floor57"/>
      <sheetName val="TBAL9697_-group_wise__sdpl56"/>
      <sheetName val="RATE_ANALYSIS_HYDRAULIC_17-0355"/>
      <sheetName val="Staff_Acco_54"/>
      <sheetName val="Name_List54"/>
      <sheetName val="Break_Dw56"/>
      <sheetName val="cables_-_Warmshell54"/>
      <sheetName val="key_dates54"/>
      <sheetName val="Fin_Sum54"/>
      <sheetName val="GR_slab-reinft54"/>
      <sheetName val="Mat_-Rates54"/>
      <sheetName val="Cash_Flow_Input_Data_ISC54"/>
      <sheetName val="final_abstract53"/>
      <sheetName val="Data_sheet53"/>
      <sheetName val="Sheet_153"/>
      <sheetName val="Per_Unit53"/>
      <sheetName val="Pacakges_split53"/>
      <sheetName val="Res_Sheet53"/>
      <sheetName val="Civil_BOQ53"/>
      <sheetName val="2_civil-RA54"/>
      <sheetName val="labour_rates53"/>
      <sheetName val="Civil_&amp;_design53"/>
      <sheetName val="key_info53"/>
      <sheetName val="Cash_Flow53"/>
      <sheetName val="220_11__BS_53"/>
      <sheetName val="Cashflow_projection53"/>
      <sheetName val="Civil_Works57"/>
      <sheetName val="beam-reinft-IIInd_floor56"/>
      <sheetName val="TBAL9697_-group_wise__sdpl55"/>
      <sheetName val="RATE_ANALYSIS_HYDRAULIC_17-0354"/>
      <sheetName val="Staff_Acco_53"/>
      <sheetName val="Name_List53"/>
      <sheetName val="Break_Dw55"/>
      <sheetName val="cables_-_Warmshell53"/>
      <sheetName val="key_dates53"/>
      <sheetName val="Fin_Sum53"/>
      <sheetName val="GR_slab-reinft53"/>
      <sheetName val="Mat_-Rates53"/>
      <sheetName val="Cash_Flow_Input_Data_ISC53"/>
      <sheetName val="final_abstract52"/>
      <sheetName val="Data_sheet52"/>
      <sheetName val="Sheet_152"/>
      <sheetName val="Per_Unit52"/>
      <sheetName val="Pacakges_split52"/>
      <sheetName val="Res_Sheet52"/>
      <sheetName val="Civil_BOQ52"/>
      <sheetName val="2_civil-RA53"/>
      <sheetName val="labour_rates52"/>
      <sheetName val="Civil_&amp;_design52"/>
      <sheetName val="key_info52"/>
      <sheetName val="Cash_Flow52"/>
      <sheetName val="220_11__BS_52"/>
      <sheetName val="Cashflow_projection52"/>
      <sheetName val="Civil_Works56"/>
      <sheetName val="beam-reinft-IIInd_floor55"/>
      <sheetName val="TBAL9697_-group_wise__sdpl54"/>
      <sheetName val="RATE_ANALYSIS_HYDRAULIC_17-0353"/>
      <sheetName val="Staff_Acco_52"/>
      <sheetName val="Name_List52"/>
      <sheetName val="Break_Dw54"/>
      <sheetName val="cables_-_Warmshell52"/>
      <sheetName val="key_dates52"/>
      <sheetName val="Fin_Sum52"/>
      <sheetName val="GR_slab-reinft52"/>
      <sheetName val="Mat_-Rates52"/>
      <sheetName val="Cash_Flow_Input_Data_ISC52"/>
      <sheetName val="final_abstract51"/>
      <sheetName val="Data_sheet51"/>
      <sheetName val="Sheet_151"/>
      <sheetName val="Per_Unit51"/>
      <sheetName val="Pacakges_split51"/>
      <sheetName val="Res_Sheet51"/>
      <sheetName val="Civil_BOQ51"/>
      <sheetName val="2_civil-RA52"/>
      <sheetName val="labour_rates51"/>
      <sheetName val="Civil_&amp;_design51"/>
      <sheetName val="key_info51"/>
      <sheetName val="Cash_Flow51"/>
      <sheetName val="220_11__BS_51"/>
      <sheetName val="Cashflow_projection51"/>
      <sheetName val="Civil_Works59"/>
      <sheetName val="beam-reinft-IIInd_floor58"/>
      <sheetName val="TBAL9697_-group_wise__sdpl57"/>
      <sheetName val="RATE_ANALYSIS_HYDRAULIC_17-0356"/>
      <sheetName val="Staff_Acco_55"/>
      <sheetName val="Name_List55"/>
      <sheetName val="Break_Dw57"/>
      <sheetName val="cables_-_Warmshell55"/>
      <sheetName val="key_dates55"/>
      <sheetName val="Fin_Sum55"/>
      <sheetName val="GR_slab-reinft55"/>
      <sheetName val="Mat_-Rates55"/>
      <sheetName val="Cash_Flow_Input_Data_ISC55"/>
      <sheetName val="final_abstract54"/>
      <sheetName val="Data_sheet54"/>
      <sheetName val="Sheet_154"/>
      <sheetName val="Per_Unit54"/>
      <sheetName val="Pacakges_split54"/>
      <sheetName val="Res_Sheet54"/>
      <sheetName val="Civil_BOQ54"/>
      <sheetName val="2_civil-RA55"/>
      <sheetName val="labour_rates54"/>
      <sheetName val="Civil_&amp;_design54"/>
      <sheetName val="key_info54"/>
      <sheetName val="Cash_Flow54"/>
      <sheetName val="220_11__BS_54"/>
      <sheetName val="Cashflow_projection54"/>
      <sheetName val="Flooring1"/>
      <sheetName val="9"/>
      <sheetName val="Connections"/>
      <sheetName val="Micro"/>
      <sheetName val="GM &amp; TA"/>
      <sheetName val="Macro"/>
      <sheetName val="Scaff-Rose"/>
      <sheetName val="3"/>
      <sheetName val="Introduction"/>
      <sheetName val="lov-COAct"/>
      <sheetName val="lov-cspl"/>
      <sheetName val="Material"/>
      <sheetName val="#REF!"/>
      <sheetName val="nc-m"/>
      <sheetName val="ANAL"/>
      <sheetName val="TAX INCOME"/>
      <sheetName val="DWTables"/>
      <sheetName val="Main"/>
      <sheetName val="Pipe Bedding"/>
      <sheetName val="R.A."/>
      <sheetName val="_RATE_ANALYSIS_HYDRAULIC_17_0_2"/>
      <sheetName val="Manager"/>
      <sheetName val="GI fabrication - fire exit  "/>
      <sheetName val="Up to floor"/>
      <sheetName val="External steps"/>
      <sheetName val="Ramp-1"/>
      <sheetName val="Loading unloading platform -1 "/>
      <sheetName val="Flagging concrete"/>
      <sheetName val="Flooring"/>
      <sheetName val="Perimeter walls"/>
      <sheetName val="Internal staircase"/>
      <sheetName val="MEZZANINE FLOOR "/>
      <sheetName val="doors &amp; windows "/>
      <sheetName val="Machinary foundation"/>
      <sheetName val="ABSTRCT - PRODUCTION BUILDING"/>
      <sheetName val="C_link"/>
      <sheetName val="P_link"/>
      <sheetName val="Labels"/>
      <sheetName val="REFERANCE DATA"/>
      <sheetName val="DOOR WINDOW"/>
      <sheetName val="Customize Your Invoice"/>
      <sheetName val="Tender Summary"/>
      <sheetName val="procurement"/>
      <sheetName val="Material "/>
      <sheetName val="Labour &amp; Plant"/>
      <sheetName val="steel-circular"/>
      <sheetName val="Back_Cal_for OMC"/>
      <sheetName val="Table 4"/>
      <sheetName val="Table 2"/>
      <sheetName val="Table 27"/>
      <sheetName val="Table 5"/>
      <sheetName val="CASHFLOWS"/>
      <sheetName val="2gii"/>
      <sheetName val="#REF"/>
      <sheetName val="Lead"/>
      <sheetName val="ORDER BOOKING"/>
      <sheetName val="INPUT_SHEET20"/>
      <sheetName val="INTIME_PROJECT_AREA18"/>
      <sheetName val="Driveway_Beams43"/>
      <sheetName val="4_CIS19"/>
      <sheetName val="Meas_-Hotel_Part19"/>
      <sheetName val="RCC,Ret__Wall26"/>
      <sheetName val="System_Summary18"/>
      <sheetName val="Fill_this_out_first___43"/>
      <sheetName val="BOQ_Distribution18"/>
      <sheetName val="Cleaning_&amp;_Grubbing18"/>
      <sheetName val="PRECAST_lightconc-II19"/>
      <sheetName val="foot-slab_reinft18"/>
      <sheetName val="RATE_XLS18"/>
      <sheetName val="Code_Map18"/>
      <sheetName val="PointNo_518"/>
      <sheetName val="_COP_100%18"/>
      <sheetName val="Sheet2_(2)18"/>
      <sheetName val="Basic_Material_Rates(7)18"/>
      <sheetName val="[RATE_ANALYSIS_HYDRAULIC_17-018"/>
      <sheetName val="COP_Final18"/>
      <sheetName val="INDIGINEOUS_ITEMS_18"/>
      <sheetName val="Rates_Basic18"/>
      <sheetName val="Conversions_Final18"/>
      <sheetName val="Factor_Sheet18"/>
      <sheetName val="DETAILED__BOQ18"/>
      <sheetName val="class_&amp;_category18"/>
      <sheetName val="CABLE_DATA18"/>
      <sheetName val="CFForecast_detail18"/>
      <sheetName val="11B_3"/>
      <sheetName val="SPILL_OVER3"/>
      <sheetName val="3cd Annexure"/>
      <sheetName val="Cash Flow - CY Workings"/>
      <sheetName val="SCHEDULE"/>
      <sheetName val="Details"/>
      <sheetName val="Summary Part 1"/>
      <sheetName val="TPL_RECEIPTS MB51"/>
      <sheetName val="Brazil-Russia-EuropeDecToMar-05"/>
      <sheetName val="ROW Orders for March 05"/>
      <sheetName val="PKG PO"/>
      <sheetName val="LLM DPRECEIPTS MB51"/>
      <sheetName val="PHS_RECEIPTS"/>
      <sheetName val="ZSEM stock (ympc038)"/>
      <sheetName val="MFG PO"/>
      <sheetName val="11-hsd"/>
      <sheetName val="13-septic"/>
      <sheetName val="7-ug"/>
      <sheetName val="2-utility"/>
      <sheetName val="18-misc"/>
      <sheetName val="5-pipe"/>
      <sheetName val="Assumption "/>
      <sheetName val="COLUMN-CR"/>
      <sheetName val="Index"/>
      <sheetName val="Cover"/>
      <sheetName val="DetEst"/>
      <sheetName val="Input Sheet (Main)"/>
      <sheetName val="PPAP LOG"/>
      <sheetName val="M-Book for FW"/>
      <sheetName val="M-Book for Conc"/>
      <sheetName val="C&amp;I SUMMARY"/>
      <sheetName val="Elect."/>
      <sheetName val="Criteria"/>
      <sheetName val="TOS-F"/>
      <sheetName val="Parameter"/>
      <sheetName val="1_Project_Profile"/>
      <sheetName val="11B_5"/>
      <sheetName val="KQ_Cost_Controlling3"/>
      <sheetName val="KQ_Appropriation3"/>
      <sheetName val="Detail_P&amp;L3"/>
      <sheetName val="Assumption_Sheet3"/>
      <sheetName val="Project_Brief3"/>
      <sheetName val="Area_Statement3"/>
      <sheetName val="GUT_(2)3"/>
      <sheetName val="Legrand_DB3"/>
      <sheetName val="BEC_MS_3"/>
      <sheetName val="Legrand_Popular3"/>
      <sheetName val="DPX_LEGRAND3"/>
      <sheetName val="Tray_&amp;_trunking3"/>
      <sheetName val="Data_Input3"/>
      <sheetName val="Project_Charter3"/>
      <sheetName val="labour_coeff3"/>
      <sheetName val="Section_23"/>
      <sheetName val="Plumbing__BOQ_Pune3"/>
      <sheetName val="Project_Details3"/>
      <sheetName val="Rate_analysis-_BOQ_1_3"/>
      <sheetName val="_RATE_ANALYSIS_HYDRAULIC_17-033"/>
      <sheetName val="SPT_vs_PHI3"/>
      <sheetName val="소상_&quot;1&quot;3"/>
      <sheetName val="GUT_(2)"/>
      <sheetName val="labour_coeff"/>
      <sheetName val="Section_2"/>
      <sheetName val="Plumbing__BOQ_Pune"/>
      <sheetName val="Project_Details"/>
      <sheetName val="Rate_analysis-_BOQ_1_"/>
      <sheetName val="_RATE_ANALYSIS_HYDRAULIC_17-03-"/>
      <sheetName val="SPT_vs_PHI"/>
      <sheetName val="소상_&quot;1&quot;"/>
      <sheetName val="KQ_Cost_Controlling1"/>
      <sheetName val="KQ_Appropriation1"/>
      <sheetName val="Detail_P&amp;L1"/>
      <sheetName val="Assumption_Sheet1"/>
      <sheetName val="Project_Brief1"/>
      <sheetName val="Area_Statement1"/>
      <sheetName val="GUT_(2)1"/>
      <sheetName val="Legrand_DB1"/>
      <sheetName val="BEC_MS_1"/>
      <sheetName val="Legrand_Popular1"/>
      <sheetName val="DPX_LEGRAND1"/>
      <sheetName val="Tray_&amp;_trunking1"/>
      <sheetName val="Data_Input1"/>
      <sheetName val="Project_Charter1"/>
      <sheetName val="labour_coeff1"/>
      <sheetName val="Section_21"/>
      <sheetName val="Plumbing__BOQ_Pune1"/>
      <sheetName val="Project_Details1"/>
      <sheetName val="Rate_analysis-_BOQ_1_1"/>
      <sheetName val="_RATE_ANALYSIS_HYDRAULIC_17-031"/>
      <sheetName val="SPT_vs_PHI1"/>
      <sheetName val="소상_&quot;1&quot;1"/>
      <sheetName val="11B_4"/>
      <sheetName val="KQ_Cost_Controlling2"/>
      <sheetName val="KQ_Appropriation2"/>
      <sheetName val="Detail_P&amp;L2"/>
      <sheetName val="Assumption_Sheet2"/>
      <sheetName val="Project_Brief2"/>
      <sheetName val="Area_Statement2"/>
      <sheetName val="GUT_(2)2"/>
      <sheetName val="Legrand_DB2"/>
      <sheetName val="BEC_MS_2"/>
      <sheetName val="Legrand_Popular2"/>
      <sheetName val="DPX_LEGRAND2"/>
      <sheetName val="Tray_&amp;_trunking2"/>
      <sheetName val="Data_Input2"/>
      <sheetName val="Project_Charter2"/>
      <sheetName val="labour_coeff2"/>
      <sheetName val="Section_22"/>
      <sheetName val="Plumbing__BOQ_Pune2"/>
      <sheetName val="Project_Details2"/>
      <sheetName val="Rate_analysis-_BOQ_1_2"/>
      <sheetName val="_RATE_ANALYSIS_HYDRAULIC_17-032"/>
      <sheetName val="SPT_vs_PHI2"/>
      <sheetName val="소상_&quot;1&quot;2"/>
      <sheetName val="11B_7"/>
      <sheetName val="KQ_Cost_Controlling5"/>
      <sheetName val="KQ_Appropriation5"/>
      <sheetName val="Detail_P&amp;L5"/>
      <sheetName val="Assumption_Sheet5"/>
      <sheetName val="Project_Brief5"/>
      <sheetName val="Area_Statement5"/>
      <sheetName val="GUT_(2)5"/>
      <sheetName val="SPILL_OVER5"/>
      <sheetName val="Legrand_DB5"/>
      <sheetName val="BEC_MS_5"/>
      <sheetName val="Legrand_Popular5"/>
      <sheetName val="DPX_LEGRAND5"/>
      <sheetName val="Tray_&amp;_trunking5"/>
      <sheetName val="Data_Input5"/>
      <sheetName val="Project_Charter5"/>
      <sheetName val="labour_coeff5"/>
      <sheetName val="Section_25"/>
      <sheetName val="Plumbing__BOQ_Pune5"/>
      <sheetName val="Project_Details5"/>
      <sheetName val="Rate_analysis-_BOQ_1_5"/>
      <sheetName val="_RATE_ANALYSIS_HYDRAULIC_17-035"/>
      <sheetName val="SPT_vs_PHI5"/>
      <sheetName val="소상_&quot;1&quot;5"/>
      <sheetName val="11B_6"/>
      <sheetName val="KQ_Cost_Controlling4"/>
      <sheetName val="KQ_Appropriation4"/>
      <sheetName val="Detail_P&amp;L4"/>
      <sheetName val="Assumption_Sheet4"/>
      <sheetName val="Project_Brief4"/>
      <sheetName val="Area_Statement4"/>
      <sheetName val="GUT_(2)4"/>
      <sheetName val="SPILL_OVER4"/>
      <sheetName val="Legrand_DB4"/>
      <sheetName val="BEC_MS_4"/>
      <sheetName val="Legrand_Popular4"/>
      <sheetName val="DPX_LEGRAND4"/>
      <sheetName val="Tray_&amp;_trunking4"/>
      <sheetName val="Data_Input4"/>
      <sheetName val="Project_Charter4"/>
      <sheetName val="labour_coeff4"/>
      <sheetName val="Section_24"/>
      <sheetName val="Plumbing__BOQ_Pune4"/>
      <sheetName val="Project_Details4"/>
      <sheetName val="Rate_analysis-_BOQ_1_4"/>
      <sheetName val="_RATE_ANALYSIS_HYDRAULIC_17-034"/>
      <sheetName val="SPT_vs_PHI4"/>
      <sheetName val="소상_&quot;1&quot;4"/>
      <sheetName val="11B_8"/>
      <sheetName val="KQ_Cost_Controlling6"/>
      <sheetName val="KQ_Appropriation6"/>
      <sheetName val="Detail_P&amp;L6"/>
      <sheetName val="Assumption_Sheet6"/>
      <sheetName val="Project_Brief6"/>
      <sheetName val="Area_Statement6"/>
      <sheetName val="GUT_(2)6"/>
      <sheetName val="SPILL_OVER6"/>
      <sheetName val="Legrand_DB6"/>
      <sheetName val="BEC_MS_6"/>
      <sheetName val="Legrand_Popular6"/>
      <sheetName val="DPX_LEGRAND6"/>
      <sheetName val="Tray_&amp;_trunking6"/>
      <sheetName val="Data_Input6"/>
      <sheetName val="Project_Charter6"/>
      <sheetName val="labour_coeff6"/>
      <sheetName val="Section_26"/>
      <sheetName val="Plumbing__BOQ_Pune6"/>
      <sheetName val="Project_Details6"/>
      <sheetName val="Rate_analysis-_BOQ_1_6"/>
      <sheetName val="_RATE_ANALYSIS_HYDRAULIC_17-036"/>
      <sheetName val="SPT_vs_PHI6"/>
      <sheetName val="소상_&quot;1&quot;6"/>
      <sheetName val="11B_9"/>
      <sheetName val="KQ_Cost_Controlling7"/>
      <sheetName val="KQ_Appropriation7"/>
      <sheetName val="Detail_P&amp;L7"/>
      <sheetName val="Assumption_Sheet7"/>
      <sheetName val="Project_Brief7"/>
      <sheetName val="Area_Statement7"/>
      <sheetName val="GUT_(2)7"/>
      <sheetName val="SPILL_OVER7"/>
      <sheetName val="Legrand_DB7"/>
      <sheetName val="BEC_MS_7"/>
      <sheetName val="Legrand_Popular7"/>
      <sheetName val="DPX_LEGRAND7"/>
      <sheetName val="Tray_&amp;_trunking7"/>
      <sheetName val="Data_Input7"/>
      <sheetName val="Project_Charter7"/>
      <sheetName val="labour_coeff7"/>
      <sheetName val="Section_27"/>
      <sheetName val="Plumbing__BOQ_Pune7"/>
      <sheetName val="Project_Details7"/>
      <sheetName val="Rate_analysis-_BOQ_1_7"/>
      <sheetName val="_RATE_ANALYSIS_HYDRAULIC_17-037"/>
      <sheetName val="SPT_vs_PHI7"/>
      <sheetName val="소상_&quot;1&quot;7"/>
      <sheetName val="11B_10"/>
      <sheetName val="KQ_Cost_Controlling8"/>
      <sheetName val="KQ_Appropriation8"/>
      <sheetName val="Detail_P&amp;L8"/>
      <sheetName val="Assumption_Sheet8"/>
      <sheetName val="Project_Brief8"/>
      <sheetName val="Area_Statement8"/>
      <sheetName val="GUT_(2)8"/>
      <sheetName val="SPILL_OVER8"/>
      <sheetName val="Legrand_DB8"/>
      <sheetName val="BEC_MS_8"/>
      <sheetName val="Legrand_Popular8"/>
      <sheetName val="DPX_LEGRAND8"/>
      <sheetName val="Tray_&amp;_trunking8"/>
      <sheetName val="Data_Input8"/>
      <sheetName val="Project_Charter8"/>
      <sheetName val="labour_coeff8"/>
      <sheetName val="Section_28"/>
      <sheetName val="Plumbing__BOQ_Pune8"/>
      <sheetName val="Project_Details8"/>
      <sheetName val="Rate_analysis-_BOQ_1_8"/>
      <sheetName val="_RATE_ANALYSIS_HYDRAULIC_17-038"/>
      <sheetName val="SPT_vs_PHI8"/>
      <sheetName val="소상_&quot;1&quot;8"/>
      <sheetName val="11B_11"/>
      <sheetName val="KQ_Cost_Controlling9"/>
      <sheetName val="KQ_Appropriation9"/>
      <sheetName val="Detail_P&amp;L9"/>
      <sheetName val="Assumption_Sheet9"/>
      <sheetName val="Project_Brief9"/>
      <sheetName val="Area_Statement9"/>
      <sheetName val="GUT_(2)9"/>
      <sheetName val="SPILL_OVER9"/>
      <sheetName val="Legrand_DB9"/>
      <sheetName val="BEC_MS_9"/>
      <sheetName val="Legrand_Popular9"/>
      <sheetName val="DPX_LEGRAND9"/>
      <sheetName val="Tray_&amp;_trunking9"/>
      <sheetName val="Data_Input9"/>
      <sheetName val="Project_Charter9"/>
      <sheetName val="labour_coeff9"/>
      <sheetName val="Section_29"/>
      <sheetName val="Plumbing__BOQ_Pune9"/>
      <sheetName val="Project_Details9"/>
      <sheetName val="Rate_analysis-_BOQ_1_9"/>
      <sheetName val="_RATE_ANALYSIS_HYDRAULIC_17-039"/>
      <sheetName val="SPT_vs_PHI9"/>
      <sheetName val="소상_&quot;1&quot;9"/>
      <sheetName val="11B_12"/>
      <sheetName val="KQ_Cost_Controlling10"/>
      <sheetName val="KQ_Appropriation10"/>
      <sheetName val="Detail_P&amp;L10"/>
      <sheetName val="Assumption_Sheet10"/>
      <sheetName val="Project_Brief10"/>
      <sheetName val="Area_Statement10"/>
      <sheetName val="GUT_(2)10"/>
      <sheetName val="SPILL_OVER10"/>
      <sheetName val="Legrand_DB10"/>
      <sheetName val="BEC_MS_10"/>
      <sheetName val="Legrand_Popular10"/>
      <sheetName val="DPX_LEGRAND10"/>
      <sheetName val="Tray_&amp;_trunking10"/>
      <sheetName val="Data_Input10"/>
      <sheetName val="Project_Charter10"/>
      <sheetName val="labour_coeff10"/>
      <sheetName val="Section_210"/>
      <sheetName val="Plumbing__BOQ_Pune10"/>
      <sheetName val="Project_Details10"/>
      <sheetName val="Rate_analysis-_BOQ_1_10"/>
      <sheetName val="_RATE_ANALYSIS_HYDRAULIC_17-010"/>
      <sheetName val="SPT_vs_PHI10"/>
      <sheetName val="소상_&quot;1&quot;10"/>
      <sheetName val="11B_13"/>
      <sheetName val="KQ_Cost_Controlling11"/>
      <sheetName val="KQ_Appropriation11"/>
      <sheetName val="Detail_P&amp;L11"/>
      <sheetName val="Assumption_Sheet11"/>
      <sheetName val="Project_Brief11"/>
      <sheetName val="Area_Statement11"/>
      <sheetName val="GUT_(2)11"/>
      <sheetName val="SPILL_OVER11"/>
      <sheetName val="Legrand_DB11"/>
      <sheetName val="BEC_MS_11"/>
      <sheetName val="Legrand_Popular11"/>
      <sheetName val="DPX_LEGRAND11"/>
      <sheetName val="Tray_&amp;_trunking11"/>
      <sheetName val="Data_Input11"/>
      <sheetName val="Project_Charter11"/>
      <sheetName val="labour_coeff11"/>
      <sheetName val="Section_211"/>
      <sheetName val="Plumbing__BOQ_Pune11"/>
      <sheetName val="Project_Details11"/>
      <sheetName val="Rate_analysis-_BOQ_1_11"/>
      <sheetName val="_RATE_ANALYSIS_HYDRAULIC_17-011"/>
      <sheetName val="SPT_vs_PHI11"/>
      <sheetName val="소상_&quot;1&quot;11"/>
      <sheetName val="INTSHEET"/>
      <sheetName val="INTSHEET3"/>
      <sheetName val="Staff Acco_"/>
      <sheetName val="Intro."/>
      <sheetName val="Total Cashflow Table"/>
      <sheetName val="offices"/>
      <sheetName val="insurances"/>
      <sheetName val="plant"/>
      <sheetName val="hoarding"/>
      <sheetName val="Finishes"/>
      <sheetName val="Fixed Furnishing"/>
      <sheetName val="TOTAL"/>
      <sheetName val="COVER "/>
      <sheetName val=" Specs"/>
      <sheetName val="Civil-Weekly"/>
      <sheetName val="Elec-Weekly"/>
      <sheetName val="Mech-Weekly"/>
      <sheetName val="Pipe-Weekly"/>
      <sheetName val="Datas"/>
      <sheetName val="Tank-Weekly"/>
      <sheetName val="Project-Weekly"/>
      <sheetName val="U5-Weekly"/>
      <sheetName val="Civil_Works60"/>
      <sheetName val="Cash_Flow_Input_Data_ISC56"/>
      <sheetName val="Fin_Sum56"/>
      <sheetName val="beam-reinft-IIInd_floor59"/>
      <sheetName val="TBAL9697_-group_wise__sdpl58"/>
      <sheetName val="Break_Dw58"/>
      <sheetName val="cables_-_Warmshell56"/>
      <sheetName val="RATE_ANALYSIS_HYDRAULIC_17-0357"/>
      <sheetName val="key_dates56"/>
      <sheetName val="Staff_Acco_56"/>
      <sheetName val="GR_slab-reinft56"/>
      <sheetName val="Name_List56"/>
      <sheetName val="key_info55"/>
      <sheetName val="Res_Sheet55"/>
      <sheetName val="Civil_BOQ55"/>
      <sheetName val="Cash_Flow55"/>
      <sheetName val="labour_rates55"/>
      <sheetName val="Data_sheet55"/>
      <sheetName val="Mat_-Rates56"/>
      <sheetName val="Sheet_155"/>
      <sheetName val="2_civil-RA56"/>
      <sheetName val="final_abstract55"/>
      <sheetName val="Civil_&amp;_design55"/>
      <sheetName val="Per_Unit55"/>
      <sheetName val="220_11__BS_55"/>
      <sheetName val="Pacakges_split55"/>
      <sheetName val="Cashflow_projection55"/>
      <sheetName val="SITE_OVERHEADS"/>
      <sheetName val="_AT-1-220_"/>
      <sheetName val="_BC-220"/>
      <sheetName val="BHIWANI_LINE"/>
      <sheetName val="Balance_Sheet_Details_CMC"/>
      <sheetName val="Materials_"/>
      <sheetName val="Rising_Main_1"/>
      <sheetName val="Basic_Rates"/>
      <sheetName val="Rates_7-20"/>
      <sheetName val="Traveller_Details"/>
      <sheetName val="Basement_Budget"/>
      <sheetName val="A_O_R_"/>
      <sheetName val="LA-_lookups"/>
      <sheetName val="Other_assumptions"/>
      <sheetName val="Structure_Bills_Qty"/>
      <sheetName val="Control_Sheet"/>
      <sheetName val="Rate_analysis"/>
      <sheetName val="exp-ded-jan'_06"/>
      <sheetName val="Design_sheet"/>
      <sheetName val="except_wiring"/>
      <sheetName val="Boq_(Main_Building)"/>
      <sheetName val="11_kV_SWGR"/>
      <sheetName val="R_A_"/>
      <sheetName val="Pipe_Bedding"/>
      <sheetName val="Allg. Angaben"/>
      <sheetName val="Mengengerüst Beheizung"/>
      <sheetName val="Liste"/>
      <sheetName val="Mengengerüst"/>
      <sheetName val="Montageüberwachung"/>
      <sheetName val="Faktoren"/>
      <sheetName val="Detail 1A"/>
      <sheetName val="Rate"/>
      <sheetName val="Summary output"/>
      <sheetName val="Names&amp;Cases"/>
      <sheetName val="Macro1"/>
      <sheetName val="Assumption Inputs"/>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7">
          <cell r="K7">
            <v>150</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ow r="7">
          <cell r="K7">
            <v>150</v>
          </cell>
        </row>
      </sheetData>
      <sheetData sheetId="130">
        <row r="7">
          <cell r="K7">
            <v>150</v>
          </cell>
        </row>
      </sheetData>
      <sheetData sheetId="131">
        <row r="7">
          <cell r="K7">
            <v>150</v>
          </cell>
        </row>
      </sheetData>
      <sheetData sheetId="132">
        <row r="7">
          <cell r="K7">
            <v>150</v>
          </cell>
        </row>
      </sheetData>
      <sheetData sheetId="133">
        <row r="7">
          <cell r="K7">
            <v>150</v>
          </cell>
        </row>
      </sheetData>
      <sheetData sheetId="134">
        <row r="7">
          <cell r="K7">
            <v>150</v>
          </cell>
        </row>
      </sheetData>
      <sheetData sheetId="135">
        <row r="7">
          <cell r="K7">
            <v>150</v>
          </cell>
        </row>
      </sheetData>
      <sheetData sheetId="136">
        <row r="7">
          <cell r="K7">
            <v>150</v>
          </cell>
        </row>
      </sheetData>
      <sheetData sheetId="137">
        <row r="7">
          <cell r="K7">
            <v>150</v>
          </cell>
        </row>
      </sheetData>
      <sheetData sheetId="138">
        <row r="7">
          <cell r="K7">
            <v>150</v>
          </cell>
        </row>
      </sheetData>
      <sheetData sheetId="139">
        <row r="7">
          <cell r="K7">
            <v>150</v>
          </cell>
        </row>
      </sheetData>
      <sheetData sheetId="140">
        <row r="7">
          <cell r="K7">
            <v>150</v>
          </cell>
        </row>
      </sheetData>
      <sheetData sheetId="141">
        <row r="7">
          <cell r="K7">
            <v>150</v>
          </cell>
        </row>
      </sheetData>
      <sheetData sheetId="142">
        <row r="7">
          <cell r="K7">
            <v>150</v>
          </cell>
        </row>
      </sheetData>
      <sheetData sheetId="143">
        <row r="7">
          <cell r="K7">
            <v>150</v>
          </cell>
        </row>
      </sheetData>
      <sheetData sheetId="144">
        <row r="7">
          <cell r="K7">
            <v>150</v>
          </cell>
        </row>
      </sheetData>
      <sheetData sheetId="145">
        <row r="7">
          <cell r="K7">
            <v>150</v>
          </cell>
        </row>
      </sheetData>
      <sheetData sheetId="146">
        <row r="7">
          <cell r="K7">
            <v>150</v>
          </cell>
        </row>
      </sheetData>
      <sheetData sheetId="147">
        <row r="7">
          <cell r="K7">
            <v>150</v>
          </cell>
        </row>
      </sheetData>
      <sheetData sheetId="148">
        <row r="7">
          <cell r="K7">
            <v>150</v>
          </cell>
        </row>
      </sheetData>
      <sheetData sheetId="149">
        <row r="7">
          <cell r="K7">
            <v>150</v>
          </cell>
        </row>
      </sheetData>
      <sheetData sheetId="150"/>
      <sheetData sheetId="151"/>
      <sheetData sheetId="152">
        <row r="7">
          <cell r="K7">
            <v>150</v>
          </cell>
        </row>
      </sheetData>
      <sheetData sheetId="153">
        <row r="7">
          <cell r="K7">
            <v>150</v>
          </cell>
        </row>
      </sheetData>
      <sheetData sheetId="154"/>
      <sheetData sheetId="155"/>
      <sheetData sheetId="156"/>
      <sheetData sheetId="157"/>
      <sheetData sheetId="158"/>
      <sheetData sheetId="159"/>
      <sheetData sheetId="160"/>
      <sheetData sheetId="161"/>
      <sheetData sheetId="162">
        <row r="7">
          <cell r="K7">
            <v>150</v>
          </cell>
        </row>
      </sheetData>
      <sheetData sheetId="163">
        <row r="7">
          <cell r="K7">
            <v>150</v>
          </cell>
        </row>
      </sheetData>
      <sheetData sheetId="164">
        <row r="7">
          <cell r="K7">
            <v>150</v>
          </cell>
        </row>
      </sheetData>
      <sheetData sheetId="165">
        <row r="7">
          <cell r="K7">
            <v>150</v>
          </cell>
        </row>
      </sheetData>
      <sheetData sheetId="166">
        <row r="7">
          <cell r="K7">
            <v>150</v>
          </cell>
        </row>
      </sheetData>
      <sheetData sheetId="167">
        <row r="7">
          <cell r="K7">
            <v>150</v>
          </cell>
        </row>
      </sheetData>
      <sheetData sheetId="168">
        <row r="7">
          <cell r="K7">
            <v>150</v>
          </cell>
        </row>
      </sheetData>
      <sheetData sheetId="169">
        <row r="7">
          <cell r="K7">
            <v>150</v>
          </cell>
        </row>
      </sheetData>
      <sheetData sheetId="170">
        <row r="7">
          <cell r="K7">
            <v>150</v>
          </cell>
        </row>
      </sheetData>
      <sheetData sheetId="171">
        <row r="7">
          <cell r="K7">
            <v>150</v>
          </cell>
        </row>
      </sheetData>
      <sheetData sheetId="172">
        <row r="7">
          <cell r="K7">
            <v>150</v>
          </cell>
        </row>
      </sheetData>
      <sheetData sheetId="173">
        <row r="7">
          <cell r="K7">
            <v>150</v>
          </cell>
        </row>
      </sheetData>
      <sheetData sheetId="174">
        <row r="7">
          <cell r="K7">
            <v>150</v>
          </cell>
        </row>
      </sheetData>
      <sheetData sheetId="175">
        <row r="7">
          <cell r="K7">
            <v>150</v>
          </cell>
        </row>
      </sheetData>
      <sheetData sheetId="176">
        <row r="7">
          <cell r="K7">
            <v>150</v>
          </cell>
        </row>
      </sheetData>
      <sheetData sheetId="177">
        <row r="7">
          <cell r="K7">
            <v>150</v>
          </cell>
        </row>
      </sheetData>
      <sheetData sheetId="178">
        <row r="7">
          <cell r="K7">
            <v>150</v>
          </cell>
        </row>
      </sheetData>
      <sheetData sheetId="179"/>
      <sheetData sheetId="180"/>
      <sheetData sheetId="181"/>
      <sheetData sheetId="182"/>
      <sheetData sheetId="183"/>
      <sheetData sheetId="184">
        <row r="7">
          <cell r="K7">
            <v>150</v>
          </cell>
        </row>
      </sheetData>
      <sheetData sheetId="185">
        <row r="7">
          <cell r="K7">
            <v>150</v>
          </cell>
        </row>
      </sheetData>
      <sheetData sheetId="186">
        <row r="7">
          <cell r="K7">
            <v>150</v>
          </cell>
        </row>
      </sheetData>
      <sheetData sheetId="187">
        <row r="7">
          <cell r="K7">
            <v>150</v>
          </cell>
        </row>
      </sheetData>
      <sheetData sheetId="188">
        <row r="7">
          <cell r="K7">
            <v>150</v>
          </cell>
        </row>
      </sheetData>
      <sheetData sheetId="189">
        <row r="7">
          <cell r="K7">
            <v>150</v>
          </cell>
        </row>
      </sheetData>
      <sheetData sheetId="190">
        <row r="7">
          <cell r="K7">
            <v>150</v>
          </cell>
        </row>
      </sheetData>
      <sheetData sheetId="191">
        <row r="7">
          <cell r="K7">
            <v>150</v>
          </cell>
        </row>
      </sheetData>
      <sheetData sheetId="192">
        <row r="7">
          <cell r="K7">
            <v>150</v>
          </cell>
        </row>
      </sheetData>
      <sheetData sheetId="193">
        <row r="7">
          <cell r="K7">
            <v>150</v>
          </cell>
        </row>
      </sheetData>
      <sheetData sheetId="194">
        <row r="7">
          <cell r="K7">
            <v>150</v>
          </cell>
        </row>
      </sheetData>
      <sheetData sheetId="195">
        <row r="7">
          <cell r="K7">
            <v>150</v>
          </cell>
        </row>
      </sheetData>
      <sheetData sheetId="196">
        <row r="7">
          <cell r="K7">
            <v>150</v>
          </cell>
        </row>
      </sheetData>
      <sheetData sheetId="197">
        <row r="7">
          <cell r="K7">
            <v>150</v>
          </cell>
        </row>
      </sheetData>
      <sheetData sheetId="198">
        <row r="7">
          <cell r="K7">
            <v>150</v>
          </cell>
        </row>
      </sheetData>
      <sheetData sheetId="199">
        <row r="7">
          <cell r="K7">
            <v>150</v>
          </cell>
        </row>
      </sheetData>
      <sheetData sheetId="200">
        <row r="7">
          <cell r="K7">
            <v>150</v>
          </cell>
        </row>
      </sheetData>
      <sheetData sheetId="201">
        <row r="7">
          <cell r="K7">
            <v>150</v>
          </cell>
        </row>
      </sheetData>
      <sheetData sheetId="202">
        <row r="7">
          <cell r="K7">
            <v>150</v>
          </cell>
        </row>
      </sheetData>
      <sheetData sheetId="203">
        <row r="7">
          <cell r="K7">
            <v>150</v>
          </cell>
        </row>
      </sheetData>
      <sheetData sheetId="204">
        <row r="7">
          <cell r="K7">
            <v>150</v>
          </cell>
        </row>
      </sheetData>
      <sheetData sheetId="205">
        <row r="7">
          <cell r="K7">
            <v>150</v>
          </cell>
        </row>
      </sheetData>
      <sheetData sheetId="206">
        <row r="7">
          <cell r="K7">
            <v>150</v>
          </cell>
        </row>
      </sheetData>
      <sheetData sheetId="207">
        <row r="7">
          <cell r="K7">
            <v>150</v>
          </cell>
        </row>
      </sheetData>
      <sheetData sheetId="208">
        <row r="7">
          <cell r="K7">
            <v>150</v>
          </cell>
        </row>
      </sheetData>
      <sheetData sheetId="209">
        <row r="7">
          <cell r="K7">
            <v>150</v>
          </cell>
        </row>
      </sheetData>
      <sheetData sheetId="210">
        <row r="7">
          <cell r="K7">
            <v>150</v>
          </cell>
        </row>
      </sheetData>
      <sheetData sheetId="211">
        <row r="7">
          <cell r="K7">
            <v>150</v>
          </cell>
        </row>
      </sheetData>
      <sheetData sheetId="212">
        <row r="7">
          <cell r="K7">
            <v>150</v>
          </cell>
        </row>
      </sheetData>
      <sheetData sheetId="213">
        <row r="7">
          <cell r="K7">
            <v>150</v>
          </cell>
        </row>
      </sheetData>
      <sheetData sheetId="214">
        <row r="7">
          <cell r="K7">
            <v>150</v>
          </cell>
        </row>
      </sheetData>
      <sheetData sheetId="215">
        <row r="7">
          <cell r="K7">
            <v>150</v>
          </cell>
        </row>
      </sheetData>
      <sheetData sheetId="216">
        <row r="7">
          <cell r="K7">
            <v>150</v>
          </cell>
        </row>
      </sheetData>
      <sheetData sheetId="217">
        <row r="7">
          <cell r="K7">
            <v>150</v>
          </cell>
        </row>
      </sheetData>
      <sheetData sheetId="218">
        <row r="7">
          <cell r="K7">
            <v>150</v>
          </cell>
        </row>
      </sheetData>
      <sheetData sheetId="219">
        <row r="7">
          <cell r="K7">
            <v>150</v>
          </cell>
        </row>
      </sheetData>
      <sheetData sheetId="220">
        <row r="7">
          <cell r="K7">
            <v>150</v>
          </cell>
        </row>
      </sheetData>
      <sheetData sheetId="221">
        <row r="7">
          <cell r="K7">
            <v>150</v>
          </cell>
        </row>
      </sheetData>
      <sheetData sheetId="222">
        <row r="7">
          <cell r="K7">
            <v>150</v>
          </cell>
        </row>
      </sheetData>
      <sheetData sheetId="223">
        <row r="7">
          <cell r="K7">
            <v>150</v>
          </cell>
        </row>
      </sheetData>
      <sheetData sheetId="224">
        <row r="7">
          <cell r="K7">
            <v>150</v>
          </cell>
        </row>
      </sheetData>
      <sheetData sheetId="225">
        <row r="7">
          <cell r="K7">
            <v>150</v>
          </cell>
        </row>
      </sheetData>
      <sheetData sheetId="226">
        <row r="7">
          <cell r="K7">
            <v>150</v>
          </cell>
        </row>
      </sheetData>
      <sheetData sheetId="227">
        <row r="7">
          <cell r="K7">
            <v>150</v>
          </cell>
        </row>
      </sheetData>
      <sheetData sheetId="228">
        <row r="7">
          <cell r="K7">
            <v>150</v>
          </cell>
        </row>
      </sheetData>
      <sheetData sheetId="229">
        <row r="7">
          <cell r="K7">
            <v>150</v>
          </cell>
        </row>
      </sheetData>
      <sheetData sheetId="230">
        <row r="7">
          <cell r="K7">
            <v>150</v>
          </cell>
        </row>
      </sheetData>
      <sheetData sheetId="231">
        <row r="7">
          <cell r="K7">
            <v>150</v>
          </cell>
        </row>
      </sheetData>
      <sheetData sheetId="232">
        <row r="7">
          <cell r="K7">
            <v>150</v>
          </cell>
        </row>
      </sheetData>
      <sheetData sheetId="233">
        <row r="7">
          <cell r="K7">
            <v>150</v>
          </cell>
        </row>
      </sheetData>
      <sheetData sheetId="234">
        <row r="7">
          <cell r="K7">
            <v>150</v>
          </cell>
        </row>
      </sheetData>
      <sheetData sheetId="235">
        <row r="7">
          <cell r="K7">
            <v>150</v>
          </cell>
        </row>
      </sheetData>
      <sheetData sheetId="236">
        <row r="7">
          <cell r="K7">
            <v>150</v>
          </cell>
        </row>
      </sheetData>
      <sheetData sheetId="237">
        <row r="7">
          <cell r="K7">
            <v>150</v>
          </cell>
        </row>
      </sheetData>
      <sheetData sheetId="238">
        <row r="7">
          <cell r="K7">
            <v>150</v>
          </cell>
        </row>
      </sheetData>
      <sheetData sheetId="239">
        <row r="7">
          <cell r="K7">
            <v>150</v>
          </cell>
        </row>
      </sheetData>
      <sheetData sheetId="240">
        <row r="7">
          <cell r="K7">
            <v>150</v>
          </cell>
        </row>
      </sheetData>
      <sheetData sheetId="241">
        <row r="7">
          <cell r="K7">
            <v>150</v>
          </cell>
        </row>
      </sheetData>
      <sheetData sheetId="242">
        <row r="7">
          <cell r="K7">
            <v>150</v>
          </cell>
        </row>
      </sheetData>
      <sheetData sheetId="243">
        <row r="7">
          <cell r="K7">
            <v>150</v>
          </cell>
        </row>
      </sheetData>
      <sheetData sheetId="244">
        <row r="7">
          <cell r="K7">
            <v>150</v>
          </cell>
        </row>
      </sheetData>
      <sheetData sheetId="245">
        <row r="7">
          <cell r="K7">
            <v>150</v>
          </cell>
        </row>
      </sheetData>
      <sheetData sheetId="246">
        <row r="7">
          <cell r="K7">
            <v>150</v>
          </cell>
        </row>
      </sheetData>
      <sheetData sheetId="247">
        <row r="7">
          <cell r="K7">
            <v>150</v>
          </cell>
        </row>
      </sheetData>
      <sheetData sheetId="248">
        <row r="7">
          <cell r="K7">
            <v>150</v>
          </cell>
        </row>
      </sheetData>
      <sheetData sheetId="249">
        <row r="7">
          <cell r="K7">
            <v>150</v>
          </cell>
        </row>
      </sheetData>
      <sheetData sheetId="250">
        <row r="7">
          <cell r="K7">
            <v>150</v>
          </cell>
        </row>
      </sheetData>
      <sheetData sheetId="251">
        <row r="7">
          <cell r="K7">
            <v>150</v>
          </cell>
        </row>
      </sheetData>
      <sheetData sheetId="252">
        <row r="7">
          <cell r="K7">
            <v>150</v>
          </cell>
        </row>
      </sheetData>
      <sheetData sheetId="253">
        <row r="7">
          <cell r="K7">
            <v>150</v>
          </cell>
        </row>
      </sheetData>
      <sheetData sheetId="254">
        <row r="7">
          <cell r="K7">
            <v>150</v>
          </cell>
        </row>
      </sheetData>
      <sheetData sheetId="255">
        <row r="7">
          <cell r="K7">
            <v>150</v>
          </cell>
        </row>
      </sheetData>
      <sheetData sheetId="256">
        <row r="7">
          <cell r="K7">
            <v>150</v>
          </cell>
        </row>
      </sheetData>
      <sheetData sheetId="257">
        <row r="7">
          <cell r="K7">
            <v>150</v>
          </cell>
        </row>
      </sheetData>
      <sheetData sheetId="258">
        <row r="7">
          <cell r="K7">
            <v>150</v>
          </cell>
        </row>
      </sheetData>
      <sheetData sheetId="259">
        <row r="7">
          <cell r="K7">
            <v>150</v>
          </cell>
        </row>
      </sheetData>
      <sheetData sheetId="260">
        <row r="7">
          <cell r="K7">
            <v>150</v>
          </cell>
        </row>
      </sheetData>
      <sheetData sheetId="261">
        <row r="7">
          <cell r="K7">
            <v>150</v>
          </cell>
        </row>
      </sheetData>
      <sheetData sheetId="262">
        <row r="7">
          <cell r="K7">
            <v>150</v>
          </cell>
        </row>
      </sheetData>
      <sheetData sheetId="263">
        <row r="7">
          <cell r="K7">
            <v>150</v>
          </cell>
        </row>
      </sheetData>
      <sheetData sheetId="264">
        <row r="7">
          <cell r="K7">
            <v>150</v>
          </cell>
        </row>
      </sheetData>
      <sheetData sheetId="265">
        <row r="7">
          <cell r="K7">
            <v>150</v>
          </cell>
        </row>
      </sheetData>
      <sheetData sheetId="266">
        <row r="7">
          <cell r="K7">
            <v>150</v>
          </cell>
        </row>
      </sheetData>
      <sheetData sheetId="267">
        <row r="7">
          <cell r="K7">
            <v>150</v>
          </cell>
        </row>
      </sheetData>
      <sheetData sheetId="268">
        <row r="7">
          <cell r="K7">
            <v>150</v>
          </cell>
        </row>
      </sheetData>
      <sheetData sheetId="269">
        <row r="7">
          <cell r="K7">
            <v>150</v>
          </cell>
        </row>
      </sheetData>
      <sheetData sheetId="270">
        <row r="7">
          <cell r="K7">
            <v>150</v>
          </cell>
        </row>
      </sheetData>
      <sheetData sheetId="271">
        <row r="7">
          <cell r="K7">
            <v>150</v>
          </cell>
        </row>
      </sheetData>
      <sheetData sheetId="272">
        <row r="7">
          <cell r="K7">
            <v>150</v>
          </cell>
        </row>
      </sheetData>
      <sheetData sheetId="273">
        <row r="7">
          <cell r="K7">
            <v>150</v>
          </cell>
        </row>
      </sheetData>
      <sheetData sheetId="274">
        <row r="7">
          <cell r="K7">
            <v>150</v>
          </cell>
        </row>
      </sheetData>
      <sheetData sheetId="275">
        <row r="7">
          <cell r="K7">
            <v>150</v>
          </cell>
        </row>
      </sheetData>
      <sheetData sheetId="276">
        <row r="7">
          <cell r="K7">
            <v>150</v>
          </cell>
        </row>
      </sheetData>
      <sheetData sheetId="277">
        <row r="7">
          <cell r="K7">
            <v>150</v>
          </cell>
        </row>
      </sheetData>
      <sheetData sheetId="278">
        <row r="7">
          <cell r="K7">
            <v>150</v>
          </cell>
        </row>
      </sheetData>
      <sheetData sheetId="279">
        <row r="7">
          <cell r="K7">
            <v>150</v>
          </cell>
        </row>
      </sheetData>
      <sheetData sheetId="280">
        <row r="7">
          <cell r="K7">
            <v>150</v>
          </cell>
        </row>
      </sheetData>
      <sheetData sheetId="281">
        <row r="7">
          <cell r="K7">
            <v>150</v>
          </cell>
        </row>
      </sheetData>
      <sheetData sheetId="282">
        <row r="7">
          <cell r="K7">
            <v>150</v>
          </cell>
        </row>
      </sheetData>
      <sheetData sheetId="283">
        <row r="7">
          <cell r="K7">
            <v>150</v>
          </cell>
        </row>
      </sheetData>
      <sheetData sheetId="284">
        <row r="7">
          <cell r="K7">
            <v>150</v>
          </cell>
        </row>
      </sheetData>
      <sheetData sheetId="285">
        <row r="7">
          <cell r="K7">
            <v>150</v>
          </cell>
        </row>
      </sheetData>
      <sheetData sheetId="286">
        <row r="7">
          <cell r="K7">
            <v>150</v>
          </cell>
        </row>
      </sheetData>
      <sheetData sheetId="287">
        <row r="7">
          <cell r="K7">
            <v>150</v>
          </cell>
        </row>
      </sheetData>
      <sheetData sheetId="288">
        <row r="7">
          <cell r="K7">
            <v>150</v>
          </cell>
        </row>
      </sheetData>
      <sheetData sheetId="289">
        <row r="7">
          <cell r="K7">
            <v>150</v>
          </cell>
        </row>
      </sheetData>
      <sheetData sheetId="290">
        <row r="7">
          <cell r="K7">
            <v>150</v>
          </cell>
        </row>
      </sheetData>
      <sheetData sheetId="291">
        <row r="7">
          <cell r="K7">
            <v>150</v>
          </cell>
        </row>
      </sheetData>
      <sheetData sheetId="292">
        <row r="7">
          <cell r="K7">
            <v>150</v>
          </cell>
        </row>
      </sheetData>
      <sheetData sheetId="293">
        <row r="7">
          <cell r="K7">
            <v>150</v>
          </cell>
        </row>
      </sheetData>
      <sheetData sheetId="294">
        <row r="7">
          <cell r="K7">
            <v>150</v>
          </cell>
        </row>
      </sheetData>
      <sheetData sheetId="295">
        <row r="7">
          <cell r="K7">
            <v>150</v>
          </cell>
        </row>
      </sheetData>
      <sheetData sheetId="296">
        <row r="7">
          <cell r="K7">
            <v>150</v>
          </cell>
        </row>
      </sheetData>
      <sheetData sheetId="297">
        <row r="7">
          <cell r="K7">
            <v>150</v>
          </cell>
        </row>
      </sheetData>
      <sheetData sheetId="298">
        <row r="7">
          <cell r="K7">
            <v>150</v>
          </cell>
        </row>
      </sheetData>
      <sheetData sheetId="299">
        <row r="7">
          <cell r="K7">
            <v>150</v>
          </cell>
        </row>
      </sheetData>
      <sheetData sheetId="300">
        <row r="7">
          <cell r="K7">
            <v>150</v>
          </cell>
        </row>
      </sheetData>
      <sheetData sheetId="301">
        <row r="7">
          <cell r="K7">
            <v>150</v>
          </cell>
        </row>
      </sheetData>
      <sheetData sheetId="302">
        <row r="7">
          <cell r="K7">
            <v>150</v>
          </cell>
        </row>
      </sheetData>
      <sheetData sheetId="303">
        <row r="7">
          <cell r="K7">
            <v>150</v>
          </cell>
        </row>
      </sheetData>
      <sheetData sheetId="304">
        <row r="7">
          <cell r="K7">
            <v>150</v>
          </cell>
        </row>
      </sheetData>
      <sheetData sheetId="305">
        <row r="7">
          <cell r="K7">
            <v>150</v>
          </cell>
        </row>
      </sheetData>
      <sheetData sheetId="306">
        <row r="7">
          <cell r="K7">
            <v>150</v>
          </cell>
        </row>
      </sheetData>
      <sheetData sheetId="307">
        <row r="7">
          <cell r="K7">
            <v>150</v>
          </cell>
        </row>
      </sheetData>
      <sheetData sheetId="308">
        <row r="7">
          <cell r="K7">
            <v>150</v>
          </cell>
        </row>
      </sheetData>
      <sheetData sheetId="309">
        <row r="7">
          <cell r="K7">
            <v>150</v>
          </cell>
        </row>
      </sheetData>
      <sheetData sheetId="310">
        <row r="7">
          <cell r="K7">
            <v>150</v>
          </cell>
        </row>
      </sheetData>
      <sheetData sheetId="311">
        <row r="7">
          <cell r="K7">
            <v>150</v>
          </cell>
        </row>
      </sheetData>
      <sheetData sheetId="312">
        <row r="7">
          <cell r="K7">
            <v>150</v>
          </cell>
        </row>
      </sheetData>
      <sheetData sheetId="313">
        <row r="7">
          <cell r="K7">
            <v>150</v>
          </cell>
        </row>
      </sheetData>
      <sheetData sheetId="314">
        <row r="7">
          <cell r="K7">
            <v>150</v>
          </cell>
        </row>
      </sheetData>
      <sheetData sheetId="315">
        <row r="7">
          <cell r="K7">
            <v>150</v>
          </cell>
        </row>
      </sheetData>
      <sheetData sheetId="316">
        <row r="7">
          <cell r="K7">
            <v>150</v>
          </cell>
        </row>
      </sheetData>
      <sheetData sheetId="317">
        <row r="7">
          <cell r="K7">
            <v>150</v>
          </cell>
        </row>
      </sheetData>
      <sheetData sheetId="318">
        <row r="7">
          <cell r="K7">
            <v>150</v>
          </cell>
        </row>
      </sheetData>
      <sheetData sheetId="319">
        <row r="7">
          <cell r="K7">
            <v>150</v>
          </cell>
        </row>
      </sheetData>
      <sheetData sheetId="320">
        <row r="7">
          <cell r="K7">
            <v>150</v>
          </cell>
        </row>
      </sheetData>
      <sheetData sheetId="321">
        <row r="7">
          <cell r="K7">
            <v>150</v>
          </cell>
        </row>
      </sheetData>
      <sheetData sheetId="322">
        <row r="7">
          <cell r="K7">
            <v>150</v>
          </cell>
        </row>
      </sheetData>
      <sheetData sheetId="323">
        <row r="7">
          <cell r="K7">
            <v>150</v>
          </cell>
        </row>
      </sheetData>
      <sheetData sheetId="324">
        <row r="7">
          <cell r="K7">
            <v>150</v>
          </cell>
        </row>
      </sheetData>
      <sheetData sheetId="325">
        <row r="7">
          <cell r="K7">
            <v>150</v>
          </cell>
        </row>
      </sheetData>
      <sheetData sheetId="326">
        <row r="7">
          <cell r="K7">
            <v>150</v>
          </cell>
        </row>
      </sheetData>
      <sheetData sheetId="327">
        <row r="7">
          <cell r="K7">
            <v>150</v>
          </cell>
        </row>
      </sheetData>
      <sheetData sheetId="328">
        <row r="7">
          <cell r="K7">
            <v>150</v>
          </cell>
        </row>
      </sheetData>
      <sheetData sheetId="329">
        <row r="7">
          <cell r="K7">
            <v>150</v>
          </cell>
        </row>
      </sheetData>
      <sheetData sheetId="330">
        <row r="7">
          <cell r="K7">
            <v>150</v>
          </cell>
        </row>
      </sheetData>
      <sheetData sheetId="331">
        <row r="7">
          <cell r="K7">
            <v>150</v>
          </cell>
        </row>
      </sheetData>
      <sheetData sheetId="332">
        <row r="7">
          <cell r="K7">
            <v>150</v>
          </cell>
        </row>
      </sheetData>
      <sheetData sheetId="333">
        <row r="7">
          <cell r="K7">
            <v>150</v>
          </cell>
        </row>
      </sheetData>
      <sheetData sheetId="334">
        <row r="7">
          <cell r="K7">
            <v>150</v>
          </cell>
        </row>
      </sheetData>
      <sheetData sheetId="335">
        <row r="7">
          <cell r="K7">
            <v>150</v>
          </cell>
        </row>
      </sheetData>
      <sheetData sheetId="336">
        <row r="7">
          <cell r="K7">
            <v>150</v>
          </cell>
        </row>
      </sheetData>
      <sheetData sheetId="337">
        <row r="7">
          <cell r="K7">
            <v>150</v>
          </cell>
        </row>
      </sheetData>
      <sheetData sheetId="338">
        <row r="7">
          <cell r="K7">
            <v>150</v>
          </cell>
        </row>
      </sheetData>
      <sheetData sheetId="339">
        <row r="7">
          <cell r="K7">
            <v>150</v>
          </cell>
        </row>
      </sheetData>
      <sheetData sheetId="340">
        <row r="7">
          <cell r="K7">
            <v>150</v>
          </cell>
        </row>
      </sheetData>
      <sheetData sheetId="341">
        <row r="7">
          <cell r="K7">
            <v>150</v>
          </cell>
        </row>
      </sheetData>
      <sheetData sheetId="342">
        <row r="7">
          <cell r="K7">
            <v>150</v>
          </cell>
        </row>
      </sheetData>
      <sheetData sheetId="343">
        <row r="7">
          <cell r="K7">
            <v>150</v>
          </cell>
        </row>
      </sheetData>
      <sheetData sheetId="344">
        <row r="7">
          <cell r="K7">
            <v>150</v>
          </cell>
        </row>
      </sheetData>
      <sheetData sheetId="345">
        <row r="7">
          <cell r="K7">
            <v>150</v>
          </cell>
        </row>
      </sheetData>
      <sheetData sheetId="346">
        <row r="7">
          <cell r="K7">
            <v>150</v>
          </cell>
        </row>
      </sheetData>
      <sheetData sheetId="347">
        <row r="7">
          <cell r="K7">
            <v>150</v>
          </cell>
        </row>
      </sheetData>
      <sheetData sheetId="348">
        <row r="7">
          <cell r="K7">
            <v>150</v>
          </cell>
        </row>
      </sheetData>
      <sheetData sheetId="349">
        <row r="7">
          <cell r="K7">
            <v>150</v>
          </cell>
        </row>
      </sheetData>
      <sheetData sheetId="350">
        <row r="7">
          <cell r="K7">
            <v>150</v>
          </cell>
        </row>
      </sheetData>
      <sheetData sheetId="351">
        <row r="7">
          <cell r="K7">
            <v>150</v>
          </cell>
        </row>
      </sheetData>
      <sheetData sheetId="352">
        <row r="7">
          <cell r="K7">
            <v>150</v>
          </cell>
        </row>
      </sheetData>
      <sheetData sheetId="353">
        <row r="7">
          <cell r="K7">
            <v>150</v>
          </cell>
        </row>
      </sheetData>
      <sheetData sheetId="354">
        <row r="7">
          <cell r="K7">
            <v>150</v>
          </cell>
        </row>
      </sheetData>
      <sheetData sheetId="355">
        <row r="7">
          <cell r="K7">
            <v>150</v>
          </cell>
        </row>
      </sheetData>
      <sheetData sheetId="356">
        <row r="7">
          <cell r="K7">
            <v>150</v>
          </cell>
        </row>
      </sheetData>
      <sheetData sheetId="357">
        <row r="7">
          <cell r="K7">
            <v>150</v>
          </cell>
        </row>
      </sheetData>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row r="7">
          <cell r="K7">
            <v>150</v>
          </cell>
        </row>
      </sheetData>
      <sheetData sheetId="381">
        <row r="7">
          <cell r="K7">
            <v>150</v>
          </cell>
        </row>
      </sheetData>
      <sheetData sheetId="382">
        <row r="7">
          <cell r="K7">
            <v>150</v>
          </cell>
        </row>
      </sheetData>
      <sheetData sheetId="383">
        <row r="7">
          <cell r="K7">
            <v>150</v>
          </cell>
        </row>
      </sheetData>
      <sheetData sheetId="384">
        <row r="7">
          <cell r="K7">
            <v>150</v>
          </cell>
        </row>
      </sheetData>
      <sheetData sheetId="385"/>
      <sheetData sheetId="386">
        <row r="7">
          <cell r="K7">
            <v>150</v>
          </cell>
        </row>
      </sheetData>
      <sheetData sheetId="387">
        <row r="7">
          <cell r="K7">
            <v>150</v>
          </cell>
        </row>
      </sheetData>
      <sheetData sheetId="388">
        <row r="7">
          <cell r="K7">
            <v>150</v>
          </cell>
        </row>
      </sheetData>
      <sheetData sheetId="389">
        <row r="7">
          <cell r="K7">
            <v>150</v>
          </cell>
        </row>
      </sheetData>
      <sheetData sheetId="390">
        <row r="7">
          <cell r="K7">
            <v>150</v>
          </cell>
        </row>
      </sheetData>
      <sheetData sheetId="391">
        <row r="7">
          <cell r="K7">
            <v>150</v>
          </cell>
        </row>
      </sheetData>
      <sheetData sheetId="392">
        <row r="7">
          <cell r="K7">
            <v>150</v>
          </cell>
        </row>
      </sheetData>
      <sheetData sheetId="393">
        <row r="7">
          <cell r="K7">
            <v>150</v>
          </cell>
        </row>
      </sheetData>
      <sheetData sheetId="394">
        <row r="7">
          <cell r="K7">
            <v>150</v>
          </cell>
        </row>
      </sheetData>
      <sheetData sheetId="395">
        <row r="7">
          <cell r="K7">
            <v>150</v>
          </cell>
        </row>
      </sheetData>
      <sheetData sheetId="396">
        <row r="7">
          <cell r="K7">
            <v>150</v>
          </cell>
        </row>
      </sheetData>
      <sheetData sheetId="397">
        <row r="7">
          <cell r="K7">
            <v>150</v>
          </cell>
        </row>
      </sheetData>
      <sheetData sheetId="398">
        <row r="7">
          <cell r="K7">
            <v>150</v>
          </cell>
        </row>
      </sheetData>
      <sheetData sheetId="399">
        <row r="7">
          <cell r="K7">
            <v>150</v>
          </cell>
        </row>
      </sheetData>
      <sheetData sheetId="400">
        <row r="7">
          <cell r="K7">
            <v>150</v>
          </cell>
        </row>
      </sheetData>
      <sheetData sheetId="401">
        <row r="7">
          <cell r="K7">
            <v>150</v>
          </cell>
        </row>
      </sheetData>
      <sheetData sheetId="402">
        <row r="7">
          <cell r="K7">
            <v>150</v>
          </cell>
        </row>
      </sheetData>
      <sheetData sheetId="403">
        <row r="7">
          <cell r="K7">
            <v>150</v>
          </cell>
        </row>
      </sheetData>
      <sheetData sheetId="404">
        <row r="7">
          <cell r="K7">
            <v>150</v>
          </cell>
        </row>
      </sheetData>
      <sheetData sheetId="405">
        <row r="7">
          <cell r="K7">
            <v>150</v>
          </cell>
        </row>
      </sheetData>
      <sheetData sheetId="406">
        <row r="7">
          <cell r="K7">
            <v>150</v>
          </cell>
        </row>
      </sheetData>
      <sheetData sheetId="407">
        <row r="7">
          <cell r="K7">
            <v>150</v>
          </cell>
        </row>
      </sheetData>
      <sheetData sheetId="408">
        <row r="7">
          <cell r="K7">
            <v>150</v>
          </cell>
        </row>
      </sheetData>
      <sheetData sheetId="409">
        <row r="7">
          <cell r="K7">
            <v>150</v>
          </cell>
        </row>
      </sheetData>
      <sheetData sheetId="410">
        <row r="7">
          <cell r="K7">
            <v>150</v>
          </cell>
        </row>
      </sheetData>
      <sheetData sheetId="411">
        <row r="7">
          <cell r="K7">
            <v>150</v>
          </cell>
        </row>
      </sheetData>
      <sheetData sheetId="412">
        <row r="7">
          <cell r="K7">
            <v>150</v>
          </cell>
        </row>
      </sheetData>
      <sheetData sheetId="413">
        <row r="7">
          <cell r="K7">
            <v>150</v>
          </cell>
        </row>
      </sheetData>
      <sheetData sheetId="414">
        <row r="7">
          <cell r="K7">
            <v>150</v>
          </cell>
        </row>
      </sheetData>
      <sheetData sheetId="415">
        <row r="7">
          <cell r="K7">
            <v>150</v>
          </cell>
        </row>
      </sheetData>
      <sheetData sheetId="416">
        <row r="7">
          <cell r="K7">
            <v>150</v>
          </cell>
        </row>
      </sheetData>
      <sheetData sheetId="417">
        <row r="7">
          <cell r="K7">
            <v>150</v>
          </cell>
        </row>
      </sheetData>
      <sheetData sheetId="418">
        <row r="7">
          <cell r="K7">
            <v>150</v>
          </cell>
        </row>
      </sheetData>
      <sheetData sheetId="419">
        <row r="7">
          <cell r="K7">
            <v>150</v>
          </cell>
        </row>
      </sheetData>
      <sheetData sheetId="420">
        <row r="7">
          <cell r="K7">
            <v>150</v>
          </cell>
        </row>
      </sheetData>
      <sheetData sheetId="421">
        <row r="7">
          <cell r="K7">
            <v>150</v>
          </cell>
        </row>
      </sheetData>
      <sheetData sheetId="422">
        <row r="7">
          <cell r="K7">
            <v>150</v>
          </cell>
        </row>
      </sheetData>
      <sheetData sheetId="423">
        <row r="7">
          <cell r="K7">
            <v>150</v>
          </cell>
        </row>
      </sheetData>
      <sheetData sheetId="424">
        <row r="7">
          <cell r="K7">
            <v>150</v>
          </cell>
        </row>
      </sheetData>
      <sheetData sheetId="425">
        <row r="7">
          <cell r="K7">
            <v>150</v>
          </cell>
        </row>
      </sheetData>
      <sheetData sheetId="426">
        <row r="7">
          <cell r="K7">
            <v>150</v>
          </cell>
        </row>
      </sheetData>
      <sheetData sheetId="427">
        <row r="7">
          <cell r="K7">
            <v>150</v>
          </cell>
        </row>
      </sheetData>
      <sheetData sheetId="428">
        <row r="7">
          <cell r="K7">
            <v>150</v>
          </cell>
        </row>
      </sheetData>
      <sheetData sheetId="429">
        <row r="7">
          <cell r="K7">
            <v>150</v>
          </cell>
        </row>
      </sheetData>
      <sheetData sheetId="430">
        <row r="7">
          <cell r="K7">
            <v>150</v>
          </cell>
        </row>
      </sheetData>
      <sheetData sheetId="431">
        <row r="7">
          <cell r="K7">
            <v>150</v>
          </cell>
        </row>
      </sheetData>
      <sheetData sheetId="432">
        <row r="7">
          <cell r="K7">
            <v>150</v>
          </cell>
        </row>
      </sheetData>
      <sheetData sheetId="433">
        <row r="7">
          <cell r="K7">
            <v>150</v>
          </cell>
        </row>
      </sheetData>
      <sheetData sheetId="434">
        <row r="7">
          <cell r="K7">
            <v>150</v>
          </cell>
        </row>
      </sheetData>
      <sheetData sheetId="435">
        <row r="7">
          <cell r="K7">
            <v>150</v>
          </cell>
        </row>
      </sheetData>
      <sheetData sheetId="436">
        <row r="7">
          <cell r="K7">
            <v>150</v>
          </cell>
        </row>
      </sheetData>
      <sheetData sheetId="437">
        <row r="7">
          <cell r="K7">
            <v>150</v>
          </cell>
        </row>
      </sheetData>
      <sheetData sheetId="438">
        <row r="7">
          <cell r="K7">
            <v>150</v>
          </cell>
        </row>
      </sheetData>
      <sheetData sheetId="439">
        <row r="7">
          <cell r="K7">
            <v>150</v>
          </cell>
        </row>
      </sheetData>
      <sheetData sheetId="440">
        <row r="7">
          <cell r="K7">
            <v>150</v>
          </cell>
        </row>
      </sheetData>
      <sheetData sheetId="441">
        <row r="7">
          <cell r="K7">
            <v>150</v>
          </cell>
        </row>
      </sheetData>
      <sheetData sheetId="442">
        <row r="7">
          <cell r="K7">
            <v>150</v>
          </cell>
        </row>
      </sheetData>
      <sheetData sheetId="443">
        <row r="7">
          <cell r="K7">
            <v>150</v>
          </cell>
        </row>
      </sheetData>
      <sheetData sheetId="444">
        <row r="7">
          <cell r="K7">
            <v>150</v>
          </cell>
        </row>
      </sheetData>
      <sheetData sheetId="445">
        <row r="7">
          <cell r="K7">
            <v>150</v>
          </cell>
        </row>
      </sheetData>
      <sheetData sheetId="446">
        <row r="7">
          <cell r="K7">
            <v>150</v>
          </cell>
        </row>
      </sheetData>
      <sheetData sheetId="447">
        <row r="7">
          <cell r="K7">
            <v>150</v>
          </cell>
        </row>
      </sheetData>
      <sheetData sheetId="448">
        <row r="7">
          <cell r="K7">
            <v>150</v>
          </cell>
        </row>
      </sheetData>
      <sheetData sheetId="449">
        <row r="7">
          <cell r="K7">
            <v>150</v>
          </cell>
        </row>
      </sheetData>
      <sheetData sheetId="450">
        <row r="7">
          <cell r="K7">
            <v>150</v>
          </cell>
        </row>
      </sheetData>
      <sheetData sheetId="451">
        <row r="7">
          <cell r="K7">
            <v>150</v>
          </cell>
        </row>
      </sheetData>
      <sheetData sheetId="452">
        <row r="7">
          <cell r="K7">
            <v>150</v>
          </cell>
        </row>
      </sheetData>
      <sheetData sheetId="453">
        <row r="7">
          <cell r="K7">
            <v>150</v>
          </cell>
        </row>
      </sheetData>
      <sheetData sheetId="454">
        <row r="7">
          <cell r="K7">
            <v>150</v>
          </cell>
        </row>
      </sheetData>
      <sheetData sheetId="455">
        <row r="7">
          <cell r="K7">
            <v>150</v>
          </cell>
        </row>
      </sheetData>
      <sheetData sheetId="456">
        <row r="7">
          <cell r="K7">
            <v>150</v>
          </cell>
        </row>
      </sheetData>
      <sheetData sheetId="457">
        <row r="7">
          <cell r="K7">
            <v>150</v>
          </cell>
        </row>
      </sheetData>
      <sheetData sheetId="458">
        <row r="7">
          <cell r="K7">
            <v>150</v>
          </cell>
        </row>
      </sheetData>
      <sheetData sheetId="459">
        <row r="7">
          <cell r="K7">
            <v>150</v>
          </cell>
        </row>
      </sheetData>
      <sheetData sheetId="460">
        <row r="7">
          <cell r="K7">
            <v>150</v>
          </cell>
        </row>
      </sheetData>
      <sheetData sheetId="461">
        <row r="7">
          <cell r="K7">
            <v>150</v>
          </cell>
        </row>
      </sheetData>
      <sheetData sheetId="462">
        <row r="7">
          <cell r="K7">
            <v>150</v>
          </cell>
        </row>
      </sheetData>
      <sheetData sheetId="463">
        <row r="7">
          <cell r="K7">
            <v>150</v>
          </cell>
        </row>
      </sheetData>
      <sheetData sheetId="464">
        <row r="7">
          <cell r="K7">
            <v>150</v>
          </cell>
        </row>
      </sheetData>
      <sheetData sheetId="465">
        <row r="7">
          <cell r="K7">
            <v>150</v>
          </cell>
        </row>
      </sheetData>
      <sheetData sheetId="466">
        <row r="7">
          <cell r="K7">
            <v>150</v>
          </cell>
        </row>
      </sheetData>
      <sheetData sheetId="467">
        <row r="7">
          <cell r="K7">
            <v>150</v>
          </cell>
        </row>
      </sheetData>
      <sheetData sheetId="468">
        <row r="7">
          <cell r="K7">
            <v>150</v>
          </cell>
        </row>
      </sheetData>
      <sheetData sheetId="469">
        <row r="7">
          <cell r="K7">
            <v>150</v>
          </cell>
        </row>
      </sheetData>
      <sheetData sheetId="470">
        <row r="7">
          <cell r="K7">
            <v>150</v>
          </cell>
        </row>
      </sheetData>
      <sheetData sheetId="471">
        <row r="7">
          <cell r="K7">
            <v>150</v>
          </cell>
        </row>
      </sheetData>
      <sheetData sheetId="472">
        <row r="7">
          <cell r="K7">
            <v>150</v>
          </cell>
        </row>
      </sheetData>
      <sheetData sheetId="473">
        <row r="7">
          <cell r="K7">
            <v>150</v>
          </cell>
        </row>
      </sheetData>
      <sheetData sheetId="474">
        <row r="7">
          <cell r="K7">
            <v>150</v>
          </cell>
        </row>
      </sheetData>
      <sheetData sheetId="475">
        <row r="7">
          <cell r="K7">
            <v>150</v>
          </cell>
        </row>
      </sheetData>
      <sheetData sheetId="476">
        <row r="7">
          <cell r="K7">
            <v>150</v>
          </cell>
        </row>
      </sheetData>
      <sheetData sheetId="477">
        <row r="7">
          <cell r="K7">
            <v>150</v>
          </cell>
        </row>
      </sheetData>
      <sheetData sheetId="478">
        <row r="7">
          <cell r="K7">
            <v>150</v>
          </cell>
        </row>
      </sheetData>
      <sheetData sheetId="479">
        <row r="7">
          <cell r="K7">
            <v>150</v>
          </cell>
        </row>
      </sheetData>
      <sheetData sheetId="480">
        <row r="7">
          <cell r="K7">
            <v>150</v>
          </cell>
        </row>
      </sheetData>
      <sheetData sheetId="481">
        <row r="7">
          <cell r="K7">
            <v>150</v>
          </cell>
        </row>
      </sheetData>
      <sheetData sheetId="482">
        <row r="7">
          <cell r="K7">
            <v>150</v>
          </cell>
        </row>
      </sheetData>
      <sheetData sheetId="483">
        <row r="7">
          <cell r="K7">
            <v>150</v>
          </cell>
        </row>
      </sheetData>
      <sheetData sheetId="484">
        <row r="7">
          <cell r="K7">
            <v>150</v>
          </cell>
        </row>
      </sheetData>
      <sheetData sheetId="485">
        <row r="7">
          <cell r="K7">
            <v>150</v>
          </cell>
        </row>
      </sheetData>
      <sheetData sheetId="486">
        <row r="7">
          <cell r="K7">
            <v>150</v>
          </cell>
        </row>
      </sheetData>
      <sheetData sheetId="487"/>
      <sheetData sheetId="488">
        <row r="7">
          <cell r="K7">
            <v>150</v>
          </cell>
        </row>
      </sheetData>
      <sheetData sheetId="489">
        <row r="7">
          <cell r="K7">
            <v>150</v>
          </cell>
        </row>
      </sheetData>
      <sheetData sheetId="490"/>
      <sheetData sheetId="491"/>
      <sheetData sheetId="492"/>
      <sheetData sheetId="493"/>
      <sheetData sheetId="494"/>
      <sheetData sheetId="495"/>
      <sheetData sheetId="496">
        <row r="7">
          <cell r="K7">
            <v>150</v>
          </cell>
        </row>
      </sheetData>
      <sheetData sheetId="497"/>
      <sheetData sheetId="498">
        <row r="7">
          <cell r="K7">
            <v>150</v>
          </cell>
        </row>
      </sheetData>
      <sheetData sheetId="499">
        <row r="7">
          <cell r="K7">
            <v>150</v>
          </cell>
        </row>
      </sheetData>
      <sheetData sheetId="500"/>
      <sheetData sheetId="501"/>
      <sheetData sheetId="502">
        <row r="7">
          <cell r="K7">
            <v>150</v>
          </cell>
        </row>
      </sheetData>
      <sheetData sheetId="503">
        <row r="7">
          <cell r="K7">
            <v>150</v>
          </cell>
        </row>
      </sheetData>
      <sheetData sheetId="504"/>
      <sheetData sheetId="505"/>
      <sheetData sheetId="506"/>
      <sheetData sheetId="507"/>
      <sheetData sheetId="508"/>
      <sheetData sheetId="509">
        <row r="7">
          <cell r="K7">
            <v>150</v>
          </cell>
        </row>
      </sheetData>
      <sheetData sheetId="510">
        <row r="7">
          <cell r="K7">
            <v>150</v>
          </cell>
        </row>
      </sheetData>
      <sheetData sheetId="511">
        <row r="7">
          <cell r="K7">
            <v>150</v>
          </cell>
        </row>
      </sheetData>
      <sheetData sheetId="512">
        <row r="7">
          <cell r="K7">
            <v>150</v>
          </cell>
        </row>
      </sheetData>
      <sheetData sheetId="513">
        <row r="7">
          <cell r="K7">
            <v>150</v>
          </cell>
        </row>
      </sheetData>
      <sheetData sheetId="514">
        <row r="7">
          <cell r="K7">
            <v>150</v>
          </cell>
        </row>
      </sheetData>
      <sheetData sheetId="515">
        <row r="7">
          <cell r="K7">
            <v>150</v>
          </cell>
        </row>
      </sheetData>
      <sheetData sheetId="516">
        <row r="7">
          <cell r="K7">
            <v>150</v>
          </cell>
        </row>
      </sheetData>
      <sheetData sheetId="517">
        <row r="7">
          <cell r="K7">
            <v>150</v>
          </cell>
        </row>
      </sheetData>
      <sheetData sheetId="518">
        <row r="7">
          <cell r="K7">
            <v>150</v>
          </cell>
        </row>
      </sheetData>
      <sheetData sheetId="519">
        <row r="7">
          <cell r="K7">
            <v>150</v>
          </cell>
        </row>
      </sheetData>
      <sheetData sheetId="520">
        <row r="7">
          <cell r="K7">
            <v>150</v>
          </cell>
        </row>
      </sheetData>
      <sheetData sheetId="521">
        <row r="7">
          <cell r="K7">
            <v>150</v>
          </cell>
        </row>
      </sheetData>
      <sheetData sheetId="522">
        <row r="7">
          <cell r="K7">
            <v>150</v>
          </cell>
        </row>
      </sheetData>
      <sheetData sheetId="523">
        <row r="7">
          <cell r="K7">
            <v>150</v>
          </cell>
        </row>
      </sheetData>
      <sheetData sheetId="524">
        <row r="7">
          <cell r="K7">
            <v>150</v>
          </cell>
        </row>
      </sheetData>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row r="7">
          <cell r="K7">
            <v>150</v>
          </cell>
        </row>
      </sheetData>
      <sheetData sheetId="555">
        <row r="7">
          <cell r="K7">
            <v>150</v>
          </cell>
        </row>
      </sheetData>
      <sheetData sheetId="556">
        <row r="7">
          <cell r="K7">
            <v>150</v>
          </cell>
        </row>
      </sheetData>
      <sheetData sheetId="557">
        <row r="7">
          <cell r="K7">
            <v>150</v>
          </cell>
        </row>
      </sheetData>
      <sheetData sheetId="558">
        <row r="7">
          <cell r="K7">
            <v>150</v>
          </cell>
        </row>
      </sheetData>
      <sheetData sheetId="559">
        <row r="7">
          <cell r="K7">
            <v>150</v>
          </cell>
        </row>
      </sheetData>
      <sheetData sheetId="560">
        <row r="7">
          <cell r="K7">
            <v>150</v>
          </cell>
        </row>
      </sheetData>
      <sheetData sheetId="561">
        <row r="7">
          <cell r="K7">
            <v>150</v>
          </cell>
        </row>
      </sheetData>
      <sheetData sheetId="562">
        <row r="7">
          <cell r="K7">
            <v>150</v>
          </cell>
        </row>
      </sheetData>
      <sheetData sheetId="563">
        <row r="7">
          <cell r="K7">
            <v>150</v>
          </cell>
        </row>
      </sheetData>
      <sheetData sheetId="564">
        <row r="7">
          <cell r="K7">
            <v>150</v>
          </cell>
        </row>
      </sheetData>
      <sheetData sheetId="565">
        <row r="7">
          <cell r="K7">
            <v>150</v>
          </cell>
        </row>
      </sheetData>
      <sheetData sheetId="566">
        <row r="7">
          <cell r="K7">
            <v>150</v>
          </cell>
        </row>
      </sheetData>
      <sheetData sheetId="567">
        <row r="7">
          <cell r="K7">
            <v>150</v>
          </cell>
        </row>
      </sheetData>
      <sheetData sheetId="568">
        <row r="7">
          <cell r="K7">
            <v>150</v>
          </cell>
        </row>
      </sheetData>
      <sheetData sheetId="569">
        <row r="7">
          <cell r="K7">
            <v>150</v>
          </cell>
        </row>
      </sheetData>
      <sheetData sheetId="570">
        <row r="7">
          <cell r="K7">
            <v>150</v>
          </cell>
        </row>
      </sheetData>
      <sheetData sheetId="571">
        <row r="7">
          <cell r="K7">
            <v>150</v>
          </cell>
        </row>
      </sheetData>
      <sheetData sheetId="572">
        <row r="7">
          <cell r="K7">
            <v>150</v>
          </cell>
        </row>
      </sheetData>
      <sheetData sheetId="573">
        <row r="7">
          <cell r="K7">
            <v>150</v>
          </cell>
        </row>
      </sheetData>
      <sheetData sheetId="574">
        <row r="7">
          <cell r="K7">
            <v>150</v>
          </cell>
        </row>
      </sheetData>
      <sheetData sheetId="575">
        <row r="7">
          <cell r="K7">
            <v>150</v>
          </cell>
        </row>
      </sheetData>
      <sheetData sheetId="576">
        <row r="7">
          <cell r="K7">
            <v>150</v>
          </cell>
        </row>
      </sheetData>
      <sheetData sheetId="577">
        <row r="7">
          <cell r="K7">
            <v>150</v>
          </cell>
        </row>
      </sheetData>
      <sheetData sheetId="578">
        <row r="7">
          <cell r="K7">
            <v>150</v>
          </cell>
        </row>
      </sheetData>
      <sheetData sheetId="579">
        <row r="7">
          <cell r="K7">
            <v>150</v>
          </cell>
        </row>
      </sheetData>
      <sheetData sheetId="580">
        <row r="7">
          <cell r="K7">
            <v>150</v>
          </cell>
        </row>
      </sheetData>
      <sheetData sheetId="581">
        <row r="7">
          <cell r="K7">
            <v>150</v>
          </cell>
        </row>
      </sheetData>
      <sheetData sheetId="582">
        <row r="7">
          <cell r="K7">
            <v>150</v>
          </cell>
        </row>
      </sheetData>
      <sheetData sheetId="583">
        <row r="7">
          <cell r="K7">
            <v>150</v>
          </cell>
        </row>
      </sheetData>
      <sheetData sheetId="584">
        <row r="7">
          <cell r="K7">
            <v>150</v>
          </cell>
        </row>
      </sheetData>
      <sheetData sheetId="585">
        <row r="7">
          <cell r="K7">
            <v>150</v>
          </cell>
        </row>
      </sheetData>
      <sheetData sheetId="586">
        <row r="7">
          <cell r="K7">
            <v>150</v>
          </cell>
        </row>
      </sheetData>
      <sheetData sheetId="587">
        <row r="7">
          <cell r="K7">
            <v>150</v>
          </cell>
        </row>
      </sheetData>
      <sheetData sheetId="588">
        <row r="7">
          <cell r="K7">
            <v>150</v>
          </cell>
        </row>
      </sheetData>
      <sheetData sheetId="589">
        <row r="7">
          <cell r="K7">
            <v>150</v>
          </cell>
        </row>
      </sheetData>
      <sheetData sheetId="590">
        <row r="7">
          <cell r="K7">
            <v>150</v>
          </cell>
        </row>
      </sheetData>
      <sheetData sheetId="591">
        <row r="7">
          <cell r="K7">
            <v>150</v>
          </cell>
        </row>
      </sheetData>
      <sheetData sheetId="592">
        <row r="7">
          <cell r="K7">
            <v>150</v>
          </cell>
        </row>
      </sheetData>
      <sheetData sheetId="593">
        <row r="7">
          <cell r="K7">
            <v>150</v>
          </cell>
        </row>
      </sheetData>
      <sheetData sheetId="594">
        <row r="7">
          <cell r="K7">
            <v>150</v>
          </cell>
        </row>
      </sheetData>
      <sheetData sheetId="595">
        <row r="7">
          <cell r="K7">
            <v>150</v>
          </cell>
        </row>
      </sheetData>
      <sheetData sheetId="596">
        <row r="7">
          <cell r="K7">
            <v>150</v>
          </cell>
        </row>
      </sheetData>
      <sheetData sheetId="597">
        <row r="7">
          <cell r="K7">
            <v>150</v>
          </cell>
        </row>
      </sheetData>
      <sheetData sheetId="598">
        <row r="7">
          <cell r="K7">
            <v>150</v>
          </cell>
        </row>
      </sheetData>
      <sheetData sheetId="599">
        <row r="7">
          <cell r="K7">
            <v>150</v>
          </cell>
        </row>
      </sheetData>
      <sheetData sheetId="600">
        <row r="7">
          <cell r="K7">
            <v>150</v>
          </cell>
        </row>
      </sheetData>
      <sheetData sheetId="601">
        <row r="7">
          <cell r="K7">
            <v>150</v>
          </cell>
        </row>
      </sheetData>
      <sheetData sheetId="602">
        <row r="7">
          <cell r="K7">
            <v>150</v>
          </cell>
        </row>
      </sheetData>
      <sheetData sheetId="603">
        <row r="7">
          <cell r="K7">
            <v>150</v>
          </cell>
        </row>
      </sheetData>
      <sheetData sheetId="604">
        <row r="7">
          <cell r="K7">
            <v>150</v>
          </cell>
        </row>
      </sheetData>
      <sheetData sheetId="605">
        <row r="7">
          <cell r="K7">
            <v>150</v>
          </cell>
        </row>
      </sheetData>
      <sheetData sheetId="606">
        <row r="7">
          <cell r="K7">
            <v>150</v>
          </cell>
        </row>
      </sheetData>
      <sheetData sheetId="607">
        <row r="7">
          <cell r="K7">
            <v>150</v>
          </cell>
        </row>
      </sheetData>
      <sheetData sheetId="608">
        <row r="7">
          <cell r="K7">
            <v>150</v>
          </cell>
        </row>
      </sheetData>
      <sheetData sheetId="609">
        <row r="7">
          <cell r="K7">
            <v>150</v>
          </cell>
        </row>
      </sheetData>
      <sheetData sheetId="610">
        <row r="7">
          <cell r="K7">
            <v>150</v>
          </cell>
        </row>
      </sheetData>
      <sheetData sheetId="611">
        <row r="7">
          <cell r="K7">
            <v>150</v>
          </cell>
        </row>
      </sheetData>
      <sheetData sheetId="612"/>
      <sheetData sheetId="613"/>
      <sheetData sheetId="614"/>
      <sheetData sheetId="615">
        <row r="7">
          <cell r="K7">
            <v>150</v>
          </cell>
        </row>
      </sheetData>
      <sheetData sheetId="616">
        <row r="7">
          <cell r="K7">
            <v>150</v>
          </cell>
        </row>
      </sheetData>
      <sheetData sheetId="617">
        <row r="7">
          <cell r="K7">
            <v>150</v>
          </cell>
        </row>
      </sheetData>
      <sheetData sheetId="618">
        <row r="7">
          <cell r="K7">
            <v>150</v>
          </cell>
        </row>
      </sheetData>
      <sheetData sheetId="619">
        <row r="7">
          <cell r="K7">
            <v>150</v>
          </cell>
        </row>
      </sheetData>
      <sheetData sheetId="620">
        <row r="7">
          <cell r="K7">
            <v>150</v>
          </cell>
        </row>
      </sheetData>
      <sheetData sheetId="621">
        <row r="7">
          <cell r="K7">
            <v>150</v>
          </cell>
        </row>
      </sheetData>
      <sheetData sheetId="622">
        <row r="7">
          <cell r="K7">
            <v>150</v>
          </cell>
        </row>
      </sheetData>
      <sheetData sheetId="623">
        <row r="7">
          <cell r="K7">
            <v>150</v>
          </cell>
        </row>
      </sheetData>
      <sheetData sheetId="624">
        <row r="7">
          <cell r="K7">
            <v>150</v>
          </cell>
        </row>
      </sheetData>
      <sheetData sheetId="625">
        <row r="7">
          <cell r="K7">
            <v>150</v>
          </cell>
        </row>
      </sheetData>
      <sheetData sheetId="626">
        <row r="7">
          <cell r="K7">
            <v>150</v>
          </cell>
        </row>
      </sheetData>
      <sheetData sheetId="627">
        <row r="7">
          <cell r="K7">
            <v>150</v>
          </cell>
        </row>
      </sheetData>
      <sheetData sheetId="628">
        <row r="7">
          <cell r="K7">
            <v>150</v>
          </cell>
        </row>
      </sheetData>
      <sheetData sheetId="629">
        <row r="7">
          <cell r="K7">
            <v>150</v>
          </cell>
        </row>
      </sheetData>
      <sheetData sheetId="630">
        <row r="7">
          <cell r="K7">
            <v>150</v>
          </cell>
        </row>
      </sheetData>
      <sheetData sheetId="631">
        <row r="7">
          <cell r="K7">
            <v>150</v>
          </cell>
        </row>
      </sheetData>
      <sheetData sheetId="632">
        <row r="7">
          <cell r="K7">
            <v>150</v>
          </cell>
        </row>
      </sheetData>
      <sheetData sheetId="633">
        <row r="7">
          <cell r="K7">
            <v>150</v>
          </cell>
        </row>
      </sheetData>
      <sheetData sheetId="634">
        <row r="7">
          <cell r="K7">
            <v>150</v>
          </cell>
        </row>
      </sheetData>
      <sheetData sheetId="635">
        <row r="7">
          <cell r="K7">
            <v>150</v>
          </cell>
        </row>
      </sheetData>
      <sheetData sheetId="636">
        <row r="7">
          <cell r="K7">
            <v>150</v>
          </cell>
        </row>
      </sheetData>
      <sheetData sheetId="637">
        <row r="7">
          <cell r="K7">
            <v>150</v>
          </cell>
        </row>
      </sheetData>
      <sheetData sheetId="638">
        <row r="7">
          <cell r="K7">
            <v>150</v>
          </cell>
        </row>
      </sheetData>
      <sheetData sheetId="639">
        <row r="7">
          <cell r="K7">
            <v>150</v>
          </cell>
        </row>
      </sheetData>
      <sheetData sheetId="640">
        <row r="7">
          <cell r="K7">
            <v>150</v>
          </cell>
        </row>
      </sheetData>
      <sheetData sheetId="641">
        <row r="7">
          <cell r="K7">
            <v>150</v>
          </cell>
        </row>
      </sheetData>
      <sheetData sheetId="642">
        <row r="7">
          <cell r="K7">
            <v>150</v>
          </cell>
        </row>
      </sheetData>
      <sheetData sheetId="643">
        <row r="7">
          <cell r="K7">
            <v>150</v>
          </cell>
        </row>
      </sheetData>
      <sheetData sheetId="644">
        <row r="7">
          <cell r="K7">
            <v>150</v>
          </cell>
        </row>
      </sheetData>
      <sheetData sheetId="645">
        <row r="7">
          <cell r="K7">
            <v>150</v>
          </cell>
        </row>
      </sheetData>
      <sheetData sheetId="646">
        <row r="7">
          <cell r="K7">
            <v>150</v>
          </cell>
        </row>
      </sheetData>
      <sheetData sheetId="647">
        <row r="7">
          <cell r="K7">
            <v>150</v>
          </cell>
        </row>
      </sheetData>
      <sheetData sheetId="648">
        <row r="7">
          <cell r="K7">
            <v>150</v>
          </cell>
        </row>
      </sheetData>
      <sheetData sheetId="649">
        <row r="7">
          <cell r="K7">
            <v>150</v>
          </cell>
        </row>
      </sheetData>
      <sheetData sheetId="650">
        <row r="7">
          <cell r="K7">
            <v>150</v>
          </cell>
        </row>
      </sheetData>
      <sheetData sheetId="651">
        <row r="7">
          <cell r="K7">
            <v>150</v>
          </cell>
        </row>
      </sheetData>
      <sheetData sheetId="652">
        <row r="7">
          <cell r="K7">
            <v>150</v>
          </cell>
        </row>
      </sheetData>
      <sheetData sheetId="653">
        <row r="7">
          <cell r="K7">
            <v>150</v>
          </cell>
        </row>
      </sheetData>
      <sheetData sheetId="654">
        <row r="7">
          <cell r="K7">
            <v>150</v>
          </cell>
        </row>
      </sheetData>
      <sheetData sheetId="655">
        <row r="7">
          <cell r="K7">
            <v>150</v>
          </cell>
        </row>
      </sheetData>
      <sheetData sheetId="656">
        <row r="7">
          <cell r="K7">
            <v>150</v>
          </cell>
        </row>
      </sheetData>
      <sheetData sheetId="657">
        <row r="7">
          <cell r="K7">
            <v>150</v>
          </cell>
        </row>
      </sheetData>
      <sheetData sheetId="658">
        <row r="7">
          <cell r="K7">
            <v>150</v>
          </cell>
        </row>
      </sheetData>
      <sheetData sheetId="659">
        <row r="7">
          <cell r="K7">
            <v>150</v>
          </cell>
        </row>
      </sheetData>
      <sheetData sheetId="660">
        <row r="7">
          <cell r="K7">
            <v>150</v>
          </cell>
        </row>
      </sheetData>
      <sheetData sheetId="661">
        <row r="7">
          <cell r="K7">
            <v>150</v>
          </cell>
        </row>
      </sheetData>
      <sheetData sheetId="662">
        <row r="7">
          <cell r="K7">
            <v>150</v>
          </cell>
        </row>
      </sheetData>
      <sheetData sheetId="663">
        <row r="7">
          <cell r="K7">
            <v>150</v>
          </cell>
        </row>
      </sheetData>
      <sheetData sheetId="664">
        <row r="7">
          <cell r="K7">
            <v>150</v>
          </cell>
        </row>
      </sheetData>
      <sheetData sheetId="665">
        <row r="7">
          <cell r="K7">
            <v>150</v>
          </cell>
        </row>
      </sheetData>
      <sheetData sheetId="666">
        <row r="7">
          <cell r="K7">
            <v>150</v>
          </cell>
        </row>
      </sheetData>
      <sheetData sheetId="667">
        <row r="7">
          <cell r="K7">
            <v>150</v>
          </cell>
        </row>
      </sheetData>
      <sheetData sheetId="668">
        <row r="7">
          <cell r="K7">
            <v>150</v>
          </cell>
        </row>
      </sheetData>
      <sheetData sheetId="669">
        <row r="7">
          <cell r="K7">
            <v>150</v>
          </cell>
        </row>
      </sheetData>
      <sheetData sheetId="670">
        <row r="7">
          <cell r="K7">
            <v>150</v>
          </cell>
        </row>
      </sheetData>
      <sheetData sheetId="671">
        <row r="7">
          <cell r="K7">
            <v>150</v>
          </cell>
        </row>
      </sheetData>
      <sheetData sheetId="672">
        <row r="7">
          <cell r="K7">
            <v>150</v>
          </cell>
        </row>
      </sheetData>
      <sheetData sheetId="673">
        <row r="7">
          <cell r="K7">
            <v>150</v>
          </cell>
        </row>
      </sheetData>
      <sheetData sheetId="674">
        <row r="7">
          <cell r="K7">
            <v>150</v>
          </cell>
        </row>
      </sheetData>
      <sheetData sheetId="675">
        <row r="7">
          <cell r="K7">
            <v>150</v>
          </cell>
        </row>
      </sheetData>
      <sheetData sheetId="676">
        <row r="7">
          <cell r="K7">
            <v>150</v>
          </cell>
        </row>
      </sheetData>
      <sheetData sheetId="677">
        <row r="7">
          <cell r="K7">
            <v>150</v>
          </cell>
        </row>
      </sheetData>
      <sheetData sheetId="678">
        <row r="7">
          <cell r="K7">
            <v>150</v>
          </cell>
        </row>
      </sheetData>
      <sheetData sheetId="679">
        <row r="7">
          <cell r="K7">
            <v>150</v>
          </cell>
        </row>
      </sheetData>
      <sheetData sheetId="680">
        <row r="7">
          <cell r="K7">
            <v>150</v>
          </cell>
        </row>
      </sheetData>
      <sheetData sheetId="681">
        <row r="7">
          <cell r="K7">
            <v>150</v>
          </cell>
        </row>
      </sheetData>
      <sheetData sheetId="682">
        <row r="7">
          <cell r="K7">
            <v>150</v>
          </cell>
        </row>
      </sheetData>
      <sheetData sheetId="683">
        <row r="7">
          <cell r="K7">
            <v>150</v>
          </cell>
        </row>
      </sheetData>
      <sheetData sheetId="684">
        <row r="7">
          <cell r="K7">
            <v>150</v>
          </cell>
        </row>
      </sheetData>
      <sheetData sheetId="685">
        <row r="7">
          <cell r="K7">
            <v>150</v>
          </cell>
        </row>
      </sheetData>
      <sheetData sheetId="686">
        <row r="7">
          <cell r="K7">
            <v>150</v>
          </cell>
        </row>
      </sheetData>
      <sheetData sheetId="687">
        <row r="7">
          <cell r="K7">
            <v>150</v>
          </cell>
        </row>
      </sheetData>
      <sheetData sheetId="688">
        <row r="7">
          <cell r="K7">
            <v>150</v>
          </cell>
        </row>
      </sheetData>
      <sheetData sheetId="689">
        <row r="7">
          <cell r="K7">
            <v>150</v>
          </cell>
        </row>
      </sheetData>
      <sheetData sheetId="690">
        <row r="7">
          <cell r="K7">
            <v>150</v>
          </cell>
        </row>
      </sheetData>
      <sheetData sheetId="691">
        <row r="7">
          <cell r="K7">
            <v>150</v>
          </cell>
        </row>
      </sheetData>
      <sheetData sheetId="692">
        <row r="7">
          <cell r="K7">
            <v>150</v>
          </cell>
        </row>
      </sheetData>
      <sheetData sheetId="693">
        <row r="7">
          <cell r="K7">
            <v>150</v>
          </cell>
        </row>
      </sheetData>
      <sheetData sheetId="694">
        <row r="7">
          <cell r="K7">
            <v>150</v>
          </cell>
        </row>
      </sheetData>
      <sheetData sheetId="695">
        <row r="7">
          <cell r="K7">
            <v>150</v>
          </cell>
        </row>
      </sheetData>
      <sheetData sheetId="696">
        <row r="7">
          <cell r="K7">
            <v>150</v>
          </cell>
        </row>
      </sheetData>
      <sheetData sheetId="697">
        <row r="7">
          <cell r="K7">
            <v>150</v>
          </cell>
        </row>
      </sheetData>
      <sheetData sheetId="698">
        <row r="7">
          <cell r="K7">
            <v>150</v>
          </cell>
        </row>
      </sheetData>
      <sheetData sheetId="699">
        <row r="7">
          <cell r="K7">
            <v>150</v>
          </cell>
        </row>
      </sheetData>
      <sheetData sheetId="700">
        <row r="7">
          <cell r="K7">
            <v>150</v>
          </cell>
        </row>
      </sheetData>
      <sheetData sheetId="701">
        <row r="7">
          <cell r="K7">
            <v>150</v>
          </cell>
        </row>
      </sheetData>
      <sheetData sheetId="702">
        <row r="7">
          <cell r="K7">
            <v>150</v>
          </cell>
        </row>
      </sheetData>
      <sheetData sheetId="703">
        <row r="7">
          <cell r="K7">
            <v>150</v>
          </cell>
        </row>
      </sheetData>
      <sheetData sheetId="704">
        <row r="7">
          <cell r="K7">
            <v>150</v>
          </cell>
        </row>
      </sheetData>
      <sheetData sheetId="705">
        <row r="7">
          <cell r="K7">
            <v>150</v>
          </cell>
        </row>
      </sheetData>
      <sheetData sheetId="706">
        <row r="7">
          <cell r="K7">
            <v>150</v>
          </cell>
        </row>
      </sheetData>
      <sheetData sheetId="707">
        <row r="7">
          <cell r="K7">
            <v>150</v>
          </cell>
        </row>
      </sheetData>
      <sheetData sheetId="708">
        <row r="7">
          <cell r="K7">
            <v>150</v>
          </cell>
        </row>
      </sheetData>
      <sheetData sheetId="709">
        <row r="7">
          <cell r="K7">
            <v>150</v>
          </cell>
        </row>
      </sheetData>
      <sheetData sheetId="710">
        <row r="7">
          <cell r="K7">
            <v>150</v>
          </cell>
        </row>
      </sheetData>
      <sheetData sheetId="711">
        <row r="7">
          <cell r="K7">
            <v>150</v>
          </cell>
        </row>
      </sheetData>
      <sheetData sheetId="712">
        <row r="7">
          <cell r="K7">
            <v>150</v>
          </cell>
        </row>
      </sheetData>
      <sheetData sheetId="713">
        <row r="7">
          <cell r="K7">
            <v>150</v>
          </cell>
        </row>
      </sheetData>
      <sheetData sheetId="714">
        <row r="7">
          <cell r="K7">
            <v>150</v>
          </cell>
        </row>
      </sheetData>
      <sheetData sheetId="715">
        <row r="7">
          <cell r="K7">
            <v>150</v>
          </cell>
        </row>
      </sheetData>
      <sheetData sheetId="716">
        <row r="7">
          <cell r="K7">
            <v>150</v>
          </cell>
        </row>
      </sheetData>
      <sheetData sheetId="717">
        <row r="7">
          <cell r="K7">
            <v>150</v>
          </cell>
        </row>
      </sheetData>
      <sheetData sheetId="718">
        <row r="7">
          <cell r="K7">
            <v>150</v>
          </cell>
        </row>
      </sheetData>
      <sheetData sheetId="719">
        <row r="7">
          <cell r="K7">
            <v>150</v>
          </cell>
        </row>
      </sheetData>
      <sheetData sheetId="720">
        <row r="7">
          <cell r="K7">
            <v>150</v>
          </cell>
        </row>
      </sheetData>
      <sheetData sheetId="721">
        <row r="7">
          <cell r="K7">
            <v>150</v>
          </cell>
        </row>
      </sheetData>
      <sheetData sheetId="722">
        <row r="7">
          <cell r="K7">
            <v>150</v>
          </cell>
        </row>
      </sheetData>
      <sheetData sheetId="723">
        <row r="7">
          <cell r="K7">
            <v>150</v>
          </cell>
        </row>
      </sheetData>
      <sheetData sheetId="724">
        <row r="7">
          <cell r="K7">
            <v>150</v>
          </cell>
        </row>
      </sheetData>
      <sheetData sheetId="725">
        <row r="7">
          <cell r="K7">
            <v>150</v>
          </cell>
        </row>
      </sheetData>
      <sheetData sheetId="726">
        <row r="7">
          <cell r="K7">
            <v>150</v>
          </cell>
        </row>
      </sheetData>
      <sheetData sheetId="727">
        <row r="7">
          <cell r="K7">
            <v>150</v>
          </cell>
        </row>
      </sheetData>
      <sheetData sheetId="728">
        <row r="7">
          <cell r="K7">
            <v>150</v>
          </cell>
        </row>
      </sheetData>
      <sheetData sheetId="729">
        <row r="7">
          <cell r="K7">
            <v>150</v>
          </cell>
        </row>
      </sheetData>
      <sheetData sheetId="730">
        <row r="7">
          <cell r="K7">
            <v>150</v>
          </cell>
        </row>
      </sheetData>
      <sheetData sheetId="731">
        <row r="7">
          <cell r="K7">
            <v>150</v>
          </cell>
        </row>
      </sheetData>
      <sheetData sheetId="732">
        <row r="7">
          <cell r="K7">
            <v>150</v>
          </cell>
        </row>
      </sheetData>
      <sheetData sheetId="733">
        <row r="7">
          <cell r="K7">
            <v>150</v>
          </cell>
        </row>
      </sheetData>
      <sheetData sheetId="734">
        <row r="7">
          <cell r="K7">
            <v>150</v>
          </cell>
        </row>
      </sheetData>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row r="7">
          <cell r="K7">
            <v>150</v>
          </cell>
        </row>
      </sheetData>
      <sheetData sheetId="804"/>
      <sheetData sheetId="805">
        <row r="7">
          <cell r="K7">
            <v>150</v>
          </cell>
        </row>
      </sheetData>
      <sheetData sheetId="806">
        <row r="7">
          <cell r="K7">
            <v>150</v>
          </cell>
        </row>
      </sheetData>
      <sheetData sheetId="807">
        <row r="7">
          <cell r="K7">
            <v>150</v>
          </cell>
        </row>
      </sheetData>
      <sheetData sheetId="808">
        <row r="7">
          <cell r="K7">
            <v>150</v>
          </cell>
        </row>
      </sheetData>
      <sheetData sheetId="809">
        <row r="7">
          <cell r="K7">
            <v>150</v>
          </cell>
        </row>
      </sheetData>
      <sheetData sheetId="810">
        <row r="7">
          <cell r="K7">
            <v>150</v>
          </cell>
        </row>
      </sheetData>
      <sheetData sheetId="811">
        <row r="7">
          <cell r="K7">
            <v>150</v>
          </cell>
        </row>
      </sheetData>
      <sheetData sheetId="812">
        <row r="7">
          <cell r="K7">
            <v>150</v>
          </cell>
        </row>
      </sheetData>
      <sheetData sheetId="813">
        <row r="7">
          <cell r="K7">
            <v>150</v>
          </cell>
        </row>
      </sheetData>
      <sheetData sheetId="814">
        <row r="7">
          <cell r="K7">
            <v>150</v>
          </cell>
        </row>
      </sheetData>
      <sheetData sheetId="815">
        <row r="7">
          <cell r="K7">
            <v>150</v>
          </cell>
        </row>
      </sheetData>
      <sheetData sheetId="816">
        <row r="7">
          <cell r="K7">
            <v>150</v>
          </cell>
        </row>
      </sheetData>
      <sheetData sheetId="817">
        <row r="7">
          <cell r="K7">
            <v>150</v>
          </cell>
        </row>
      </sheetData>
      <sheetData sheetId="818">
        <row r="7">
          <cell r="K7">
            <v>150</v>
          </cell>
        </row>
      </sheetData>
      <sheetData sheetId="819">
        <row r="7">
          <cell r="K7">
            <v>150</v>
          </cell>
        </row>
      </sheetData>
      <sheetData sheetId="820">
        <row r="7">
          <cell r="K7">
            <v>150</v>
          </cell>
        </row>
      </sheetData>
      <sheetData sheetId="821">
        <row r="7">
          <cell r="K7">
            <v>150</v>
          </cell>
        </row>
      </sheetData>
      <sheetData sheetId="822">
        <row r="7">
          <cell r="K7">
            <v>150</v>
          </cell>
        </row>
      </sheetData>
      <sheetData sheetId="823"/>
      <sheetData sheetId="824"/>
      <sheetData sheetId="825"/>
      <sheetData sheetId="826"/>
      <sheetData sheetId="827"/>
      <sheetData sheetId="828"/>
      <sheetData sheetId="829"/>
      <sheetData sheetId="830">
        <row r="7">
          <cell r="K7">
            <v>150</v>
          </cell>
        </row>
      </sheetData>
      <sheetData sheetId="831">
        <row r="7">
          <cell r="K7">
            <v>150</v>
          </cell>
        </row>
      </sheetData>
      <sheetData sheetId="832">
        <row r="7">
          <cell r="K7">
            <v>150</v>
          </cell>
        </row>
      </sheetData>
      <sheetData sheetId="833">
        <row r="7">
          <cell r="K7">
            <v>150</v>
          </cell>
        </row>
      </sheetData>
      <sheetData sheetId="834">
        <row r="7">
          <cell r="K7">
            <v>150</v>
          </cell>
        </row>
      </sheetData>
      <sheetData sheetId="835">
        <row r="7">
          <cell r="K7">
            <v>150</v>
          </cell>
        </row>
      </sheetData>
      <sheetData sheetId="836">
        <row r="7">
          <cell r="K7">
            <v>150</v>
          </cell>
        </row>
      </sheetData>
      <sheetData sheetId="837">
        <row r="7">
          <cell r="K7">
            <v>150</v>
          </cell>
        </row>
      </sheetData>
      <sheetData sheetId="838">
        <row r="7">
          <cell r="K7">
            <v>150</v>
          </cell>
        </row>
      </sheetData>
      <sheetData sheetId="839">
        <row r="7">
          <cell r="K7">
            <v>150</v>
          </cell>
        </row>
      </sheetData>
      <sheetData sheetId="840">
        <row r="7">
          <cell r="K7">
            <v>150</v>
          </cell>
        </row>
      </sheetData>
      <sheetData sheetId="841">
        <row r="7">
          <cell r="K7">
            <v>150</v>
          </cell>
        </row>
      </sheetData>
      <sheetData sheetId="842">
        <row r="7">
          <cell r="K7">
            <v>150</v>
          </cell>
        </row>
      </sheetData>
      <sheetData sheetId="843">
        <row r="7">
          <cell r="K7">
            <v>150</v>
          </cell>
        </row>
      </sheetData>
      <sheetData sheetId="844">
        <row r="7">
          <cell r="K7">
            <v>150</v>
          </cell>
        </row>
      </sheetData>
      <sheetData sheetId="845">
        <row r="7">
          <cell r="K7">
            <v>150</v>
          </cell>
        </row>
      </sheetData>
      <sheetData sheetId="846">
        <row r="7">
          <cell r="K7">
            <v>150</v>
          </cell>
        </row>
      </sheetData>
      <sheetData sheetId="847">
        <row r="7">
          <cell r="K7">
            <v>150</v>
          </cell>
        </row>
      </sheetData>
      <sheetData sheetId="848">
        <row r="7">
          <cell r="K7">
            <v>150</v>
          </cell>
        </row>
      </sheetData>
      <sheetData sheetId="849">
        <row r="7">
          <cell r="K7">
            <v>150</v>
          </cell>
        </row>
      </sheetData>
      <sheetData sheetId="850">
        <row r="7">
          <cell r="K7">
            <v>150</v>
          </cell>
        </row>
      </sheetData>
      <sheetData sheetId="851">
        <row r="7">
          <cell r="K7">
            <v>150</v>
          </cell>
        </row>
      </sheetData>
      <sheetData sheetId="852">
        <row r="7">
          <cell r="K7">
            <v>150</v>
          </cell>
        </row>
      </sheetData>
      <sheetData sheetId="853">
        <row r="7">
          <cell r="K7">
            <v>150</v>
          </cell>
        </row>
      </sheetData>
      <sheetData sheetId="854">
        <row r="7">
          <cell r="K7">
            <v>150</v>
          </cell>
        </row>
      </sheetData>
      <sheetData sheetId="855">
        <row r="7">
          <cell r="K7">
            <v>150</v>
          </cell>
        </row>
      </sheetData>
      <sheetData sheetId="856">
        <row r="7">
          <cell r="K7">
            <v>150</v>
          </cell>
        </row>
      </sheetData>
      <sheetData sheetId="857">
        <row r="7">
          <cell r="K7">
            <v>150</v>
          </cell>
        </row>
      </sheetData>
      <sheetData sheetId="858">
        <row r="7">
          <cell r="K7">
            <v>150</v>
          </cell>
        </row>
      </sheetData>
      <sheetData sheetId="859">
        <row r="7">
          <cell r="K7">
            <v>150</v>
          </cell>
        </row>
      </sheetData>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row r="7">
          <cell r="K7">
            <v>150</v>
          </cell>
        </row>
      </sheetData>
      <sheetData sheetId="881">
        <row r="7">
          <cell r="K7">
            <v>150</v>
          </cell>
        </row>
      </sheetData>
      <sheetData sheetId="882"/>
      <sheetData sheetId="883"/>
      <sheetData sheetId="884"/>
      <sheetData sheetId="885"/>
      <sheetData sheetId="886"/>
      <sheetData sheetId="887">
        <row r="7">
          <cell r="K7">
            <v>150</v>
          </cell>
        </row>
      </sheetData>
      <sheetData sheetId="888">
        <row r="7">
          <cell r="K7">
            <v>150</v>
          </cell>
        </row>
      </sheetData>
      <sheetData sheetId="889"/>
      <sheetData sheetId="890"/>
      <sheetData sheetId="891">
        <row r="7">
          <cell r="K7">
            <v>150</v>
          </cell>
        </row>
      </sheetData>
      <sheetData sheetId="892"/>
      <sheetData sheetId="893"/>
      <sheetData sheetId="894"/>
      <sheetData sheetId="895"/>
      <sheetData sheetId="896"/>
      <sheetData sheetId="897"/>
      <sheetData sheetId="898"/>
      <sheetData sheetId="899"/>
      <sheetData sheetId="900"/>
      <sheetData sheetId="901"/>
      <sheetData sheetId="902"/>
      <sheetData sheetId="903">
        <row r="7">
          <cell r="K7">
            <v>150</v>
          </cell>
        </row>
      </sheetData>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row r="7">
          <cell r="K7">
            <v>150</v>
          </cell>
        </row>
      </sheetData>
      <sheetData sheetId="955">
        <row r="7">
          <cell r="K7">
            <v>150</v>
          </cell>
        </row>
      </sheetData>
      <sheetData sheetId="956">
        <row r="7">
          <cell r="K7">
            <v>150</v>
          </cell>
        </row>
      </sheetData>
      <sheetData sheetId="957">
        <row r="7">
          <cell r="K7">
            <v>150</v>
          </cell>
        </row>
      </sheetData>
      <sheetData sheetId="958">
        <row r="7">
          <cell r="K7">
            <v>150</v>
          </cell>
        </row>
      </sheetData>
      <sheetData sheetId="959">
        <row r="7">
          <cell r="K7">
            <v>150</v>
          </cell>
        </row>
      </sheetData>
      <sheetData sheetId="960">
        <row r="7">
          <cell r="K7">
            <v>150</v>
          </cell>
        </row>
      </sheetData>
      <sheetData sheetId="961">
        <row r="7">
          <cell r="K7">
            <v>150</v>
          </cell>
        </row>
      </sheetData>
      <sheetData sheetId="962">
        <row r="7">
          <cell r="K7">
            <v>150</v>
          </cell>
        </row>
      </sheetData>
      <sheetData sheetId="963">
        <row r="7">
          <cell r="K7">
            <v>150</v>
          </cell>
        </row>
      </sheetData>
      <sheetData sheetId="964">
        <row r="7">
          <cell r="K7">
            <v>150</v>
          </cell>
        </row>
      </sheetData>
      <sheetData sheetId="965">
        <row r="7">
          <cell r="K7">
            <v>150</v>
          </cell>
        </row>
      </sheetData>
      <sheetData sheetId="966">
        <row r="7">
          <cell r="K7">
            <v>150</v>
          </cell>
        </row>
      </sheetData>
      <sheetData sheetId="967">
        <row r="7">
          <cell r="K7">
            <v>150</v>
          </cell>
        </row>
      </sheetData>
      <sheetData sheetId="968">
        <row r="7">
          <cell r="K7">
            <v>150</v>
          </cell>
        </row>
      </sheetData>
      <sheetData sheetId="969">
        <row r="7">
          <cell r="K7">
            <v>150</v>
          </cell>
        </row>
      </sheetData>
      <sheetData sheetId="970">
        <row r="7">
          <cell r="K7">
            <v>150</v>
          </cell>
        </row>
      </sheetData>
      <sheetData sheetId="971">
        <row r="7">
          <cell r="K7">
            <v>150</v>
          </cell>
        </row>
      </sheetData>
      <sheetData sheetId="972">
        <row r="7">
          <cell r="K7">
            <v>150</v>
          </cell>
        </row>
      </sheetData>
      <sheetData sheetId="973">
        <row r="7">
          <cell r="K7">
            <v>150</v>
          </cell>
        </row>
      </sheetData>
      <sheetData sheetId="974">
        <row r="7">
          <cell r="K7">
            <v>150</v>
          </cell>
        </row>
      </sheetData>
      <sheetData sheetId="975">
        <row r="7">
          <cell r="K7">
            <v>150</v>
          </cell>
        </row>
      </sheetData>
      <sheetData sheetId="976">
        <row r="7">
          <cell r="K7">
            <v>150</v>
          </cell>
        </row>
      </sheetData>
      <sheetData sheetId="977">
        <row r="7">
          <cell r="K7">
            <v>150</v>
          </cell>
        </row>
      </sheetData>
      <sheetData sheetId="978">
        <row r="7">
          <cell r="K7">
            <v>150</v>
          </cell>
        </row>
      </sheetData>
      <sheetData sheetId="979">
        <row r="7">
          <cell r="K7">
            <v>150</v>
          </cell>
        </row>
      </sheetData>
      <sheetData sheetId="980">
        <row r="7">
          <cell r="K7">
            <v>150</v>
          </cell>
        </row>
      </sheetData>
      <sheetData sheetId="981">
        <row r="7">
          <cell r="K7">
            <v>150</v>
          </cell>
        </row>
      </sheetData>
      <sheetData sheetId="982">
        <row r="7">
          <cell r="K7">
            <v>150</v>
          </cell>
        </row>
      </sheetData>
      <sheetData sheetId="983">
        <row r="7">
          <cell r="K7">
            <v>150</v>
          </cell>
        </row>
      </sheetData>
      <sheetData sheetId="984">
        <row r="7">
          <cell r="K7">
            <v>150</v>
          </cell>
        </row>
      </sheetData>
      <sheetData sheetId="985">
        <row r="7">
          <cell r="K7">
            <v>150</v>
          </cell>
        </row>
      </sheetData>
      <sheetData sheetId="986">
        <row r="7">
          <cell r="K7">
            <v>150</v>
          </cell>
        </row>
      </sheetData>
      <sheetData sheetId="987">
        <row r="7">
          <cell r="K7">
            <v>150</v>
          </cell>
        </row>
      </sheetData>
      <sheetData sheetId="988">
        <row r="7">
          <cell r="K7">
            <v>150</v>
          </cell>
        </row>
      </sheetData>
      <sheetData sheetId="989">
        <row r="7">
          <cell r="K7">
            <v>150</v>
          </cell>
        </row>
      </sheetData>
      <sheetData sheetId="990">
        <row r="7">
          <cell r="K7">
            <v>150</v>
          </cell>
        </row>
      </sheetData>
      <sheetData sheetId="991">
        <row r="7">
          <cell r="K7">
            <v>150</v>
          </cell>
        </row>
      </sheetData>
      <sheetData sheetId="992">
        <row r="7">
          <cell r="K7">
            <v>150</v>
          </cell>
        </row>
      </sheetData>
      <sheetData sheetId="993">
        <row r="7">
          <cell r="K7">
            <v>150</v>
          </cell>
        </row>
      </sheetData>
      <sheetData sheetId="994">
        <row r="7">
          <cell r="K7">
            <v>150</v>
          </cell>
        </row>
      </sheetData>
      <sheetData sheetId="995">
        <row r="7">
          <cell r="K7">
            <v>150</v>
          </cell>
        </row>
      </sheetData>
      <sheetData sheetId="996">
        <row r="7">
          <cell r="K7">
            <v>150</v>
          </cell>
        </row>
      </sheetData>
      <sheetData sheetId="997">
        <row r="7">
          <cell r="K7">
            <v>150</v>
          </cell>
        </row>
      </sheetData>
      <sheetData sheetId="998">
        <row r="7">
          <cell r="K7">
            <v>150</v>
          </cell>
        </row>
      </sheetData>
      <sheetData sheetId="999">
        <row r="7">
          <cell r="K7">
            <v>150</v>
          </cell>
        </row>
      </sheetData>
      <sheetData sheetId="1000">
        <row r="7">
          <cell r="K7">
            <v>150</v>
          </cell>
        </row>
      </sheetData>
      <sheetData sheetId="1001">
        <row r="7">
          <cell r="K7">
            <v>150</v>
          </cell>
        </row>
      </sheetData>
      <sheetData sheetId="1002">
        <row r="7">
          <cell r="K7">
            <v>150</v>
          </cell>
        </row>
      </sheetData>
      <sheetData sheetId="1003">
        <row r="7">
          <cell r="K7">
            <v>150</v>
          </cell>
        </row>
      </sheetData>
      <sheetData sheetId="1004">
        <row r="7">
          <cell r="K7">
            <v>150</v>
          </cell>
        </row>
      </sheetData>
      <sheetData sheetId="1005">
        <row r="7">
          <cell r="K7">
            <v>150</v>
          </cell>
        </row>
      </sheetData>
      <sheetData sheetId="1006">
        <row r="7">
          <cell r="K7">
            <v>150</v>
          </cell>
        </row>
      </sheetData>
      <sheetData sheetId="1007">
        <row r="7">
          <cell r="K7">
            <v>150</v>
          </cell>
        </row>
      </sheetData>
      <sheetData sheetId="1008">
        <row r="7">
          <cell r="K7">
            <v>150</v>
          </cell>
        </row>
      </sheetData>
      <sheetData sheetId="1009">
        <row r="7">
          <cell r="K7">
            <v>150</v>
          </cell>
        </row>
      </sheetData>
      <sheetData sheetId="1010">
        <row r="7">
          <cell r="K7">
            <v>150</v>
          </cell>
        </row>
      </sheetData>
      <sheetData sheetId="1011">
        <row r="7">
          <cell r="K7">
            <v>150</v>
          </cell>
        </row>
      </sheetData>
      <sheetData sheetId="1012">
        <row r="7">
          <cell r="K7">
            <v>150</v>
          </cell>
        </row>
      </sheetData>
      <sheetData sheetId="1013">
        <row r="7">
          <cell r="K7">
            <v>150</v>
          </cell>
        </row>
      </sheetData>
      <sheetData sheetId="1014">
        <row r="7">
          <cell r="K7">
            <v>150</v>
          </cell>
        </row>
      </sheetData>
      <sheetData sheetId="1015">
        <row r="7">
          <cell r="K7">
            <v>150</v>
          </cell>
        </row>
      </sheetData>
      <sheetData sheetId="1016">
        <row r="7">
          <cell r="K7">
            <v>150</v>
          </cell>
        </row>
      </sheetData>
      <sheetData sheetId="1017">
        <row r="7">
          <cell r="K7">
            <v>150</v>
          </cell>
        </row>
      </sheetData>
      <sheetData sheetId="1018">
        <row r="7">
          <cell r="K7">
            <v>150</v>
          </cell>
        </row>
      </sheetData>
      <sheetData sheetId="1019">
        <row r="7">
          <cell r="K7">
            <v>150</v>
          </cell>
        </row>
      </sheetData>
      <sheetData sheetId="1020">
        <row r="7">
          <cell r="K7">
            <v>150</v>
          </cell>
        </row>
      </sheetData>
      <sheetData sheetId="1021">
        <row r="7">
          <cell r="K7">
            <v>150</v>
          </cell>
        </row>
      </sheetData>
      <sheetData sheetId="1022">
        <row r="7">
          <cell r="K7">
            <v>150</v>
          </cell>
        </row>
      </sheetData>
      <sheetData sheetId="1023">
        <row r="7">
          <cell r="K7">
            <v>150</v>
          </cell>
        </row>
      </sheetData>
      <sheetData sheetId="1024">
        <row r="7">
          <cell r="K7">
            <v>150</v>
          </cell>
        </row>
      </sheetData>
      <sheetData sheetId="1025">
        <row r="7">
          <cell r="K7">
            <v>150</v>
          </cell>
        </row>
      </sheetData>
      <sheetData sheetId="1026">
        <row r="7">
          <cell r="K7">
            <v>150</v>
          </cell>
        </row>
      </sheetData>
      <sheetData sheetId="1027">
        <row r="7">
          <cell r="K7">
            <v>150</v>
          </cell>
        </row>
      </sheetData>
      <sheetData sheetId="1028">
        <row r="7">
          <cell r="K7">
            <v>150</v>
          </cell>
        </row>
      </sheetData>
      <sheetData sheetId="1029">
        <row r="7">
          <cell r="K7">
            <v>150</v>
          </cell>
        </row>
      </sheetData>
      <sheetData sheetId="1030">
        <row r="7">
          <cell r="K7">
            <v>150</v>
          </cell>
        </row>
      </sheetData>
      <sheetData sheetId="1031">
        <row r="7">
          <cell r="K7">
            <v>150</v>
          </cell>
        </row>
      </sheetData>
      <sheetData sheetId="1032">
        <row r="7">
          <cell r="K7">
            <v>150</v>
          </cell>
        </row>
      </sheetData>
      <sheetData sheetId="1033">
        <row r="7">
          <cell r="K7">
            <v>150</v>
          </cell>
        </row>
      </sheetData>
      <sheetData sheetId="1034">
        <row r="7">
          <cell r="K7">
            <v>150</v>
          </cell>
        </row>
      </sheetData>
      <sheetData sheetId="1035">
        <row r="7">
          <cell r="K7">
            <v>150</v>
          </cell>
        </row>
      </sheetData>
      <sheetData sheetId="1036">
        <row r="7">
          <cell r="K7">
            <v>150</v>
          </cell>
        </row>
      </sheetData>
      <sheetData sheetId="1037">
        <row r="7">
          <cell r="K7">
            <v>150</v>
          </cell>
        </row>
      </sheetData>
      <sheetData sheetId="1038">
        <row r="7">
          <cell r="K7">
            <v>150</v>
          </cell>
        </row>
      </sheetData>
      <sheetData sheetId="1039">
        <row r="7">
          <cell r="K7">
            <v>150</v>
          </cell>
        </row>
      </sheetData>
      <sheetData sheetId="1040">
        <row r="7">
          <cell r="K7">
            <v>150</v>
          </cell>
        </row>
      </sheetData>
      <sheetData sheetId="1041">
        <row r="7">
          <cell r="K7">
            <v>150</v>
          </cell>
        </row>
      </sheetData>
      <sheetData sheetId="1042">
        <row r="7">
          <cell r="K7">
            <v>150</v>
          </cell>
        </row>
      </sheetData>
      <sheetData sheetId="1043">
        <row r="7">
          <cell r="K7">
            <v>150</v>
          </cell>
        </row>
      </sheetData>
      <sheetData sheetId="1044">
        <row r="7">
          <cell r="K7">
            <v>150</v>
          </cell>
        </row>
      </sheetData>
      <sheetData sheetId="1045">
        <row r="7">
          <cell r="K7">
            <v>150</v>
          </cell>
        </row>
      </sheetData>
      <sheetData sheetId="1046">
        <row r="7">
          <cell r="K7">
            <v>150</v>
          </cell>
        </row>
      </sheetData>
      <sheetData sheetId="1047">
        <row r="7">
          <cell r="K7">
            <v>150</v>
          </cell>
        </row>
      </sheetData>
      <sheetData sheetId="1048">
        <row r="7">
          <cell r="K7">
            <v>150</v>
          </cell>
        </row>
      </sheetData>
      <sheetData sheetId="1049">
        <row r="7">
          <cell r="K7">
            <v>150</v>
          </cell>
        </row>
      </sheetData>
      <sheetData sheetId="1050">
        <row r="7">
          <cell r="K7">
            <v>150</v>
          </cell>
        </row>
      </sheetData>
      <sheetData sheetId="1051">
        <row r="7">
          <cell r="K7">
            <v>150</v>
          </cell>
        </row>
      </sheetData>
      <sheetData sheetId="1052">
        <row r="7">
          <cell r="K7">
            <v>150</v>
          </cell>
        </row>
      </sheetData>
      <sheetData sheetId="1053">
        <row r="7">
          <cell r="K7">
            <v>150</v>
          </cell>
        </row>
      </sheetData>
      <sheetData sheetId="1054">
        <row r="7">
          <cell r="K7">
            <v>150</v>
          </cell>
        </row>
      </sheetData>
      <sheetData sheetId="1055">
        <row r="7">
          <cell r="K7">
            <v>150</v>
          </cell>
        </row>
      </sheetData>
      <sheetData sheetId="1056">
        <row r="7">
          <cell r="K7">
            <v>150</v>
          </cell>
        </row>
      </sheetData>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row r="7">
          <cell r="K7">
            <v>150</v>
          </cell>
        </row>
      </sheetData>
      <sheetData sheetId="1082">
        <row r="7">
          <cell r="K7">
            <v>150</v>
          </cell>
        </row>
      </sheetData>
      <sheetData sheetId="1083"/>
      <sheetData sheetId="1084"/>
      <sheetData sheetId="1085"/>
      <sheetData sheetId="1086"/>
      <sheetData sheetId="1087">
        <row r="7">
          <cell r="K7">
            <v>150</v>
          </cell>
        </row>
      </sheetData>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row r="7">
          <cell r="K7">
            <v>150</v>
          </cell>
        </row>
      </sheetData>
      <sheetData sheetId="1111">
        <row r="7">
          <cell r="K7">
            <v>150</v>
          </cell>
        </row>
      </sheetData>
      <sheetData sheetId="1112">
        <row r="7">
          <cell r="K7">
            <v>150</v>
          </cell>
        </row>
      </sheetData>
      <sheetData sheetId="1113">
        <row r="7">
          <cell r="K7">
            <v>150</v>
          </cell>
        </row>
      </sheetData>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row r="7">
          <cell r="K7">
            <v>150</v>
          </cell>
        </row>
      </sheetData>
      <sheetData sheetId="1142">
        <row r="7">
          <cell r="K7">
            <v>150</v>
          </cell>
        </row>
      </sheetData>
      <sheetData sheetId="1143">
        <row r="7">
          <cell r="K7">
            <v>150</v>
          </cell>
        </row>
      </sheetData>
      <sheetData sheetId="1144">
        <row r="7">
          <cell r="K7">
            <v>150</v>
          </cell>
        </row>
      </sheetData>
      <sheetData sheetId="1145">
        <row r="7">
          <cell r="K7">
            <v>150</v>
          </cell>
        </row>
      </sheetData>
      <sheetData sheetId="1146">
        <row r="7">
          <cell r="K7">
            <v>150</v>
          </cell>
        </row>
      </sheetData>
      <sheetData sheetId="1147">
        <row r="7">
          <cell r="K7">
            <v>150</v>
          </cell>
        </row>
      </sheetData>
      <sheetData sheetId="1148">
        <row r="7">
          <cell r="K7">
            <v>150</v>
          </cell>
        </row>
      </sheetData>
      <sheetData sheetId="1149">
        <row r="7">
          <cell r="K7">
            <v>150</v>
          </cell>
        </row>
      </sheetData>
      <sheetData sheetId="1150">
        <row r="7">
          <cell r="K7">
            <v>150</v>
          </cell>
        </row>
      </sheetData>
      <sheetData sheetId="1151">
        <row r="7">
          <cell r="K7">
            <v>150</v>
          </cell>
        </row>
      </sheetData>
      <sheetData sheetId="1152">
        <row r="7">
          <cell r="K7">
            <v>150</v>
          </cell>
        </row>
      </sheetData>
      <sheetData sheetId="1153">
        <row r="7">
          <cell r="K7">
            <v>150</v>
          </cell>
        </row>
      </sheetData>
      <sheetData sheetId="1154">
        <row r="7">
          <cell r="K7">
            <v>150</v>
          </cell>
        </row>
      </sheetData>
      <sheetData sheetId="1155">
        <row r="7">
          <cell r="K7">
            <v>150</v>
          </cell>
        </row>
      </sheetData>
      <sheetData sheetId="1156">
        <row r="7">
          <cell r="K7">
            <v>150</v>
          </cell>
        </row>
      </sheetData>
      <sheetData sheetId="1157">
        <row r="7">
          <cell r="K7">
            <v>150</v>
          </cell>
        </row>
      </sheetData>
      <sheetData sheetId="1158">
        <row r="7">
          <cell r="K7">
            <v>150</v>
          </cell>
        </row>
      </sheetData>
      <sheetData sheetId="1159">
        <row r="7">
          <cell r="K7">
            <v>150</v>
          </cell>
        </row>
      </sheetData>
      <sheetData sheetId="1160">
        <row r="7">
          <cell r="K7">
            <v>150</v>
          </cell>
        </row>
      </sheetData>
      <sheetData sheetId="1161">
        <row r="7">
          <cell r="K7">
            <v>150</v>
          </cell>
        </row>
      </sheetData>
      <sheetData sheetId="1162">
        <row r="7">
          <cell r="K7">
            <v>150</v>
          </cell>
        </row>
      </sheetData>
      <sheetData sheetId="1163">
        <row r="7">
          <cell r="K7">
            <v>150</v>
          </cell>
        </row>
      </sheetData>
      <sheetData sheetId="1164">
        <row r="7">
          <cell r="K7">
            <v>150</v>
          </cell>
        </row>
      </sheetData>
      <sheetData sheetId="1165">
        <row r="7">
          <cell r="K7">
            <v>150</v>
          </cell>
        </row>
      </sheetData>
      <sheetData sheetId="1166">
        <row r="7">
          <cell r="K7">
            <v>150</v>
          </cell>
        </row>
      </sheetData>
      <sheetData sheetId="1167">
        <row r="7">
          <cell r="K7">
            <v>150</v>
          </cell>
        </row>
      </sheetData>
      <sheetData sheetId="1168">
        <row r="7">
          <cell r="K7">
            <v>150</v>
          </cell>
        </row>
      </sheetData>
      <sheetData sheetId="1169">
        <row r="7">
          <cell r="K7">
            <v>150</v>
          </cell>
        </row>
      </sheetData>
      <sheetData sheetId="1170">
        <row r="7">
          <cell r="K7">
            <v>150</v>
          </cell>
        </row>
      </sheetData>
      <sheetData sheetId="1171">
        <row r="7">
          <cell r="K7">
            <v>150</v>
          </cell>
        </row>
      </sheetData>
      <sheetData sheetId="1172">
        <row r="7">
          <cell r="K7">
            <v>150</v>
          </cell>
        </row>
      </sheetData>
      <sheetData sheetId="1173">
        <row r="7">
          <cell r="K7">
            <v>150</v>
          </cell>
        </row>
      </sheetData>
      <sheetData sheetId="1174">
        <row r="7">
          <cell r="K7">
            <v>150</v>
          </cell>
        </row>
      </sheetData>
      <sheetData sheetId="1175">
        <row r="7">
          <cell r="K7">
            <v>150</v>
          </cell>
        </row>
      </sheetData>
      <sheetData sheetId="1176">
        <row r="7">
          <cell r="K7">
            <v>150</v>
          </cell>
        </row>
      </sheetData>
      <sheetData sheetId="1177">
        <row r="7">
          <cell r="K7">
            <v>150</v>
          </cell>
        </row>
      </sheetData>
      <sheetData sheetId="1178">
        <row r="7">
          <cell r="K7">
            <v>150</v>
          </cell>
        </row>
      </sheetData>
      <sheetData sheetId="1179">
        <row r="7">
          <cell r="K7">
            <v>150</v>
          </cell>
        </row>
      </sheetData>
      <sheetData sheetId="1180">
        <row r="7">
          <cell r="K7">
            <v>150</v>
          </cell>
        </row>
      </sheetData>
      <sheetData sheetId="1181">
        <row r="7">
          <cell r="K7">
            <v>150</v>
          </cell>
        </row>
      </sheetData>
      <sheetData sheetId="1182">
        <row r="7">
          <cell r="K7">
            <v>150</v>
          </cell>
        </row>
      </sheetData>
      <sheetData sheetId="1183">
        <row r="7">
          <cell r="K7">
            <v>150</v>
          </cell>
        </row>
      </sheetData>
      <sheetData sheetId="1184">
        <row r="7">
          <cell r="K7">
            <v>150</v>
          </cell>
        </row>
      </sheetData>
      <sheetData sheetId="1185">
        <row r="7">
          <cell r="K7">
            <v>150</v>
          </cell>
        </row>
      </sheetData>
      <sheetData sheetId="1186">
        <row r="7">
          <cell r="K7">
            <v>150</v>
          </cell>
        </row>
      </sheetData>
      <sheetData sheetId="1187">
        <row r="7">
          <cell r="K7">
            <v>150</v>
          </cell>
        </row>
      </sheetData>
      <sheetData sheetId="1188">
        <row r="7">
          <cell r="K7">
            <v>150</v>
          </cell>
        </row>
      </sheetData>
      <sheetData sheetId="1189">
        <row r="7">
          <cell r="K7">
            <v>150</v>
          </cell>
        </row>
      </sheetData>
      <sheetData sheetId="1190">
        <row r="7">
          <cell r="K7">
            <v>150</v>
          </cell>
        </row>
      </sheetData>
      <sheetData sheetId="1191">
        <row r="7">
          <cell r="K7">
            <v>150</v>
          </cell>
        </row>
      </sheetData>
      <sheetData sheetId="1192">
        <row r="7">
          <cell r="K7">
            <v>150</v>
          </cell>
        </row>
      </sheetData>
      <sheetData sheetId="1193">
        <row r="7">
          <cell r="K7">
            <v>150</v>
          </cell>
        </row>
      </sheetData>
      <sheetData sheetId="1194">
        <row r="7">
          <cell r="K7">
            <v>150</v>
          </cell>
        </row>
      </sheetData>
      <sheetData sheetId="1195">
        <row r="7">
          <cell r="K7">
            <v>150</v>
          </cell>
        </row>
      </sheetData>
      <sheetData sheetId="1196">
        <row r="7">
          <cell r="K7">
            <v>150</v>
          </cell>
        </row>
      </sheetData>
      <sheetData sheetId="1197">
        <row r="7">
          <cell r="K7">
            <v>150</v>
          </cell>
        </row>
      </sheetData>
      <sheetData sheetId="1198">
        <row r="7">
          <cell r="K7">
            <v>150</v>
          </cell>
        </row>
      </sheetData>
      <sheetData sheetId="1199">
        <row r="7">
          <cell r="K7">
            <v>150</v>
          </cell>
        </row>
      </sheetData>
      <sheetData sheetId="1200">
        <row r="7">
          <cell r="K7">
            <v>150</v>
          </cell>
        </row>
      </sheetData>
      <sheetData sheetId="1201">
        <row r="7">
          <cell r="K7">
            <v>150</v>
          </cell>
        </row>
      </sheetData>
      <sheetData sheetId="1202">
        <row r="7">
          <cell r="K7">
            <v>150</v>
          </cell>
        </row>
      </sheetData>
      <sheetData sheetId="1203">
        <row r="7">
          <cell r="K7">
            <v>150</v>
          </cell>
        </row>
      </sheetData>
      <sheetData sheetId="1204">
        <row r="7">
          <cell r="K7">
            <v>150</v>
          </cell>
        </row>
      </sheetData>
      <sheetData sheetId="1205">
        <row r="7">
          <cell r="K7">
            <v>150</v>
          </cell>
        </row>
      </sheetData>
      <sheetData sheetId="1206">
        <row r="7">
          <cell r="K7">
            <v>150</v>
          </cell>
        </row>
      </sheetData>
      <sheetData sheetId="1207">
        <row r="7">
          <cell r="K7">
            <v>150</v>
          </cell>
        </row>
      </sheetData>
      <sheetData sheetId="1208">
        <row r="7">
          <cell r="K7">
            <v>150</v>
          </cell>
        </row>
      </sheetData>
      <sheetData sheetId="1209">
        <row r="7">
          <cell r="K7">
            <v>150</v>
          </cell>
        </row>
      </sheetData>
      <sheetData sheetId="1210">
        <row r="7">
          <cell r="K7">
            <v>150</v>
          </cell>
        </row>
      </sheetData>
      <sheetData sheetId="1211">
        <row r="7">
          <cell r="K7">
            <v>150</v>
          </cell>
        </row>
      </sheetData>
      <sheetData sheetId="1212">
        <row r="7">
          <cell r="K7">
            <v>150</v>
          </cell>
        </row>
      </sheetData>
      <sheetData sheetId="1213">
        <row r="7">
          <cell r="K7">
            <v>150</v>
          </cell>
        </row>
      </sheetData>
      <sheetData sheetId="1214">
        <row r="7">
          <cell r="K7">
            <v>150</v>
          </cell>
        </row>
      </sheetData>
      <sheetData sheetId="1215">
        <row r="7">
          <cell r="K7">
            <v>150</v>
          </cell>
        </row>
      </sheetData>
      <sheetData sheetId="1216">
        <row r="7">
          <cell r="K7">
            <v>150</v>
          </cell>
        </row>
      </sheetData>
      <sheetData sheetId="1217">
        <row r="7">
          <cell r="K7">
            <v>150</v>
          </cell>
        </row>
      </sheetData>
      <sheetData sheetId="1218">
        <row r="7">
          <cell r="K7">
            <v>150</v>
          </cell>
        </row>
      </sheetData>
      <sheetData sheetId="1219">
        <row r="7">
          <cell r="K7">
            <v>150</v>
          </cell>
        </row>
      </sheetData>
      <sheetData sheetId="1220">
        <row r="7">
          <cell r="K7">
            <v>150</v>
          </cell>
        </row>
      </sheetData>
      <sheetData sheetId="1221">
        <row r="7">
          <cell r="K7">
            <v>150</v>
          </cell>
        </row>
      </sheetData>
      <sheetData sheetId="1222">
        <row r="7">
          <cell r="K7">
            <v>150</v>
          </cell>
        </row>
      </sheetData>
      <sheetData sheetId="1223">
        <row r="7">
          <cell r="K7">
            <v>150</v>
          </cell>
        </row>
      </sheetData>
      <sheetData sheetId="1224">
        <row r="7">
          <cell r="K7">
            <v>150</v>
          </cell>
        </row>
      </sheetData>
      <sheetData sheetId="1225">
        <row r="7">
          <cell r="K7">
            <v>150</v>
          </cell>
        </row>
      </sheetData>
      <sheetData sheetId="1226">
        <row r="7">
          <cell r="K7">
            <v>150</v>
          </cell>
        </row>
      </sheetData>
      <sheetData sheetId="1227">
        <row r="7">
          <cell r="K7">
            <v>150</v>
          </cell>
        </row>
      </sheetData>
      <sheetData sheetId="1228">
        <row r="7">
          <cell r="K7">
            <v>150</v>
          </cell>
        </row>
      </sheetData>
      <sheetData sheetId="1229">
        <row r="7">
          <cell r="K7">
            <v>150</v>
          </cell>
        </row>
      </sheetData>
      <sheetData sheetId="1230">
        <row r="7">
          <cell r="K7">
            <v>150</v>
          </cell>
        </row>
      </sheetData>
      <sheetData sheetId="1231">
        <row r="7">
          <cell r="K7">
            <v>150</v>
          </cell>
        </row>
      </sheetData>
      <sheetData sheetId="1232">
        <row r="7">
          <cell r="K7">
            <v>150</v>
          </cell>
        </row>
      </sheetData>
      <sheetData sheetId="1233">
        <row r="7">
          <cell r="K7">
            <v>150</v>
          </cell>
        </row>
      </sheetData>
      <sheetData sheetId="1234">
        <row r="7">
          <cell r="K7">
            <v>150</v>
          </cell>
        </row>
      </sheetData>
      <sheetData sheetId="1235">
        <row r="7">
          <cell r="K7">
            <v>150</v>
          </cell>
        </row>
      </sheetData>
      <sheetData sheetId="1236">
        <row r="7">
          <cell r="K7">
            <v>150</v>
          </cell>
        </row>
      </sheetData>
      <sheetData sheetId="1237">
        <row r="7">
          <cell r="K7">
            <v>150</v>
          </cell>
        </row>
      </sheetData>
      <sheetData sheetId="1238">
        <row r="7">
          <cell r="K7">
            <v>150</v>
          </cell>
        </row>
      </sheetData>
      <sheetData sheetId="1239">
        <row r="7">
          <cell r="K7">
            <v>150</v>
          </cell>
        </row>
      </sheetData>
      <sheetData sheetId="1240">
        <row r="7">
          <cell r="K7">
            <v>150</v>
          </cell>
        </row>
      </sheetData>
      <sheetData sheetId="1241">
        <row r="7">
          <cell r="K7">
            <v>150</v>
          </cell>
        </row>
      </sheetData>
      <sheetData sheetId="1242">
        <row r="7">
          <cell r="K7">
            <v>150</v>
          </cell>
        </row>
      </sheetData>
      <sheetData sheetId="1243">
        <row r="7">
          <cell r="K7">
            <v>150</v>
          </cell>
        </row>
      </sheetData>
      <sheetData sheetId="1244">
        <row r="7">
          <cell r="K7">
            <v>150</v>
          </cell>
        </row>
      </sheetData>
      <sheetData sheetId="1245">
        <row r="7">
          <cell r="K7">
            <v>150</v>
          </cell>
        </row>
      </sheetData>
      <sheetData sheetId="1246">
        <row r="7">
          <cell r="K7">
            <v>150</v>
          </cell>
        </row>
      </sheetData>
      <sheetData sheetId="1247">
        <row r="7">
          <cell r="K7">
            <v>150</v>
          </cell>
        </row>
      </sheetData>
      <sheetData sheetId="1248">
        <row r="7">
          <cell r="K7">
            <v>150</v>
          </cell>
        </row>
      </sheetData>
      <sheetData sheetId="1249">
        <row r="7">
          <cell r="K7">
            <v>150</v>
          </cell>
        </row>
      </sheetData>
      <sheetData sheetId="1250">
        <row r="7">
          <cell r="K7">
            <v>150</v>
          </cell>
        </row>
      </sheetData>
      <sheetData sheetId="1251">
        <row r="7">
          <cell r="K7">
            <v>150</v>
          </cell>
        </row>
      </sheetData>
      <sheetData sheetId="1252">
        <row r="7">
          <cell r="K7">
            <v>150</v>
          </cell>
        </row>
      </sheetData>
      <sheetData sheetId="1253">
        <row r="7">
          <cell r="K7">
            <v>150</v>
          </cell>
        </row>
      </sheetData>
      <sheetData sheetId="1254">
        <row r="7">
          <cell r="K7">
            <v>150</v>
          </cell>
        </row>
      </sheetData>
      <sheetData sheetId="1255">
        <row r="7">
          <cell r="K7">
            <v>150</v>
          </cell>
        </row>
      </sheetData>
      <sheetData sheetId="1256">
        <row r="7">
          <cell r="K7">
            <v>150</v>
          </cell>
        </row>
      </sheetData>
      <sheetData sheetId="1257">
        <row r="7">
          <cell r="K7">
            <v>150</v>
          </cell>
        </row>
      </sheetData>
      <sheetData sheetId="1258">
        <row r="7">
          <cell r="K7">
            <v>150</v>
          </cell>
        </row>
      </sheetData>
      <sheetData sheetId="1259">
        <row r="7">
          <cell r="K7">
            <v>150</v>
          </cell>
        </row>
      </sheetData>
      <sheetData sheetId="1260">
        <row r="7">
          <cell r="K7">
            <v>150</v>
          </cell>
        </row>
      </sheetData>
      <sheetData sheetId="1261">
        <row r="7">
          <cell r="K7">
            <v>150</v>
          </cell>
        </row>
      </sheetData>
      <sheetData sheetId="1262">
        <row r="7">
          <cell r="K7">
            <v>150</v>
          </cell>
        </row>
      </sheetData>
      <sheetData sheetId="1263">
        <row r="7">
          <cell r="K7">
            <v>150</v>
          </cell>
        </row>
      </sheetData>
      <sheetData sheetId="1264">
        <row r="7">
          <cell r="K7">
            <v>150</v>
          </cell>
        </row>
      </sheetData>
      <sheetData sheetId="1265">
        <row r="7">
          <cell r="K7">
            <v>150</v>
          </cell>
        </row>
      </sheetData>
      <sheetData sheetId="1266">
        <row r="7">
          <cell r="K7">
            <v>150</v>
          </cell>
        </row>
      </sheetData>
      <sheetData sheetId="1267">
        <row r="7">
          <cell r="K7">
            <v>150</v>
          </cell>
        </row>
      </sheetData>
      <sheetData sheetId="1268">
        <row r="7">
          <cell r="K7">
            <v>150</v>
          </cell>
        </row>
      </sheetData>
      <sheetData sheetId="1269">
        <row r="7">
          <cell r="K7">
            <v>150</v>
          </cell>
        </row>
      </sheetData>
      <sheetData sheetId="1270">
        <row r="7">
          <cell r="K7">
            <v>150</v>
          </cell>
        </row>
      </sheetData>
      <sheetData sheetId="1271">
        <row r="7">
          <cell r="K7">
            <v>150</v>
          </cell>
        </row>
      </sheetData>
      <sheetData sheetId="1272">
        <row r="7">
          <cell r="K7">
            <v>150</v>
          </cell>
        </row>
      </sheetData>
      <sheetData sheetId="1273">
        <row r="7">
          <cell r="K7">
            <v>150</v>
          </cell>
        </row>
      </sheetData>
      <sheetData sheetId="1274">
        <row r="7">
          <cell r="K7">
            <v>150</v>
          </cell>
        </row>
      </sheetData>
      <sheetData sheetId="1275">
        <row r="7">
          <cell r="K7">
            <v>150</v>
          </cell>
        </row>
      </sheetData>
      <sheetData sheetId="1276">
        <row r="7">
          <cell r="K7">
            <v>150</v>
          </cell>
        </row>
      </sheetData>
      <sheetData sheetId="1277">
        <row r="7">
          <cell r="K7">
            <v>150</v>
          </cell>
        </row>
      </sheetData>
      <sheetData sheetId="1278">
        <row r="7">
          <cell r="K7">
            <v>150</v>
          </cell>
        </row>
      </sheetData>
      <sheetData sheetId="1279">
        <row r="7">
          <cell r="K7">
            <v>150</v>
          </cell>
        </row>
      </sheetData>
      <sheetData sheetId="1280">
        <row r="7">
          <cell r="K7">
            <v>150</v>
          </cell>
        </row>
      </sheetData>
      <sheetData sheetId="1281">
        <row r="7">
          <cell r="K7">
            <v>150</v>
          </cell>
        </row>
      </sheetData>
      <sheetData sheetId="1282">
        <row r="7">
          <cell r="K7">
            <v>150</v>
          </cell>
        </row>
      </sheetData>
      <sheetData sheetId="1283">
        <row r="7">
          <cell r="K7">
            <v>150</v>
          </cell>
        </row>
      </sheetData>
      <sheetData sheetId="1284">
        <row r="7">
          <cell r="K7">
            <v>150</v>
          </cell>
        </row>
      </sheetData>
      <sheetData sheetId="1285">
        <row r="7">
          <cell r="K7">
            <v>150</v>
          </cell>
        </row>
      </sheetData>
      <sheetData sheetId="1286">
        <row r="7">
          <cell r="K7">
            <v>150</v>
          </cell>
        </row>
      </sheetData>
      <sheetData sheetId="1287">
        <row r="7">
          <cell r="K7">
            <v>150</v>
          </cell>
        </row>
      </sheetData>
      <sheetData sheetId="1288">
        <row r="7">
          <cell r="K7">
            <v>150</v>
          </cell>
        </row>
      </sheetData>
      <sheetData sheetId="1289">
        <row r="7">
          <cell r="K7">
            <v>150</v>
          </cell>
        </row>
      </sheetData>
      <sheetData sheetId="1290">
        <row r="7">
          <cell r="K7">
            <v>150</v>
          </cell>
        </row>
      </sheetData>
      <sheetData sheetId="1291">
        <row r="7">
          <cell r="K7">
            <v>150</v>
          </cell>
        </row>
      </sheetData>
      <sheetData sheetId="1292">
        <row r="7">
          <cell r="K7">
            <v>150</v>
          </cell>
        </row>
      </sheetData>
      <sheetData sheetId="1293">
        <row r="7">
          <cell r="K7">
            <v>150</v>
          </cell>
        </row>
      </sheetData>
      <sheetData sheetId="1294">
        <row r="7">
          <cell r="K7">
            <v>150</v>
          </cell>
        </row>
      </sheetData>
      <sheetData sheetId="1295">
        <row r="7">
          <cell r="K7">
            <v>150</v>
          </cell>
        </row>
      </sheetData>
      <sheetData sheetId="1296">
        <row r="7">
          <cell r="K7">
            <v>150</v>
          </cell>
        </row>
      </sheetData>
      <sheetData sheetId="1297">
        <row r="7">
          <cell r="K7">
            <v>150</v>
          </cell>
        </row>
      </sheetData>
      <sheetData sheetId="1298">
        <row r="7">
          <cell r="K7">
            <v>150</v>
          </cell>
        </row>
      </sheetData>
      <sheetData sheetId="1299">
        <row r="7">
          <cell r="K7">
            <v>150</v>
          </cell>
        </row>
      </sheetData>
      <sheetData sheetId="1300">
        <row r="7">
          <cell r="K7">
            <v>150</v>
          </cell>
        </row>
      </sheetData>
      <sheetData sheetId="1301">
        <row r="7">
          <cell r="K7">
            <v>150</v>
          </cell>
        </row>
      </sheetData>
      <sheetData sheetId="1302">
        <row r="7">
          <cell r="K7">
            <v>150</v>
          </cell>
        </row>
      </sheetData>
      <sheetData sheetId="1303">
        <row r="7">
          <cell r="K7">
            <v>150</v>
          </cell>
        </row>
      </sheetData>
      <sheetData sheetId="1304">
        <row r="7">
          <cell r="K7">
            <v>150</v>
          </cell>
        </row>
      </sheetData>
      <sheetData sheetId="1305">
        <row r="7">
          <cell r="K7">
            <v>150</v>
          </cell>
        </row>
      </sheetData>
      <sheetData sheetId="1306">
        <row r="7">
          <cell r="K7">
            <v>150</v>
          </cell>
        </row>
      </sheetData>
      <sheetData sheetId="1307">
        <row r="7">
          <cell r="K7">
            <v>150</v>
          </cell>
        </row>
      </sheetData>
      <sheetData sheetId="1308">
        <row r="7">
          <cell r="K7">
            <v>150</v>
          </cell>
        </row>
      </sheetData>
      <sheetData sheetId="1309">
        <row r="7">
          <cell r="K7">
            <v>150</v>
          </cell>
        </row>
      </sheetData>
      <sheetData sheetId="1310">
        <row r="7">
          <cell r="K7">
            <v>150</v>
          </cell>
        </row>
      </sheetData>
      <sheetData sheetId="1311">
        <row r="7">
          <cell r="K7">
            <v>150</v>
          </cell>
        </row>
      </sheetData>
      <sheetData sheetId="1312">
        <row r="7">
          <cell r="K7">
            <v>150</v>
          </cell>
        </row>
      </sheetData>
      <sheetData sheetId="1313">
        <row r="7">
          <cell r="K7">
            <v>150</v>
          </cell>
        </row>
      </sheetData>
      <sheetData sheetId="1314">
        <row r="7">
          <cell r="K7">
            <v>150</v>
          </cell>
        </row>
      </sheetData>
      <sheetData sheetId="1315">
        <row r="7">
          <cell r="K7">
            <v>150</v>
          </cell>
        </row>
      </sheetData>
      <sheetData sheetId="1316">
        <row r="7">
          <cell r="K7">
            <v>150</v>
          </cell>
        </row>
      </sheetData>
      <sheetData sheetId="1317">
        <row r="7">
          <cell r="K7">
            <v>150</v>
          </cell>
        </row>
      </sheetData>
      <sheetData sheetId="1318">
        <row r="7">
          <cell r="K7">
            <v>150</v>
          </cell>
        </row>
      </sheetData>
      <sheetData sheetId="1319">
        <row r="7">
          <cell r="K7">
            <v>150</v>
          </cell>
        </row>
      </sheetData>
      <sheetData sheetId="1320">
        <row r="7">
          <cell r="K7">
            <v>150</v>
          </cell>
        </row>
      </sheetData>
      <sheetData sheetId="1321">
        <row r="7">
          <cell r="K7">
            <v>150</v>
          </cell>
        </row>
      </sheetData>
      <sheetData sheetId="1322">
        <row r="7">
          <cell r="K7">
            <v>150</v>
          </cell>
        </row>
      </sheetData>
      <sheetData sheetId="1323">
        <row r="7">
          <cell r="K7">
            <v>150</v>
          </cell>
        </row>
      </sheetData>
      <sheetData sheetId="1324">
        <row r="7">
          <cell r="K7">
            <v>150</v>
          </cell>
        </row>
      </sheetData>
      <sheetData sheetId="1325">
        <row r="7">
          <cell r="K7">
            <v>150</v>
          </cell>
        </row>
      </sheetData>
      <sheetData sheetId="1326">
        <row r="7">
          <cell r="K7">
            <v>150</v>
          </cell>
        </row>
      </sheetData>
      <sheetData sheetId="1327">
        <row r="7">
          <cell r="K7">
            <v>150</v>
          </cell>
        </row>
      </sheetData>
      <sheetData sheetId="1328">
        <row r="7">
          <cell r="K7">
            <v>150</v>
          </cell>
        </row>
      </sheetData>
      <sheetData sheetId="1329">
        <row r="7">
          <cell r="K7">
            <v>150</v>
          </cell>
        </row>
      </sheetData>
      <sheetData sheetId="1330">
        <row r="7">
          <cell r="K7">
            <v>150</v>
          </cell>
        </row>
      </sheetData>
      <sheetData sheetId="1331">
        <row r="7">
          <cell r="K7">
            <v>150</v>
          </cell>
        </row>
      </sheetData>
      <sheetData sheetId="1332">
        <row r="7">
          <cell r="K7">
            <v>150</v>
          </cell>
        </row>
      </sheetData>
      <sheetData sheetId="1333">
        <row r="7">
          <cell r="K7">
            <v>150</v>
          </cell>
        </row>
      </sheetData>
      <sheetData sheetId="1334">
        <row r="7">
          <cell r="K7">
            <v>150</v>
          </cell>
        </row>
      </sheetData>
      <sheetData sheetId="1335">
        <row r="7">
          <cell r="K7">
            <v>150</v>
          </cell>
        </row>
      </sheetData>
      <sheetData sheetId="1336">
        <row r="7">
          <cell r="K7">
            <v>150</v>
          </cell>
        </row>
      </sheetData>
      <sheetData sheetId="1337">
        <row r="7">
          <cell r="K7">
            <v>150</v>
          </cell>
        </row>
      </sheetData>
      <sheetData sheetId="1338">
        <row r="7">
          <cell r="K7">
            <v>150</v>
          </cell>
        </row>
      </sheetData>
      <sheetData sheetId="1339">
        <row r="7">
          <cell r="K7">
            <v>150</v>
          </cell>
        </row>
      </sheetData>
      <sheetData sheetId="1340">
        <row r="7">
          <cell r="K7">
            <v>150</v>
          </cell>
        </row>
      </sheetData>
      <sheetData sheetId="1341">
        <row r="7">
          <cell r="K7">
            <v>150</v>
          </cell>
        </row>
      </sheetData>
      <sheetData sheetId="1342">
        <row r="7">
          <cell r="K7">
            <v>150</v>
          </cell>
        </row>
      </sheetData>
      <sheetData sheetId="1343">
        <row r="7">
          <cell r="K7">
            <v>150</v>
          </cell>
        </row>
      </sheetData>
      <sheetData sheetId="1344">
        <row r="7">
          <cell r="K7">
            <v>150</v>
          </cell>
        </row>
      </sheetData>
      <sheetData sheetId="1345">
        <row r="7">
          <cell r="K7">
            <v>150</v>
          </cell>
        </row>
      </sheetData>
      <sheetData sheetId="1346">
        <row r="7">
          <cell r="K7">
            <v>150</v>
          </cell>
        </row>
      </sheetData>
      <sheetData sheetId="1347">
        <row r="7">
          <cell r="K7">
            <v>150</v>
          </cell>
        </row>
      </sheetData>
      <sheetData sheetId="1348">
        <row r="7">
          <cell r="K7">
            <v>150</v>
          </cell>
        </row>
      </sheetData>
      <sheetData sheetId="1349">
        <row r="7">
          <cell r="K7">
            <v>150</v>
          </cell>
        </row>
      </sheetData>
      <sheetData sheetId="1350">
        <row r="7">
          <cell r="K7">
            <v>150</v>
          </cell>
        </row>
      </sheetData>
      <sheetData sheetId="1351">
        <row r="7">
          <cell r="K7">
            <v>150</v>
          </cell>
        </row>
      </sheetData>
      <sheetData sheetId="1352">
        <row r="7">
          <cell r="K7">
            <v>150</v>
          </cell>
        </row>
      </sheetData>
      <sheetData sheetId="1353">
        <row r="7">
          <cell r="K7">
            <v>150</v>
          </cell>
        </row>
      </sheetData>
      <sheetData sheetId="1354">
        <row r="7">
          <cell r="K7">
            <v>150</v>
          </cell>
        </row>
      </sheetData>
      <sheetData sheetId="1355">
        <row r="7">
          <cell r="K7">
            <v>150</v>
          </cell>
        </row>
      </sheetData>
      <sheetData sheetId="1356">
        <row r="7">
          <cell r="K7">
            <v>150</v>
          </cell>
        </row>
      </sheetData>
      <sheetData sheetId="1357">
        <row r="7">
          <cell r="K7">
            <v>150</v>
          </cell>
        </row>
      </sheetData>
      <sheetData sheetId="1358">
        <row r="7">
          <cell r="K7">
            <v>150</v>
          </cell>
        </row>
      </sheetData>
      <sheetData sheetId="1359">
        <row r="7">
          <cell r="K7">
            <v>150</v>
          </cell>
        </row>
      </sheetData>
      <sheetData sheetId="1360">
        <row r="7">
          <cell r="K7">
            <v>150</v>
          </cell>
        </row>
      </sheetData>
      <sheetData sheetId="1361">
        <row r="7">
          <cell r="K7">
            <v>150</v>
          </cell>
        </row>
      </sheetData>
      <sheetData sheetId="1362">
        <row r="7">
          <cell r="K7">
            <v>150</v>
          </cell>
        </row>
      </sheetData>
      <sheetData sheetId="1363">
        <row r="7">
          <cell r="K7">
            <v>150</v>
          </cell>
        </row>
      </sheetData>
      <sheetData sheetId="1364">
        <row r="7">
          <cell r="K7">
            <v>150</v>
          </cell>
        </row>
      </sheetData>
      <sheetData sheetId="1365">
        <row r="7">
          <cell r="K7">
            <v>150</v>
          </cell>
        </row>
      </sheetData>
      <sheetData sheetId="1366">
        <row r="7">
          <cell r="K7">
            <v>150</v>
          </cell>
        </row>
      </sheetData>
      <sheetData sheetId="1367">
        <row r="7">
          <cell r="K7">
            <v>150</v>
          </cell>
        </row>
      </sheetData>
      <sheetData sheetId="1368">
        <row r="7">
          <cell r="K7">
            <v>150</v>
          </cell>
        </row>
      </sheetData>
      <sheetData sheetId="1369">
        <row r="7">
          <cell r="K7">
            <v>150</v>
          </cell>
        </row>
      </sheetData>
      <sheetData sheetId="1370">
        <row r="7">
          <cell r="K7">
            <v>150</v>
          </cell>
        </row>
      </sheetData>
      <sheetData sheetId="1371">
        <row r="7">
          <cell r="K7">
            <v>150</v>
          </cell>
        </row>
      </sheetData>
      <sheetData sheetId="1372">
        <row r="7">
          <cell r="K7">
            <v>150</v>
          </cell>
        </row>
      </sheetData>
      <sheetData sheetId="1373">
        <row r="7">
          <cell r="K7">
            <v>150</v>
          </cell>
        </row>
      </sheetData>
      <sheetData sheetId="1374">
        <row r="7">
          <cell r="K7">
            <v>150</v>
          </cell>
        </row>
      </sheetData>
      <sheetData sheetId="1375">
        <row r="7">
          <cell r="K7">
            <v>150</v>
          </cell>
        </row>
      </sheetData>
      <sheetData sheetId="1376">
        <row r="7">
          <cell r="K7">
            <v>150</v>
          </cell>
        </row>
      </sheetData>
      <sheetData sheetId="1377">
        <row r="7">
          <cell r="K7">
            <v>150</v>
          </cell>
        </row>
      </sheetData>
      <sheetData sheetId="1378">
        <row r="7">
          <cell r="K7">
            <v>150</v>
          </cell>
        </row>
      </sheetData>
      <sheetData sheetId="1379">
        <row r="7">
          <cell r="K7">
            <v>150</v>
          </cell>
        </row>
      </sheetData>
      <sheetData sheetId="1380">
        <row r="7">
          <cell r="K7">
            <v>150</v>
          </cell>
        </row>
      </sheetData>
      <sheetData sheetId="1381">
        <row r="7">
          <cell r="K7">
            <v>150</v>
          </cell>
        </row>
      </sheetData>
      <sheetData sheetId="1382">
        <row r="7">
          <cell r="K7">
            <v>150</v>
          </cell>
        </row>
      </sheetData>
      <sheetData sheetId="1383">
        <row r="7">
          <cell r="K7">
            <v>150</v>
          </cell>
        </row>
      </sheetData>
      <sheetData sheetId="1384">
        <row r="7">
          <cell r="K7">
            <v>150</v>
          </cell>
        </row>
      </sheetData>
      <sheetData sheetId="1385">
        <row r="7">
          <cell r="K7">
            <v>150</v>
          </cell>
        </row>
      </sheetData>
      <sheetData sheetId="1386">
        <row r="7">
          <cell r="K7">
            <v>150</v>
          </cell>
        </row>
      </sheetData>
      <sheetData sheetId="1387">
        <row r="7">
          <cell r="K7">
            <v>150</v>
          </cell>
        </row>
      </sheetData>
      <sheetData sheetId="1388">
        <row r="7">
          <cell r="K7">
            <v>150</v>
          </cell>
        </row>
      </sheetData>
      <sheetData sheetId="1389">
        <row r="7">
          <cell r="K7">
            <v>150</v>
          </cell>
        </row>
      </sheetData>
      <sheetData sheetId="1390">
        <row r="7">
          <cell r="K7">
            <v>150</v>
          </cell>
        </row>
      </sheetData>
      <sheetData sheetId="1391">
        <row r="7">
          <cell r="K7">
            <v>150</v>
          </cell>
        </row>
      </sheetData>
      <sheetData sheetId="1392">
        <row r="7">
          <cell r="K7">
            <v>150</v>
          </cell>
        </row>
      </sheetData>
      <sheetData sheetId="1393">
        <row r="7">
          <cell r="K7">
            <v>150</v>
          </cell>
        </row>
      </sheetData>
      <sheetData sheetId="1394">
        <row r="7">
          <cell r="K7">
            <v>150</v>
          </cell>
        </row>
      </sheetData>
      <sheetData sheetId="1395">
        <row r="7">
          <cell r="K7">
            <v>150</v>
          </cell>
        </row>
      </sheetData>
      <sheetData sheetId="1396">
        <row r="7">
          <cell r="K7">
            <v>150</v>
          </cell>
        </row>
      </sheetData>
      <sheetData sheetId="1397">
        <row r="7">
          <cell r="K7">
            <v>150</v>
          </cell>
        </row>
      </sheetData>
      <sheetData sheetId="1398">
        <row r="7">
          <cell r="K7">
            <v>150</v>
          </cell>
        </row>
      </sheetData>
      <sheetData sheetId="1399">
        <row r="7">
          <cell r="K7">
            <v>150</v>
          </cell>
        </row>
      </sheetData>
      <sheetData sheetId="1400">
        <row r="7">
          <cell r="K7">
            <v>150</v>
          </cell>
        </row>
      </sheetData>
      <sheetData sheetId="1401">
        <row r="7">
          <cell r="K7">
            <v>150</v>
          </cell>
        </row>
      </sheetData>
      <sheetData sheetId="1402">
        <row r="7">
          <cell r="K7">
            <v>150</v>
          </cell>
        </row>
      </sheetData>
      <sheetData sheetId="1403">
        <row r="7">
          <cell r="K7">
            <v>150</v>
          </cell>
        </row>
      </sheetData>
      <sheetData sheetId="1404">
        <row r="7">
          <cell r="K7">
            <v>150</v>
          </cell>
        </row>
      </sheetData>
      <sheetData sheetId="1405">
        <row r="7">
          <cell r="K7">
            <v>150</v>
          </cell>
        </row>
      </sheetData>
      <sheetData sheetId="1406">
        <row r="7">
          <cell r="K7">
            <v>150</v>
          </cell>
        </row>
      </sheetData>
      <sheetData sheetId="1407">
        <row r="7">
          <cell r="K7">
            <v>150</v>
          </cell>
        </row>
      </sheetData>
      <sheetData sheetId="1408">
        <row r="7">
          <cell r="K7">
            <v>150</v>
          </cell>
        </row>
      </sheetData>
      <sheetData sheetId="1409">
        <row r="7">
          <cell r="K7">
            <v>150</v>
          </cell>
        </row>
      </sheetData>
      <sheetData sheetId="1410">
        <row r="7">
          <cell r="K7">
            <v>150</v>
          </cell>
        </row>
      </sheetData>
      <sheetData sheetId="1411">
        <row r="7">
          <cell r="K7">
            <v>150</v>
          </cell>
        </row>
      </sheetData>
      <sheetData sheetId="1412">
        <row r="7">
          <cell r="K7">
            <v>150</v>
          </cell>
        </row>
      </sheetData>
      <sheetData sheetId="1413">
        <row r="7">
          <cell r="K7">
            <v>150</v>
          </cell>
        </row>
      </sheetData>
      <sheetData sheetId="1414">
        <row r="7">
          <cell r="K7">
            <v>150</v>
          </cell>
        </row>
      </sheetData>
      <sheetData sheetId="1415">
        <row r="7">
          <cell r="K7">
            <v>150</v>
          </cell>
        </row>
      </sheetData>
      <sheetData sheetId="1416">
        <row r="7">
          <cell r="K7">
            <v>150</v>
          </cell>
        </row>
      </sheetData>
      <sheetData sheetId="1417">
        <row r="7">
          <cell r="K7">
            <v>150</v>
          </cell>
        </row>
      </sheetData>
      <sheetData sheetId="1418">
        <row r="7">
          <cell r="K7">
            <v>150</v>
          </cell>
        </row>
      </sheetData>
      <sheetData sheetId="1419">
        <row r="7">
          <cell r="K7">
            <v>150</v>
          </cell>
        </row>
      </sheetData>
      <sheetData sheetId="1420">
        <row r="7">
          <cell r="K7">
            <v>150</v>
          </cell>
        </row>
      </sheetData>
      <sheetData sheetId="1421">
        <row r="7">
          <cell r="K7">
            <v>150</v>
          </cell>
        </row>
      </sheetData>
      <sheetData sheetId="1422">
        <row r="7">
          <cell r="K7">
            <v>150</v>
          </cell>
        </row>
      </sheetData>
      <sheetData sheetId="1423">
        <row r="7">
          <cell r="K7">
            <v>150</v>
          </cell>
        </row>
      </sheetData>
      <sheetData sheetId="1424">
        <row r="7">
          <cell r="K7">
            <v>150</v>
          </cell>
        </row>
      </sheetData>
      <sheetData sheetId="1425">
        <row r="7">
          <cell r="K7">
            <v>150</v>
          </cell>
        </row>
      </sheetData>
      <sheetData sheetId="1426">
        <row r="7">
          <cell r="K7">
            <v>150</v>
          </cell>
        </row>
      </sheetData>
      <sheetData sheetId="1427">
        <row r="7">
          <cell r="K7">
            <v>150</v>
          </cell>
        </row>
      </sheetData>
      <sheetData sheetId="1428">
        <row r="7">
          <cell r="K7">
            <v>150</v>
          </cell>
        </row>
      </sheetData>
      <sheetData sheetId="1429">
        <row r="7">
          <cell r="K7">
            <v>150</v>
          </cell>
        </row>
      </sheetData>
      <sheetData sheetId="1430">
        <row r="7">
          <cell r="K7">
            <v>150</v>
          </cell>
        </row>
      </sheetData>
      <sheetData sheetId="1431">
        <row r="7">
          <cell r="K7">
            <v>150</v>
          </cell>
        </row>
      </sheetData>
      <sheetData sheetId="1432">
        <row r="7">
          <cell r="K7">
            <v>150</v>
          </cell>
        </row>
      </sheetData>
      <sheetData sheetId="1433">
        <row r="7">
          <cell r="K7">
            <v>150</v>
          </cell>
        </row>
      </sheetData>
      <sheetData sheetId="1434">
        <row r="7">
          <cell r="K7">
            <v>150</v>
          </cell>
        </row>
      </sheetData>
      <sheetData sheetId="1435">
        <row r="7">
          <cell r="K7">
            <v>150</v>
          </cell>
        </row>
      </sheetData>
      <sheetData sheetId="1436">
        <row r="7">
          <cell r="K7">
            <v>150</v>
          </cell>
        </row>
      </sheetData>
      <sheetData sheetId="1437">
        <row r="7">
          <cell r="K7">
            <v>150</v>
          </cell>
        </row>
      </sheetData>
      <sheetData sheetId="1438">
        <row r="7">
          <cell r="K7">
            <v>150</v>
          </cell>
        </row>
      </sheetData>
      <sheetData sheetId="1439">
        <row r="7">
          <cell r="K7">
            <v>150</v>
          </cell>
        </row>
      </sheetData>
      <sheetData sheetId="1440">
        <row r="7">
          <cell r="K7">
            <v>150</v>
          </cell>
        </row>
      </sheetData>
      <sheetData sheetId="1441">
        <row r="7">
          <cell r="K7">
            <v>150</v>
          </cell>
        </row>
      </sheetData>
      <sheetData sheetId="1442">
        <row r="7">
          <cell r="K7">
            <v>150</v>
          </cell>
        </row>
      </sheetData>
      <sheetData sheetId="1443">
        <row r="7">
          <cell r="K7">
            <v>150</v>
          </cell>
        </row>
      </sheetData>
      <sheetData sheetId="1444">
        <row r="7">
          <cell r="K7">
            <v>150</v>
          </cell>
        </row>
      </sheetData>
      <sheetData sheetId="1445">
        <row r="7">
          <cell r="K7">
            <v>150</v>
          </cell>
        </row>
      </sheetData>
      <sheetData sheetId="1446">
        <row r="7">
          <cell r="K7">
            <v>150</v>
          </cell>
        </row>
      </sheetData>
      <sheetData sheetId="1447">
        <row r="7">
          <cell r="K7">
            <v>150</v>
          </cell>
        </row>
      </sheetData>
      <sheetData sheetId="1448">
        <row r="7">
          <cell r="K7">
            <v>150</v>
          </cell>
        </row>
      </sheetData>
      <sheetData sheetId="1449">
        <row r="7">
          <cell r="K7">
            <v>150</v>
          </cell>
        </row>
      </sheetData>
      <sheetData sheetId="1450">
        <row r="7">
          <cell r="K7">
            <v>150</v>
          </cell>
        </row>
      </sheetData>
      <sheetData sheetId="1451">
        <row r="7">
          <cell r="K7">
            <v>150</v>
          </cell>
        </row>
      </sheetData>
      <sheetData sheetId="1452">
        <row r="7">
          <cell r="K7">
            <v>150</v>
          </cell>
        </row>
      </sheetData>
      <sheetData sheetId="1453">
        <row r="7">
          <cell r="K7">
            <v>150</v>
          </cell>
        </row>
      </sheetData>
      <sheetData sheetId="1454">
        <row r="7">
          <cell r="K7">
            <v>150</v>
          </cell>
        </row>
      </sheetData>
      <sheetData sheetId="1455">
        <row r="7">
          <cell r="K7">
            <v>150</v>
          </cell>
        </row>
      </sheetData>
      <sheetData sheetId="1456">
        <row r="7">
          <cell r="K7">
            <v>150</v>
          </cell>
        </row>
      </sheetData>
      <sheetData sheetId="1457">
        <row r="7">
          <cell r="K7">
            <v>150</v>
          </cell>
        </row>
      </sheetData>
      <sheetData sheetId="1458">
        <row r="7">
          <cell r="K7">
            <v>150</v>
          </cell>
        </row>
      </sheetData>
      <sheetData sheetId="1459">
        <row r="7">
          <cell r="K7">
            <v>150</v>
          </cell>
        </row>
      </sheetData>
      <sheetData sheetId="1460">
        <row r="7">
          <cell r="K7">
            <v>150</v>
          </cell>
        </row>
      </sheetData>
      <sheetData sheetId="1461">
        <row r="7">
          <cell r="K7">
            <v>150</v>
          </cell>
        </row>
      </sheetData>
      <sheetData sheetId="1462">
        <row r="7">
          <cell r="K7">
            <v>150</v>
          </cell>
        </row>
      </sheetData>
      <sheetData sheetId="1463">
        <row r="7">
          <cell r="K7">
            <v>150</v>
          </cell>
        </row>
      </sheetData>
      <sheetData sheetId="1464">
        <row r="7">
          <cell r="K7">
            <v>150</v>
          </cell>
        </row>
      </sheetData>
      <sheetData sheetId="1465">
        <row r="7">
          <cell r="K7">
            <v>150</v>
          </cell>
        </row>
      </sheetData>
      <sheetData sheetId="1466">
        <row r="7">
          <cell r="K7">
            <v>150</v>
          </cell>
        </row>
      </sheetData>
      <sheetData sheetId="1467">
        <row r="7">
          <cell r="K7">
            <v>150</v>
          </cell>
        </row>
      </sheetData>
      <sheetData sheetId="1468">
        <row r="7">
          <cell r="K7">
            <v>150</v>
          </cell>
        </row>
      </sheetData>
      <sheetData sheetId="1469">
        <row r="7">
          <cell r="K7">
            <v>150</v>
          </cell>
        </row>
      </sheetData>
      <sheetData sheetId="1470">
        <row r="7">
          <cell r="K7">
            <v>150</v>
          </cell>
        </row>
      </sheetData>
      <sheetData sheetId="1471">
        <row r="7">
          <cell r="K7">
            <v>150</v>
          </cell>
        </row>
      </sheetData>
      <sheetData sheetId="1472">
        <row r="7">
          <cell r="K7">
            <v>150</v>
          </cell>
        </row>
      </sheetData>
      <sheetData sheetId="1473">
        <row r="7">
          <cell r="K7">
            <v>150</v>
          </cell>
        </row>
      </sheetData>
      <sheetData sheetId="1474">
        <row r="7">
          <cell r="K7">
            <v>150</v>
          </cell>
        </row>
      </sheetData>
      <sheetData sheetId="1475">
        <row r="7">
          <cell r="K7">
            <v>150</v>
          </cell>
        </row>
      </sheetData>
      <sheetData sheetId="1476">
        <row r="7">
          <cell r="K7">
            <v>150</v>
          </cell>
        </row>
      </sheetData>
      <sheetData sheetId="1477">
        <row r="7">
          <cell r="K7">
            <v>150</v>
          </cell>
        </row>
      </sheetData>
      <sheetData sheetId="1478">
        <row r="7">
          <cell r="K7">
            <v>150</v>
          </cell>
        </row>
      </sheetData>
      <sheetData sheetId="1479">
        <row r="7">
          <cell r="K7">
            <v>150</v>
          </cell>
        </row>
      </sheetData>
      <sheetData sheetId="1480">
        <row r="7">
          <cell r="K7">
            <v>150</v>
          </cell>
        </row>
      </sheetData>
      <sheetData sheetId="1481">
        <row r="7">
          <cell r="K7">
            <v>150</v>
          </cell>
        </row>
      </sheetData>
      <sheetData sheetId="1482">
        <row r="7">
          <cell r="K7">
            <v>150</v>
          </cell>
        </row>
      </sheetData>
      <sheetData sheetId="1483">
        <row r="7">
          <cell r="K7">
            <v>150</v>
          </cell>
        </row>
      </sheetData>
      <sheetData sheetId="1484">
        <row r="7">
          <cell r="K7">
            <v>150</v>
          </cell>
        </row>
      </sheetData>
      <sheetData sheetId="1485">
        <row r="7">
          <cell r="K7">
            <v>150</v>
          </cell>
        </row>
      </sheetData>
      <sheetData sheetId="1486">
        <row r="7">
          <cell r="K7">
            <v>150</v>
          </cell>
        </row>
      </sheetData>
      <sheetData sheetId="1487">
        <row r="7">
          <cell r="K7">
            <v>150</v>
          </cell>
        </row>
      </sheetData>
      <sheetData sheetId="1488">
        <row r="7">
          <cell r="K7">
            <v>150</v>
          </cell>
        </row>
      </sheetData>
      <sheetData sheetId="1489">
        <row r="7">
          <cell r="K7">
            <v>150</v>
          </cell>
        </row>
      </sheetData>
      <sheetData sheetId="1490">
        <row r="7">
          <cell r="K7">
            <v>150</v>
          </cell>
        </row>
      </sheetData>
      <sheetData sheetId="1491">
        <row r="7">
          <cell r="K7">
            <v>150</v>
          </cell>
        </row>
      </sheetData>
      <sheetData sheetId="1492">
        <row r="7">
          <cell r="K7">
            <v>150</v>
          </cell>
        </row>
      </sheetData>
      <sheetData sheetId="1493">
        <row r="7">
          <cell r="K7">
            <v>150</v>
          </cell>
        </row>
      </sheetData>
      <sheetData sheetId="1494">
        <row r="7">
          <cell r="K7">
            <v>150</v>
          </cell>
        </row>
      </sheetData>
      <sheetData sheetId="1495">
        <row r="7">
          <cell r="K7">
            <v>150</v>
          </cell>
        </row>
      </sheetData>
      <sheetData sheetId="1496">
        <row r="7">
          <cell r="K7">
            <v>150</v>
          </cell>
        </row>
      </sheetData>
      <sheetData sheetId="1497">
        <row r="7">
          <cell r="K7">
            <v>150</v>
          </cell>
        </row>
      </sheetData>
      <sheetData sheetId="1498">
        <row r="7">
          <cell r="K7">
            <v>150</v>
          </cell>
        </row>
      </sheetData>
      <sheetData sheetId="1499">
        <row r="7">
          <cell r="K7">
            <v>150</v>
          </cell>
        </row>
      </sheetData>
      <sheetData sheetId="1500">
        <row r="7">
          <cell r="K7">
            <v>150</v>
          </cell>
        </row>
      </sheetData>
      <sheetData sheetId="1501">
        <row r="7">
          <cell r="K7">
            <v>150</v>
          </cell>
        </row>
      </sheetData>
      <sheetData sheetId="1502">
        <row r="7">
          <cell r="K7">
            <v>150</v>
          </cell>
        </row>
      </sheetData>
      <sheetData sheetId="1503">
        <row r="7">
          <cell r="K7">
            <v>150</v>
          </cell>
        </row>
      </sheetData>
      <sheetData sheetId="1504">
        <row r="7">
          <cell r="K7">
            <v>150</v>
          </cell>
        </row>
      </sheetData>
      <sheetData sheetId="1505">
        <row r="7">
          <cell r="K7">
            <v>150</v>
          </cell>
        </row>
      </sheetData>
      <sheetData sheetId="1506">
        <row r="7">
          <cell r="K7">
            <v>150</v>
          </cell>
        </row>
      </sheetData>
      <sheetData sheetId="1507">
        <row r="7">
          <cell r="K7">
            <v>150</v>
          </cell>
        </row>
      </sheetData>
      <sheetData sheetId="1508">
        <row r="7">
          <cell r="K7">
            <v>150</v>
          </cell>
        </row>
      </sheetData>
      <sheetData sheetId="1509">
        <row r="7">
          <cell r="K7">
            <v>150</v>
          </cell>
        </row>
      </sheetData>
      <sheetData sheetId="1510">
        <row r="7">
          <cell r="K7">
            <v>150</v>
          </cell>
        </row>
      </sheetData>
      <sheetData sheetId="1511">
        <row r="7">
          <cell r="K7">
            <v>150</v>
          </cell>
        </row>
      </sheetData>
      <sheetData sheetId="1512">
        <row r="7">
          <cell r="K7">
            <v>150</v>
          </cell>
        </row>
      </sheetData>
      <sheetData sheetId="1513">
        <row r="7">
          <cell r="K7">
            <v>150</v>
          </cell>
        </row>
      </sheetData>
      <sheetData sheetId="1514">
        <row r="7">
          <cell r="K7">
            <v>150</v>
          </cell>
        </row>
      </sheetData>
      <sheetData sheetId="1515">
        <row r="7">
          <cell r="K7">
            <v>150</v>
          </cell>
        </row>
      </sheetData>
      <sheetData sheetId="1516">
        <row r="7">
          <cell r="K7">
            <v>150</v>
          </cell>
        </row>
      </sheetData>
      <sheetData sheetId="1517">
        <row r="7">
          <cell r="K7">
            <v>150</v>
          </cell>
        </row>
      </sheetData>
      <sheetData sheetId="1518">
        <row r="7">
          <cell r="K7">
            <v>150</v>
          </cell>
        </row>
      </sheetData>
      <sheetData sheetId="1519">
        <row r="7">
          <cell r="K7">
            <v>150</v>
          </cell>
        </row>
      </sheetData>
      <sheetData sheetId="1520">
        <row r="7">
          <cell r="K7">
            <v>150</v>
          </cell>
        </row>
      </sheetData>
      <sheetData sheetId="1521">
        <row r="7">
          <cell r="K7">
            <v>150</v>
          </cell>
        </row>
      </sheetData>
      <sheetData sheetId="1522">
        <row r="7">
          <cell r="K7">
            <v>150</v>
          </cell>
        </row>
      </sheetData>
      <sheetData sheetId="1523">
        <row r="7">
          <cell r="K7">
            <v>150</v>
          </cell>
        </row>
      </sheetData>
      <sheetData sheetId="1524">
        <row r="7">
          <cell r="K7">
            <v>150</v>
          </cell>
        </row>
      </sheetData>
      <sheetData sheetId="1525">
        <row r="7">
          <cell r="K7">
            <v>150</v>
          </cell>
        </row>
      </sheetData>
      <sheetData sheetId="1526">
        <row r="7">
          <cell r="K7">
            <v>150</v>
          </cell>
        </row>
      </sheetData>
      <sheetData sheetId="1527">
        <row r="7">
          <cell r="K7">
            <v>150</v>
          </cell>
        </row>
      </sheetData>
      <sheetData sheetId="1528">
        <row r="7">
          <cell r="K7">
            <v>150</v>
          </cell>
        </row>
      </sheetData>
      <sheetData sheetId="1529">
        <row r="7">
          <cell r="K7">
            <v>150</v>
          </cell>
        </row>
      </sheetData>
      <sheetData sheetId="1530">
        <row r="7">
          <cell r="K7">
            <v>150</v>
          </cell>
        </row>
      </sheetData>
      <sheetData sheetId="1531">
        <row r="7">
          <cell r="K7">
            <v>150</v>
          </cell>
        </row>
      </sheetData>
      <sheetData sheetId="1532">
        <row r="7">
          <cell r="K7">
            <v>150</v>
          </cell>
        </row>
      </sheetData>
      <sheetData sheetId="1533">
        <row r="7">
          <cell r="K7">
            <v>150</v>
          </cell>
        </row>
      </sheetData>
      <sheetData sheetId="1534">
        <row r="7">
          <cell r="K7">
            <v>150</v>
          </cell>
        </row>
      </sheetData>
      <sheetData sheetId="1535">
        <row r="7">
          <cell r="K7">
            <v>150</v>
          </cell>
        </row>
      </sheetData>
      <sheetData sheetId="1536">
        <row r="7">
          <cell r="K7">
            <v>150</v>
          </cell>
        </row>
      </sheetData>
      <sheetData sheetId="1537">
        <row r="7">
          <cell r="K7">
            <v>150</v>
          </cell>
        </row>
      </sheetData>
      <sheetData sheetId="1538">
        <row r="7">
          <cell r="K7">
            <v>150</v>
          </cell>
        </row>
      </sheetData>
      <sheetData sheetId="1539">
        <row r="7">
          <cell r="K7">
            <v>150</v>
          </cell>
        </row>
      </sheetData>
      <sheetData sheetId="1540">
        <row r="7">
          <cell r="K7">
            <v>150</v>
          </cell>
        </row>
      </sheetData>
      <sheetData sheetId="1541">
        <row r="7">
          <cell r="K7">
            <v>150</v>
          </cell>
        </row>
      </sheetData>
      <sheetData sheetId="1542">
        <row r="7">
          <cell r="K7">
            <v>150</v>
          </cell>
        </row>
      </sheetData>
      <sheetData sheetId="1543">
        <row r="7">
          <cell r="K7">
            <v>150</v>
          </cell>
        </row>
      </sheetData>
      <sheetData sheetId="1544">
        <row r="7">
          <cell r="K7">
            <v>150</v>
          </cell>
        </row>
      </sheetData>
      <sheetData sheetId="1545">
        <row r="7">
          <cell r="K7">
            <v>150</v>
          </cell>
        </row>
      </sheetData>
      <sheetData sheetId="1546">
        <row r="7">
          <cell r="K7">
            <v>150</v>
          </cell>
        </row>
      </sheetData>
      <sheetData sheetId="1547">
        <row r="7">
          <cell r="K7">
            <v>150</v>
          </cell>
        </row>
      </sheetData>
      <sheetData sheetId="1548">
        <row r="7">
          <cell r="K7">
            <v>150</v>
          </cell>
        </row>
      </sheetData>
      <sheetData sheetId="1549">
        <row r="7">
          <cell r="K7">
            <v>150</v>
          </cell>
        </row>
      </sheetData>
      <sheetData sheetId="1550">
        <row r="7">
          <cell r="K7">
            <v>150</v>
          </cell>
        </row>
      </sheetData>
      <sheetData sheetId="1551">
        <row r="7">
          <cell r="K7">
            <v>150</v>
          </cell>
        </row>
      </sheetData>
      <sheetData sheetId="1552">
        <row r="7">
          <cell r="K7">
            <v>150</v>
          </cell>
        </row>
      </sheetData>
      <sheetData sheetId="1553">
        <row r="7">
          <cell r="K7">
            <v>150</v>
          </cell>
        </row>
      </sheetData>
      <sheetData sheetId="1554">
        <row r="7">
          <cell r="K7">
            <v>150</v>
          </cell>
        </row>
      </sheetData>
      <sheetData sheetId="1555">
        <row r="7">
          <cell r="K7">
            <v>150</v>
          </cell>
        </row>
      </sheetData>
      <sheetData sheetId="1556">
        <row r="7">
          <cell r="K7">
            <v>150</v>
          </cell>
        </row>
      </sheetData>
      <sheetData sheetId="1557">
        <row r="7">
          <cell r="K7">
            <v>150</v>
          </cell>
        </row>
      </sheetData>
      <sheetData sheetId="1558">
        <row r="7">
          <cell r="K7">
            <v>150</v>
          </cell>
        </row>
      </sheetData>
      <sheetData sheetId="1559">
        <row r="7">
          <cell r="K7">
            <v>150</v>
          </cell>
        </row>
      </sheetData>
      <sheetData sheetId="1560">
        <row r="7">
          <cell r="K7">
            <v>150</v>
          </cell>
        </row>
      </sheetData>
      <sheetData sheetId="1561">
        <row r="7">
          <cell r="K7">
            <v>150</v>
          </cell>
        </row>
      </sheetData>
      <sheetData sheetId="1562">
        <row r="7">
          <cell r="K7">
            <v>150</v>
          </cell>
        </row>
      </sheetData>
      <sheetData sheetId="1563">
        <row r="7">
          <cell r="K7">
            <v>150</v>
          </cell>
        </row>
      </sheetData>
      <sheetData sheetId="1564">
        <row r="7">
          <cell r="K7">
            <v>150</v>
          </cell>
        </row>
      </sheetData>
      <sheetData sheetId="1565">
        <row r="7">
          <cell r="K7">
            <v>150</v>
          </cell>
        </row>
      </sheetData>
      <sheetData sheetId="1566">
        <row r="7">
          <cell r="K7">
            <v>150</v>
          </cell>
        </row>
      </sheetData>
      <sheetData sheetId="1567">
        <row r="7">
          <cell r="K7">
            <v>150</v>
          </cell>
        </row>
      </sheetData>
      <sheetData sheetId="1568">
        <row r="7">
          <cell r="K7">
            <v>150</v>
          </cell>
        </row>
      </sheetData>
      <sheetData sheetId="1569">
        <row r="7">
          <cell r="K7">
            <v>150</v>
          </cell>
        </row>
      </sheetData>
      <sheetData sheetId="1570">
        <row r="7">
          <cell r="K7">
            <v>150</v>
          </cell>
        </row>
      </sheetData>
      <sheetData sheetId="1571">
        <row r="7">
          <cell r="K7">
            <v>150</v>
          </cell>
        </row>
      </sheetData>
      <sheetData sheetId="1572">
        <row r="7">
          <cell r="K7">
            <v>150</v>
          </cell>
        </row>
      </sheetData>
      <sheetData sheetId="1573">
        <row r="7">
          <cell r="K7">
            <v>150</v>
          </cell>
        </row>
      </sheetData>
      <sheetData sheetId="1574">
        <row r="7">
          <cell r="K7">
            <v>150</v>
          </cell>
        </row>
      </sheetData>
      <sheetData sheetId="1575">
        <row r="7">
          <cell r="K7">
            <v>150</v>
          </cell>
        </row>
      </sheetData>
      <sheetData sheetId="1576">
        <row r="7">
          <cell r="K7">
            <v>150</v>
          </cell>
        </row>
      </sheetData>
      <sheetData sheetId="1577">
        <row r="7">
          <cell r="K7">
            <v>150</v>
          </cell>
        </row>
      </sheetData>
      <sheetData sheetId="1578">
        <row r="7">
          <cell r="K7">
            <v>150</v>
          </cell>
        </row>
      </sheetData>
      <sheetData sheetId="1579">
        <row r="7">
          <cell r="K7">
            <v>150</v>
          </cell>
        </row>
      </sheetData>
      <sheetData sheetId="1580">
        <row r="7">
          <cell r="K7">
            <v>150</v>
          </cell>
        </row>
      </sheetData>
      <sheetData sheetId="1581">
        <row r="7">
          <cell r="K7">
            <v>150</v>
          </cell>
        </row>
      </sheetData>
      <sheetData sheetId="1582">
        <row r="7">
          <cell r="K7">
            <v>150</v>
          </cell>
        </row>
      </sheetData>
      <sheetData sheetId="1583">
        <row r="7">
          <cell r="K7">
            <v>150</v>
          </cell>
        </row>
      </sheetData>
      <sheetData sheetId="1584">
        <row r="7">
          <cell r="K7">
            <v>150</v>
          </cell>
        </row>
      </sheetData>
      <sheetData sheetId="1585">
        <row r="7">
          <cell r="K7">
            <v>150</v>
          </cell>
        </row>
      </sheetData>
      <sheetData sheetId="1586">
        <row r="7">
          <cell r="K7">
            <v>150</v>
          </cell>
        </row>
      </sheetData>
      <sheetData sheetId="1587">
        <row r="7">
          <cell r="K7">
            <v>150</v>
          </cell>
        </row>
      </sheetData>
      <sheetData sheetId="1588">
        <row r="7">
          <cell r="K7">
            <v>150</v>
          </cell>
        </row>
      </sheetData>
      <sheetData sheetId="1589">
        <row r="7">
          <cell r="K7">
            <v>150</v>
          </cell>
        </row>
      </sheetData>
      <sheetData sheetId="1590">
        <row r="7">
          <cell r="K7">
            <v>150</v>
          </cell>
        </row>
      </sheetData>
      <sheetData sheetId="1591">
        <row r="7">
          <cell r="K7">
            <v>150</v>
          </cell>
        </row>
      </sheetData>
      <sheetData sheetId="1592">
        <row r="7">
          <cell r="K7">
            <v>150</v>
          </cell>
        </row>
      </sheetData>
      <sheetData sheetId="1593">
        <row r="7">
          <cell r="K7">
            <v>150</v>
          </cell>
        </row>
      </sheetData>
      <sheetData sheetId="1594">
        <row r="7">
          <cell r="K7">
            <v>150</v>
          </cell>
        </row>
      </sheetData>
      <sheetData sheetId="1595">
        <row r="7">
          <cell r="K7">
            <v>150</v>
          </cell>
        </row>
      </sheetData>
      <sheetData sheetId="1596">
        <row r="7">
          <cell r="K7">
            <v>150</v>
          </cell>
        </row>
      </sheetData>
      <sheetData sheetId="1597">
        <row r="7">
          <cell r="K7">
            <v>150</v>
          </cell>
        </row>
      </sheetData>
      <sheetData sheetId="1598">
        <row r="7">
          <cell r="K7">
            <v>150</v>
          </cell>
        </row>
      </sheetData>
      <sheetData sheetId="1599">
        <row r="7">
          <cell r="K7">
            <v>150</v>
          </cell>
        </row>
      </sheetData>
      <sheetData sheetId="1600">
        <row r="7">
          <cell r="K7">
            <v>150</v>
          </cell>
        </row>
      </sheetData>
      <sheetData sheetId="1601">
        <row r="7">
          <cell r="K7">
            <v>150</v>
          </cell>
        </row>
      </sheetData>
      <sheetData sheetId="1602">
        <row r="7">
          <cell r="K7">
            <v>150</v>
          </cell>
        </row>
      </sheetData>
      <sheetData sheetId="1603">
        <row r="7">
          <cell r="K7">
            <v>150</v>
          </cell>
        </row>
      </sheetData>
      <sheetData sheetId="1604">
        <row r="7">
          <cell r="K7">
            <v>150</v>
          </cell>
        </row>
      </sheetData>
      <sheetData sheetId="1605">
        <row r="7">
          <cell r="K7">
            <v>150</v>
          </cell>
        </row>
      </sheetData>
      <sheetData sheetId="1606">
        <row r="7">
          <cell r="K7">
            <v>150</v>
          </cell>
        </row>
      </sheetData>
      <sheetData sheetId="1607">
        <row r="7">
          <cell r="K7">
            <v>150</v>
          </cell>
        </row>
      </sheetData>
      <sheetData sheetId="1608">
        <row r="7">
          <cell r="K7">
            <v>150</v>
          </cell>
        </row>
      </sheetData>
      <sheetData sheetId="1609">
        <row r="7">
          <cell r="K7">
            <v>150</v>
          </cell>
        </row>
      </sheetData>
      <sheetData sheetId="1610">
        <row r="7">
          <cell r="K7">
            <v>150</v>
          </cell>
        </row>
      </sheetData>
      <sheetData sheetId="1611">
        <row r="7">
          <cell r="K7">
            <v>150</v>
          </cell>
        </row>
      </sheetData>
      <sheetData sheetId="1612">
        <row r="7">
          <cell r="K7">
            <v>150</v>
          </cell>
        </row>
      </sheetData>
      <sheetData sheetId="1613">
        <row r="7">
          <cell r="K7">
            <v>150</v>
          </cell>
        </row>
      </sheetData>
      <sheetData sheetId="1614">
        <row r="7">
          <cell r="K7">
            <v>150</v>
          </cell>
        </row>
      </sheetData>
      <sheetData sheetId="1615">
        <row r="7">
          <cell r="K7">
            <v>150</v>
          </cell>
        </row>
      </sheetData>
      <sheetData sheetId="1616">
        <row r="7">
          <cell r="K7">
            <v>150</v>
          </cell>
        </row>
      </sheetData>
      <sheetData sheetId="1617">
        <row r="7">
          <cell r="K7">
            <v>150</v>
          </cell>
        </row>
      </sheetData>
      <sheetData sheetId="1618">
        <row r="7">
          <cell r="K7">
            <v>150</v>
          </cell>
        </row>
      </sheetData>
      <sheetData sheetId="1619">
        <row r="7">
          <cell r="K7">
            <v>150</v>
          </cell>
        </row>
      </sheetData>
      <sheetData sheetId="1620">
        <row r="7">
          <cell r="K7">
            <v>150</v>
          </cell>
        </row>
      </sheetData>
      <sheetData sheetId="1621">
        <row r="7">
          <cell r="K7">
            <v>150</v>
          </cell>
        </row>
      </sheetData>
      <sheetData sheetId="1622">
        <row r="2">
          <cell r="A2" t="str">
            <v>PROJECT</v>
          </cell>
        </row>
      </sheetData>
      <sheetData sheetId="1623">
        <row r="7">
          <cell r="K7">
            <v>150</v>
          </cell>
        </row>
      </sheetData>
      <sheetData sheetId="1624">
        <row r="7">
          <cell r="K7">
            <v>150</v>
          </cell>
        </row>
      </sheetData>
      <sheetData sheetId="1625">
        <row r="7">
          <cell r="K7">
            <v>150</v>
          </cell>
        </row>
      </sheetData>
      <sheetData sheetId="1626">
        <row r="7">
          <cell r="K7">
            <v>150</v>
          </cell>
        </row>
      </sheetData>
      <sheetData sheetId="1627">
        <row r="7">
          <cell r="K7">
            <v>150</v>
          </cell>
        </row>
      </sheetData>
      <sheetData sheetId="1628">
        <row r="7">
          <cell r="K7">
            <v>150</v>
          </cell>
        </row>
      </sheetData>
      <sheetData sheetId="1629">
        <row r="7">
          <cell r="K7">
            <v>150</v>
          </cell>
        </row>
      </sheetData>
      <sheetData sheetId="1630">
        <row r="7">
          <cell r="K7">
            <v>150</v>
          </cell>
        </row>
      </sheetData>
      <sheetData sheetId="1631">
        <row r="7">
          <cell r="K7">
            <v>150</v>
          </cell>
        </row>
      </sheetData>
      <sheetData sheetId="1632">
        <row r="7">
          <cell r="K7">
            <v>150</v>
          </cell>
        </row>
      </sheetData>
      <sheetData sheetId="1633">
        <row r="7">
          <cell r="K7">
            <v>150</v>
          </cell>
        </row>
      </sheetData>
      <sheetData sheetId="1634">
        <row r="7">
          <cell r="K7">
            <v>150</v>
          </cell>
        </row>
      </sheetData>
      <sheetData sheetId="1635">
        <row r="7">
          <cell r="K7">
            <v>150</v>
          </cell>
        </row>
      </sheetData>
      <sheetData sheetId="1636">
        <row r="7">
          <cell r="K7">
            <v>150</v>
          </cell>
        </row>
      </sheetData>
      <sheetData sheetId="1637">
        <row r="7">
          <cell r="K7">
            <v>150</v>
          </cell>
        </row>
      </sheetData>
      <sheetData sheetId="1638">
        <row r="7">
          <cell r="K7">
            <v>150</v>
          </cell>
        </row>
      </sheetData>
      <sheetData sheetId="1639">
        <row r="7">
          <cell r="K7">
            <v>150</v>
          </cell>
        </row>
      </sheetData>
      <sheetData sheetId="1640">
        <row r="7">
          <cell r="K7">
            <v>150</v>
          </cell>
        </row>
      </sheetData>
      <sheetData sheetId="1641">
        <row r="7">
          <cell r="K7">
            <v>150</v>
          </cell>
        </row>
      </sheetData>
      <sheetData sheetId="1642">
        <row r="7">
          <cell r="K7">
            <v>150</v>
          </cell>
        </row>
      </sheetData>
      <sheetData sheetId="1643">
        <row r="7">
          <cell r="K7">
            <v>150</v>
          </cell>
        </row>
      </sheetData>
      <sheetData sheetId="1644">
        <row r="7">
          <cell r="K7">
            <v>150</v>
          </cell>
        </row>
      </sheetData>
      <sheetData sheetId="1645">
        <row r="7">
          <cell r="K7">
            <v>150</v>
          </cell>
        </row>
      </sheetData>
      <sheetData sheetId="1646">
        <row r="7">
          <cell r="K7">
            <v>150</v>
          </cell>
        </row>
      </sheetData>
      <sheetData sheetId="1647">
        <row r="7">
          <cell r="K7">
            <v>150</v>
          </cell>
        </row>
      </sheetData>
      <sheetData sheetId="1648">
        <row r="7">
          <cell r="K7">
            <v>150</v>
          </cell>
        </row>
      </sheetData>
      <sheetData sheetId="1649">
        <row r="7">
          <cell r="K7">
            <v>150</v>
          </cell>
        </row>
      </sheetData>
      <sheetData sheetId="1650">
        <row r="7">
          <cell r="K7">
            <v>150</v>
          </cell>
        </row>
      </sheetData>
      <sheetData sheetId="1651">
        <row r="7">
          <cell r="K7">
            <v>150</v>
          </cell>
        </row>
      </sheetData>
      <sheetData sheetId="1652">
        <row r="7">
          <cell r="K7">
            <v>150</v>
          </cell>
        </row>
      </sheetData>
      <sheetData sheetId="1653">
        <row r="7">
          <cell r="K7">
            <v>150</v>
          </cell>
        </row>
      </sheetData>
      <sheetData sheetId="1654">
        <row r="7">
          <cell r="K7">
            <v>150</v>
          </cell>
        </row>
      </sheetData>
      <sheetData sheetId="1655">
        <row r="7">
          <cell r="K7">
            <v>150</v>
          </cell>
        </row>
      </sheetData>
      <sheetData sheetId="1656">
        <row r="7">
          <cell r="K7">
            <v>150</v>
          </cell>
        </row>
      </sheetData>
      <sheetData sheetId="1657">
        <row r="7">
          <cell r="K7">
            <v>150</v>
          </cell>
        </row>
      </sheetData>
      <sheetData sheetId="1658">
        <row r="7">
          <cell r="K7">
            <v>150</v>
          </cell>
        </row>
      </sheetData>
      <sheetData sheetId="1659">
        <row r="7">
          <cell r="K7">
            <v>150</v>
          </cell>
        </row>
      </sheetData>
      <sheetData sheetId="1660">
        <row r="7">
          <cell r="K7">
            <v>150</v>
          </cell>
        </row>
      </sheetData>
      <sheetData sheetId="1661">
        <row r="7">
          <cell r="K7">
            <v>150</v>
          </cell>
        </row>
      </sheetData>
      <sheetData sheetId="1662">
        <row r="7">
          <cell r="K7">
            <v>150</v>
          </cell>
        </row>
      </sheetData>
      <sheetData sheetId="1663">
        <row r="7">
          <cell r="K7">
            <v>150</v>
          </cell>
        </row>
      </sheetData>
      <sheetData sheetId="1664">
        <row r="7">
          <cell r="K7">
            <v>150</v>
          </cell>
        </row>
      </sheetData>
      <sheetData sheetId="1665">
        <row r="7">
          <cell r="K7">
            <v>150</v>
          </cell>
        </row>
      </sheetData>
      <sheetData sheetId="1666">
        <row r="7">
          <cell r="K7">
            <v>150</v>
          </cell>
        </row>
      </sheetData>
      <sheetData sheetId="1667">
        <row r="7">
          <cell r="K7">
            <v>150</v>
          </cell>
        </row>
      </sheetData>
      <sheetData sheetId="1668">
        <row r="7">
          <cell r="K7">
            <v>150</v>
          </cell>
        </row>
      </sheetData>
      <sheetData sheetId="1669">
        <row r="7">
          <cell r="K7">
            <v>150</v>
          </cell>
        </row>
      </sheetData>
      <sheetData sheetId="1670">
        <row r="7">
          <cell r="K7">
            <v>150</v>
          </cell>
        </row>
      </sheetData>
      <sheetData sheetId="1671">
        <row r="7">
          <cell r="K7">
            <v>150</v>
          </cell>
        </row>
      </sheetData>
      <sheetData sheetId="1672">
        <row r="7">
          <cell r="K7">
            <v>150</v>
          </cell>
        </row>
      </sheetData>
      <sheetData sheetId="1673">
        <row r="7">
          <cell r="K7">
            <v>150</v>
          </cell>
        </row>
      </sheetData>
      <sheetData sheetId="1674">
        <row r="7">
          <cell r="K7">
            <v>150</v>
          </cell>
        </row>
      </sheetData>
      <sheetData sheetId="1675">
        <row r="7">
          <cell r="K7">
            <v>150</v>
          </cell>
        </row>
      </sheetData>
      <sheetData sheetId="1676">
        <row r="7">
          <cell r="K7">
            <v>150</v>
          </cell>
        </row>
      </sheetData>
      <sheetData sheetId="1677">
        <row r="7">
          <cell r="K7">
            <v>150</v>
          </cell>
        </row>
      </sheetData>
      <sheetData sheetId="1678">
        <row r="7">
          <cell r="K7">
            <v>150</v>
          </cell>
        </row>
      </sheetData>
      <sheetData sheetId="1679">
        <row r="7">
          <cell r="K7">
            <v>150</v>
          </cell>
        </row>
      </sheetData>
      <sheetData sheetId="1680">
        <row r="7">
          <cell r="K7">
            <v>150</v>
          </cell>
        </row>
      </sheetData>
      <sheetData sheetId="1681">
        <row r="7">
          <cell r="K7">
            <v>150</v>
          </cell>
        </row>
      </sheetData>
      <sheetData sheetId="1682">
        <row r="7">
          <cell r="K7">
            <v>150</v>
          </cell>
        </row>
      </sheetData>
      <sheetData sheetId="1683">
        <row r="7">
          <cell r="K7">
            <v>150</v>
          </cell>
        </row>
      </sheetData>
      <sheetData sheetId="1684">
        <row r="7">
          <cell r="K7">
            <v>150</v>
          </cell>
        </row>
      </sheetData>
      <sheetData sheetId="1685">
        <row r="7">
          <cell r="K7">
            <v>150</v>
          </cell>
        </row>
      </sheetData>
      <sheetData sheetId="1686">
        <row r="7">
          <cell r="K7">
            <v>150</v>
          </cell>
        </row>
      </sheetData>
      <sheetData sheetId="1687">
        <row r="7">
          <cell r="K7">
            <v>150</v>
          </cell>
        </row>
      </sheetData>
      <sheetData sheetId="1688">
        <row r="7">
          <cell r="K7">
            <v>150</v>
          </cell>
        </row>
      </sheetData>
      <sheetData sheetId="1689">
        <row r="7">
          <cell r="K7">
            <v>150</v>
          </cell>
        </row>
      </sheetData>
      <sheetData sheetId="1690">
        <row r="7">
          <cell r="K7">
            <v>150</v>
          </cell>
        </row>
      </sheetData>
      <sheetData sheetId="1691">
        <row r="7">
          <cell r="K7">
            <v>150</v>
          </cell>
        </row>
      </sheetData>
      <sheetData sheetId="1692">
        <row r="7">
          <cell r="K7">
            <v>150</v>
          </cell>
        </row>
      </sheetData>
      <sheetData sheetId="1693">
        <row r="7">
          <cell r="K7">
            <v>150</v>
          </cell>
        </row>
      </sheetData>
      <sheetData sheetId="1694">
        <row r="7">
          <cell r="K7">
            <v>150</v>
          </cell>
        </row>
      </sheetData>
      <sheetData sheetId="1695">
        <row r="7">
          <cell r="K7">
            <v>150</v>
          </cell>
        </row>
      </sheetData>
      <sheetData sheetId="1696">
        <row r="7">
          <cell r="K7">
            <v>150</v>
          </cell>
        </row>
      </sheetData>
      <sheetData sheetId="1697">
        <row r="7">
          <cell r="K7">
            <v>150</v>
          </cell>
        </row>
      </sheetData>
      <sheetData sheetId="1698">
        <row r="7">
          <cell r="K7">
            <v>150</v>
          </cell>
        </row>
      </sheetData>
      <sheetData sheetId="1699">
        <row r="7">
          <cell r="K7">
            <v>150</v>
          </cell>
        </row>
      </sheetData>
      <sheetData sheetId="1700">
        <row r="7">
          <cell r="K7">
            <v>150</v>
          </cell>
        </row>
      </sheetData>
      <sheetData sheetId="1701">
        <row r="7">
          <cell r="K7">
            <v>150</v>
          </cell>
        </row>
      </sheetData>
      <sheetData sheetId="1702">
        <row r="7">
          <cell r="K7">
            <v>150</v>
          </cell>
        </row>
      </sheetData>
      <sheetData sheetId="1703">
        <row r="7">
          <cell r="K7">
            <v>150</v>
          </cell>
        </row>
      </sheetData>
      <sheetData sheetId="1704">
        <row r="7">
          <cell r="K7">
            <v>150</v>
          </cell>
        </row>
      </sheetData>
      <sheetData sheetId="1705">
        <row r="7">
          <cell r="K7">
            <v>150</v>
          </cell>
        </row>
      </sheetData>
      <sheetData sheetId="1706">
        <row r="7">
          <cell r="K7">
            <v>150</v>
          </cell>
        </row>
      </sheetData>
      <sheetData sheetId="1707">
        <row r="7">
          <cell r="K7">
            <v>150</v>
          </cell>
        </row>
      </sheetData>
      <sheetData sheetId="1708">
        <row r="7">
          <cell r="K7">
            <v>150</v>
          </cell>
        </row>
      </sheetData>
      <sheetData sheetId="1709">
        <row r="7">
          <cell r="K7">
            <v>150</v>
          </cell>
        </row>
      </sheetData>
      <sheetData sheetId="1710">
        <row r="7">
          <cell r="K7">
            <v>150</v>
          </cell>
        </row>
      </sheetData>
      <sheetData sheetId="1711">
        <row r="7">
          <cell r="K7">
            <v>150</v>
          </cell>
        </row>
      </sheetData>
      <sheetData sheetId="1712">
        <row r="7">
          <cell r="K7">
            <v>150</v>
          </cell>
        </row>
      </sheetData>
      <sheetData sheetId="1713">
        <row r="7">
          <cell r="K7">
            <v>150</v>
          </cell>
        </row>
      </sheetData>
      <sheetData sheetId="1714">
        <row r="7">
          <cell r="K7">
            <v>150</v>
          </cell>
        </row>
      </sheetData>
      <sheetData sheetId="1715">
        <row r="7">
          <cell r="K7">
            <v>150</v>
          </cell>
        </row>
      </sheetData>
      <sheetData sheetId="1716">
        <row r="7">
          <cell r="K7">
            <v>150</v>
          </cell>
        </row>
      </sheetData>
      <sheetData sheetId="1717">
        <row r="7">
          <cell r="K7">
            <v>150</v>
          </cell>
        </row>
      </sheetData>
      <sheetData sheetId="1718">
        <row r="7">
          <cell r="K7">
            <v>150</v>
          </cell>
        </row>
      </sheetData>
      <sheetData sheetId="1719">
        <row r="7">
          <cell r="K7">
            <v>150</v>
          </cell>
        </row>
      </sheetData>
      <sheetData sheetId="1720">
        <row r="7">
          <cell r="K7">
            <v>150</v>
          </cell>
        </row>
      </sheetData>
      <sheetData sheetId="1721">
        <row r="7">
          <cell r="K7">
            <v>150</v>
          </cell>
        </row>
      </sheetData>
      <sheetData sheetId="1722">
        <row r="7">
          <cell r="K7">
            <v>150</v>
          </cell>
        </row>
      </sheetData>
      <sheetData sheetId="1723">
        <row r="7">
          <cell r="K7">
            <v>150</v>
          </cell>
        </row>
      </sheetData>
      <sheetData sheetId="1724">
        <row r="7">
          <cell r="K7">
            <v>150</v>
          </cell>
        </row>
      </sheetData>
      <sheetData sheetId="1725">
        <row r="7">
          <cell r="K7">
            <v>150</v>
          </cell>
        </row>
      </sheetData>
      <sheetData sheetId="1726">
        <row r="7">
          <cell r="K7">
            <v>150</v>
          </cell>
        </row>
      </sheetData>
      <sheetData sheetId="1727">
        <row r="7">
          <cell r="K7">
            <v>150</v>
          </cell>
        </row>
      </sheetData>
      <sheetData sheetId="1728">
        <row r="7">
          <cell r="K7">
            <v>150</v>
          </cell>
        </row>
      </sheetData>
      <sheetData sheetId="1729">
        <row r="7">
          <cell r="K7">
            <v>150</v>
          </cell>
        </row>
      </sheetData>
      <sheetData sheetId="1730">
        <row r="7">
          <cell r="K7">
            <v>150</v>
          </cell>
        </row>
      </sheetData>
      <sheetData sheetId="1731">
        <row r="7">
          <cell r="K7">
            <v>150</v>
          </cell>
        </row>
      </sheetData>
      <sheetData sheetId="1732">
        <row r="7">
          <cell r="K7">
            <v>150</v>
          </cell>
        </row>
      </sheetData>
      <sheetData sheetId="1733">
        <row r="7">
          <cell r="K7">
            <v>150</v>
          </cell>
        </row>
      </sheetData>
      <sheetData sheetId="1734">
        <row r="7">
          <cell r="K7">
            <v>150</v>
          </cell>
        </row>
      </sheetData>
      <sheetData sheetId="1735">
        <row r="7">
          <cell r="K7">
            <v>150</v>
          </cell>
        </row>
      </sheetData>
      <sheetData sheetId="1736">
        <row r="7">
          <cell r="K7">
            <v>150</v>
          </cell>
        </row>
      </sheetData>
      <sheetData sheetId="1737">
        <row r="7">
          <cell r="K7">
            <v>150</v>
          </cell>
        </row>
      </sheetData>
      <sheetData sheetId="1738">
        <row r="7">
          <cell r="K7">
            <v>150</v>
          </cell>
        </row>
      </sheetData>
      <sheetData sheetId="1739">
        <row r="7">
          <cell r="K7">
            <v>150</v>
          </cell>
        </row>
      </sheetData>
      <sheetData sheetId="1740">
        <row r="7">
          <cell r="K7">
            <v>150</v>
          </cell>
        </row>
      </sheetData>
      <sheetData sheetId="1741">
        <row r="7">
          <cell r="K7">
            <v>150</v>
          </cell>
        </row>
      </sheetData>
      <sheetData sheetId="1742">
        <row r="7">
          <cell r="K7">
            <v>150</v>
          </cell>
        </row>
      </sheetData>
      <sheetData sheetId="1743">
        <row r="7">
          <cell r="K7">
            <v>150</v>
          </cell>
        </row>
      </sheetData>
      <sheetData sheetId="1744">
        <row r="7">
          <cell r="K7">
            <v>150</v>
          </cell>
        </row>
      </sheetData>
      <sheetData sheetId="1745">
        <row r="7">
          <cell r="K7">
            <v>150</v>
          </cell>
        </row>
      </sheetData>
      <sheetData sheetId="1746">
        <row r="7">
          <cell r="K7">
            <v>150</v>
          </cell>
        </row>
      </sheetData>
      <sheetData sheetId="1747">
        <row r="7">
          <cell r="K7">
            <v>150</v>
          </cell>
        </row>
      </sheetData>
      <sheetData sheetId="1748">
        <row r="7">
          <cell r="K7">
            <v>150</v>
          </cell>
        </row>
      </sheetData>
      <sheetData sheetId="1749">
        <row r="7">
          <cell r="K7">
            <v>150</v>
          </cell>
        </row>
      </sheetData>
      <sheetData sheetId="1750">
        <row r="7">
          <cell r="K7">
            <v>150</v>
          </cell>
        </row>
      </sheetData>
      <sheetData sheetId="1751">
        <row r="7">
          <cell r="K7">
            <v>150</v>
          </cell>
        </row>
      </sheetData>
      <sheetData sheetId="1752">
        <row r="7">
          <cell r="K7">
            <v>150</v>
          </cell>
        </row>
      </sheetData>
      <sheetData sheetId="1753">
        <row r="7">
          <cell r="K7">
            <v>150</v>
          </cell>
        </row>
      </sheetData>
      <sheetData sheetId="1754">
        <row r="7">
          <cell r="K7">
            <v>150</v>
          </cell>
        </row>
      </sheetData>
      <sheetData sheetId="1755">
        <row r="7">
          <cell r="K7">
            <v>150</v>
          </cell>
        </row>
      </sheetData>
      <sheetData sheetId="1756">
        <row r="7">
          <cell r="K7">
            <v>150</v>
          </cell>
        </row>
      </sheetData>
      <sheetData sheetId="1757">
        <row r="7">
          <cell r="K7">
            <v>150</v>
          </cell>
        </row>
      </sheetData>
      <sheetData sheetId="1758">
        <row r="7">
          <cell r="K7">
            <v>150</v>
          </cell>
        </row>
      </sheetData>
      <sheetData sheetId="1759">
        <row r="7">
          <cell r="K7">
            <v>150</v>
          </cell>
        </row>
      </sheetData>
      <sheetData sheetId="1760">
        <row r="7">
          <cell r="K7">
            <v>150</v>
          </cell>
        </row>
      </sheetData>
      <sheetData sheetId="1761">
        <row r="7">
          <cell r="K7">
            <v>150</v>
          </cell>
        </row>
      </sheetData>
      <sheetData sheetId="1762">
        <row r="7">
          <cell r="K7">
            <v>150</v>
          </cell>
        </row>
      </sheetData>
      <sheetData sheetId="1763">
        <row r="7">
          <cell r="K7">
            <v>150</v>
          </cell>
        </row>
      </sheetData>
      <sheetData sheetId="1764">
        <row r="7">
          <cell r="K7">
            <v>150</v>
          </cell>
        </row>
      </sheetData>
      <sheetData sheetId="1765">
        <row r="7">
          <cell r="K7">
            <v>150</v>
          </cell>
        </row>
      </sheetData>
      <sheetData sheetId="1766">
        <row r="7">
          <cell r="K7">
            <v>150</v>
          </cell>
        </row>
      </sheetData>
      <sheetData sheetId="1767">
        <row r="7">
          <cell r="K7">
            <v>150</v>
          </cell>
        </row>
      </sheetData>
      <sheetData sheetId="1768">
        <row r="7">
          <cell r="K7">
            <v>150</v>
          </cell>
        </row>
      </sheetData>
      <sheetData sheetId="1769">
        <row r="7">
          <cell r="K7">
            <v>150</v>
          </cell>
        </row>
      </sheetData>
      <sheetData sheetId="1770">
        <row r="7">
          <cell r="K7">
            <v>150</v>
          </cell>
        </row>
      </sheetData>
      <sheetData sheetId="1771">
        <row r="7">
          <cell r="K7">
            <v>150</v>
          </cell>
        </row>
      </sheetData>
      <sheetData sheetId="1772">
        <row r="7">
          <cell r="K7">
            <v>150</v>
          </cell>
        </row>
      </sheetData>
      <sheetData sheetId="1773">
        <row r="7">
          <cell r="K7">
            <v>150</v>
          </cell>
        </row>
      </sheetData>
      <sheetData sheetId="1774">
        <row r="7">
          <cell r="K7">
            <v>150</v>
          </cell>
        </row>
      </sheetData>
      <sheetData sheetId="1775">
        <row r="7">
          <cell r="K7">
            <v>150</v>
          </cell>
        </row>
      </sheetData>
      <sheetData sheetId="1776">
        <row r="7">
          <cell r="K7">
            <v>150</v>
          </cell>
        </row>
      </sheetData>
      <sheetData sheetId="1777">
        <row r="7">
          <cell r="K7">
            <v>150</v>
          </cell>
        </row>
      </sheetData>
      <sheetData sheetId="1778">
        <row r="7">
          <cell r="K7">
            <v>150</v>
          </cell>
        </row>
      </sheetData>
      <sheetData sheetId="1779">
        <row r="7">
          <cell r="K7">
            <v>150</v>
          </cell>
        </row>
      </sheetData>
      <sheetData sheetId="1780">
        <row r="7">
          <cell r="K7">
            <v>150</v>
          </cell>
        </row>
      </sheetData>
      <sheetData sheetId="1781">
        <row r="7">
          <cell r="K7">
            <v>150</v>
          </cell>
        </row>
      </sheetData>
      <sheetData sheetId="1782">
        <row r="7">
          <cell r="K7">
            <v>150</v>
          </cell>
        </row>
      </sheetData>
      <sheetData sheetId="1783">
        <row r="7">
          <cell r="K7">
            <v>150</v>
          </cell>
        </row>
      </sheetData>
      <sheetData sheetId="1784">
        <row r="7">
          <cell r="K7">
            <v>150</v>
          </cell>
        </row>
      </sheetData>
      <sheetData sheetId="1785">
        <row r="7">
          <cell r="K7">
            <v>150</v>
          </cell>
        </row>
      </sheetData>
      <sheetData sheetId="1786">
        <row r="7">
          <cell r="K7">
            <v>150</v>
          </cell>
        </row>
      </sheetData>
      <sheetData sheetId="1787">
        <row r="7">
          <cell r="K7">
            <v>150</v>
          </cell>
        </row>
      </sheetData>
      <sheetData sheetId="1788">
        <row r="7">
          <cell r="K7">
            <v>150</v>
          </cell>
        </row>
      </sheetData>
      <sheetData sheetId="1789">
        <row r="7">
          <cell r="K7">
            <v>150</v>
          </cell>
        </row>
      </sheetData>
      <sheetData sheetId="1790">
        <row r="7">
          <cell r="K7">
            <v>150</v>
          </cell>
        </row>
      </sheetData>
      <sheetData sheetId="1791">
        <row r="7">
          <cell r="K7">
            <v>150</v>
          </cell>
        </row>
      </sheetData>
      <sheetData sheetId="1792">
        <row r="7">
          <cell r="K7">
            <v>150</v>
          </cell>
        </row>
      </sheetData>
      <sheetData sheetId="1793">
        <row r="7">
          <cell r="K7">
            <v>150</v>
          </cell>
        </row>
      </sheetData>
      <sheetData sheetId="1794">
        <row r="7">
          <cell r="K7">
            <v>150</v>
          </cell>
        </row>
      </sheetData>
      <sheetData sheetId="1795">
        <row r="7">
          <cell r="K7">
            <v>150</v>
          </cell>
        </row>
      </sheetData>
      <sheetData sheetId="1796">
        <row r="7">
          <cell r="K7">
            <v>150</v>
          </cell>
        </row>
      </sheetData>
      <sheetData sheetId="1797">
        <row r="7">
          <cell r="K7">
            <v>150</v>
          </cell>
        </row>
      </sheetData>
      <sheetData sheetId="1798">
        <row r="7">
          <cell r="K7">
            <v>150</v>
          </cell>
        </row>
      </sheetData>
      <sheetData sheetId="1799">
        <row r="7">
          <cell r="K7">
            <v>150</v>
          </cell>
        </row>
      </sheetData>
      <sheetData sheetId="1800">
        <row r="7">
          <cell r="K7">
            <v>150</v>
          </cell>
        </row>
      </sheetData>
      <sheetData sheetId="1801">
        <row r="7">
          <cell r="K7">
            <v>150</v>
          </cell>
        </row>
      </sheetData>
      <sheetData sheetId="1802">
        <row r="7">
          <cell r="K7">
            <v>150</v>
          </cell>
        </row>
      </sheetData>
      <sheetData sheetId="1803">
        <row r="7">
          <cell r="K7">
            <v>150</v>
          </cell>
        </row>
      </sheetData>
      <sheetData sheetId="1804">
        <row r="7">
          <cell r="K7">
            <v>150</v>
          </cell>
        </row>
      </sheetData>
      <sheetData sheetId="1805">
        <row r="7">
          <cell r="K7">
            <v>150</v>
          </cell>
        </row>
      </sheetData>
      <sheetData sheetId="1806">
        <row r="7">
          <cell r="K7">
            <v>150</v>
          </cell>
        </row>
      </sheetData>
      <sheetData sheetId="1807">
        <row r="7">
          <cell r="K7">
            <v>150</v>
          </cell>
        </row>
      </sheetData>
      <sheetData sheetId="1808">
        <row r="7">
          <cell r="K7">
            <v>150</v>
          </cell>
        </row>
      </sheetData>
      <sheetData sheetId="1809">
        <row r="7">
          <cell r="K7">
            <v>150</v>
          </cell>
        </row>
      </sheetData>
      <sheetData sheetId="1810">
        <row r="7">
          <cell r="K7">
            <v>150</v>
          </cell>
        </row>
      </sheetData>
      <sheetData sheetId="1811">
        <row r="7">
          <cell r="K7">
            <v>150</v>
          </cell>
        </row>
      </sheetData>
      <sheetData sheetId="1812">
        <row r="7">
          <cell r="K7">
            <v>150</v>
          </cell>
        </row>
      </sheetData>
      <sheetData sheetId="1813">
        <row r="7">
          <cell r="K7">
            <v>150</v>
          </cell>
        </row>
      </sheetData>
      <sheetData sheetId="1814">
        <row r="7">
          <cell r="K7">
            <v>150</v>
          </cell>
        </row>
      </sheetData>
      <sheetData sheetId="1815">
        <row r="7">
          <cell r="K7">
            <v>150</v>
          </cell>
        </row>
      </sheetData>
      <sheetData sheetId="1816">
        <row r="7">
          <cell r="K7">
            <v>150</v>
          </cell>
        </row>
      </sheetData>
      <sheetData sheetId="1817">
        <row r="7">
          <cell r="K7">
            <v>150</v>
          </cell>
        </row>
      </sheetData>
      <sheetData sheetId="1818">
        <row r="7">
          <cell r="K7">
            <v>150</v>
          </cell>
        </row>
      </sheetData>
      <sheetData sheetId="1819">
        <row r="7">
          <cell r="K7">
            <v>150</v>
          </cell>
        </row>
      </sheetData>
      <sheetData sheetId="1820">
        <row r="7">
          <cell r="K7">
            <v>150</v>
          </cell>
        </row>
      </sheetData>
      <sheetData sheetId="1821">
        <row r="7">
          <cell r="K7">
            <v>150</v>
          </cell>
        </row>
      </sheetData>
      <sheetData sheetId="1822">
        <row r="7">
          <cell r="K7">
            <v>150</v>
          </cell>
        </row>
      </sheetData>
      <sheetData sheetId="1823">
        <row r="7">
          <cell r="K7">
            <v>150</v>
          </cell>
        </row>
      </sheetData>
      <sheetData sheetId="1824">
        <row r="7">
          <cell r="K7">
            <v>150</v>
          </cell>
        </row>
      </sheetData>
      <sheetData sheetId="1825">
        <row r="7">
          <cell r="K7">
            <v>150</v>
          </cell>
        </row>
      </sheetData>
      <sheetData sheetId="1826">
        <row r="7">
          <cell r="K7">
            <v>150</v>
          </cell>
        </row>
      </sheetData>
      <sheetData sheetId="1827">
        <row r="7">
          <cell r="K7">
            <v>150</v>
          </cell>
        </row>
      </sheetData>
      <sheetData sheetId="1828">
        <row r="7">
          <cell r="K7">
            <v>150</v>
          </cell>
        </row>
      </sheetData>
      <sheetData sheetId="1829">
        <row r="7">
          <cell r="K7">
            <v>150</v>
          </cell>
        </row>
      </sheetData>
      <sheetData sheetId="1830">
        <row r="7">
          <cell r="K7">
            <v>150</v>
          </cell>
        </row>
      </sheetData>
      <sheetData sheetId="1831">
        <row r="7">
          <cell r="K7">
            <v>150</v>
          </cell>
        </row>
      </sheetData>
      <sheetData sheetId="1832">
        <row r="7">
          <cell r="K7">
            <v>150</v>
          </cell>
        </row>
      </sheetData>
      <sheetData sheetId="1833">
        <row r="7">
          <cell r="K7">
            <v>150</v>
          </cell>
        </row>
      </sheetData>
      <sheetData sheetId="1834">
        <row r="7">
          <cell r="K7">
            <v>150</v>
          </cell>
        </row>
      </sheetData>
      <sheetData sheetId="1835">
        <row r="7">
          <cell r="K7">
            <v>150</v>
          </cell>
        </row>
      </sheetData>
      <sheetData sheetId="1836">
        <row r="7">
          <cell r="K7">
            <v>150</v>
          </cell>
        </row>
      </sheetData>
      <sheetData sheetId="1837">
        <row r="7">
          <cell r="K7">
            <v>150</v>
          </cell>
        </row>
      </sheetData>
      <sheetData sheetId="1838">
        <row r="7">
          <cell r="K7">
            <v>150</v>
          </cell>
        </row>
      </sheetData>
      <sheetData sheetId="1839">
        <row r="7">
          <cell r="K7">
            <v>150</v>
          </cell>
        </row>
      </sheetData>
      <sheetData sheetId="1840">
        <row r="7">
          <cell r="K7">
            <v>150</v>
          </cell>
        </row>
      </sheetData>
      <sheetData sheetId="1841">
        <row r="7">
          <cell r="K7">
            <v>150</v>
          </cell>
        </row>
      </sheetData>
      <sheetData sheetId="1842">
        <row r="7">
          <cell r="K7">
            <v>150</v>
          </cell>
        </row>
      </sheetData>
      <sheetData sheetId="1843">
        <row r="7">
          <cell r="K7">
            <v>150</v>
          </cell>
        </row>
      </sheetData>
      <sheetData sheetId="1844">
        <row r="7">
          <cell r="K7">
            <v>150</v>
          </cell>
        </row>
      </sheetData>
      <sheetData sheetId="1845">
        <row r="7">
          <cell r="K7">
            <v>150</v>
          </cell>
        </row>
      </sheetData>
      <sheetData sheetId="1846">
        <row r="7">
          <cell r="K7">
            <v>150</v>
          </cell>
        </row>
      </sheetData>
      <sheetData sheetId="1847">
        <row r="7">
          <cell r="K7">
            <v>150</v>
          </cell>
        </row>
      </sheetData>
      <sheetData sheetId="1848">
        <row r="7">
          <cell r="K7">
            <v>150</v>
          </cell>
        </row>
      </sheetData>
      <sheetData sheetId="1849">
        <row r="2">
          <cell r="A2" t="str">
            <v>PROJECT</v>
          </cell>
        </row>
      </sheetData>
      <sheetData sheetId="1850">
        <row r="7">
          <cell r="K7">
            <v>150</v>
          </cell>
        </row>
      </sheetData>
      <sheetData sheetId="1851">
        <row r="7">
          <cell r="K7">
            <v>150</v>
          </cell>
        </row>
      </sheetData>
      <sheetData sheetId="1852">
        <row r="7">
          <cell r="K7">
            <v>150</v>
          </cell>
        </row>
      </sheetData>
      <sheetData sheetId="1853">
        <row r="7">
          <cell r="K7">
            <v>150</v>
          </cell>
        </row>
      </sheetData>
      <sheetData sheetId="1854">
        <row r="7">
          <cell r="K7">
            <v>150</v>
          </cell>
        </row>
      </sheetData>
      <sheetData sheetId="1855">
        <row r="7">
          <cell r="K7">
            <v>150</v>
          </cell>
        </row>
      </sheetData>
      <sheetData sheetId="1856">
        <row r="7">
          <cell r="K7">
            <v>150</v>
          </cell>
        </row>
      </sheetData>
      <sheetData sheetId="1857">
        <row r="2">
          <cell r="A2" t="str">
            <v>PROJECT</v>
          </cell>
        </row>
      </sheetData>
      <sheetData sheetId="1858">
        <row r="7">
          <cell r="K7">
            <v>150</v>
          </cell>
        </row>
      </sheetData>
      <sheetData sheetId="1859">
        <row r="7">
          <cell r="K7">
            <v>150</v>
          </cell>
        </row>
      </sheetData>
      <sheetData sheetId="1860">
        <row r="7">
          <cell r="K7">
            <v>150</v>
          </cell>
        </row>
      </sheetData>
      <sheetData sheetId="1861">
        <row r="7">
          <cell r="K7">
            <v>150</v>
          </cell>
        </row>
      </sheetData>
      <sheetData sheetId="1862">
        <row r="7">
          <cell r="K7">
            <v>150</v>
          </cell>
        </row>
      </sheetData>
      <sheetData sheetId="1863">
        <row r="7">
          <cell r="K7">
            <v>150</v>
          </cell>
        </row>
      </sheetData>
      <sheetData sheetId="1864">
        <row r="7">
          <cell r="K7">
            <v>150</v>
          </cell>
        </row>
      </sheetData>
      <sheetData sheetId="1865">
        <row r="7">
          <cell r="K7">
            <v>150</v>
          </cell>
        </row>
      </sheetData>
      <sheetData sheetId="1866">
        <row r="7">
          <cell r="K7">
            <v>150</v>
          </cell>
        </row>
      </sheetData>
      <sheetData sheetId="1867">
        <row r="7">
          <cell r="K7">
            <v>150</v>
          </cell>
        </row>
      </sheetData>
      <sheetData sheetId="1868">
        <row r="7">
          <cell r="K7">
            <v>150</v>
          </cell>
        </row>
      </sheetData>
      <sheetData sheetId="1869">
        <row r="7">
          <cell r="K7">
            <v>150</v>
          </cell>
        </row>
      </sheetData>
      <sheetData sheetId="1870">
        <row r="7">
          <cell r="K7">
            <v>150</v>
          </cell>
        </row>
      </sheetData>
      <sheetData sheetId="1871">
        <row r="7">
          <cell r="K7">
            <v>150</v>
          </cell>
        </row>
      </sheetData>
      <sheetData sheetId="1872">
        <row r="7">
          <cell r="K7">
            <v>150</v>
          </cell>
        </row>
      </sheetData>
      <sheetData sheetId="1873">
        <row r="7">
          <cell r="K7">
            <v>150</v>
          </cell>
        </row>
      </sheetData>
      <sheetData sheetId="1874">
        <row r="7">
          <cell r="K7">
            <v>150</v>
          </cell>
        </row>
      </sheetData>
      <sheetData sheetId="1875">
        <row r="7">
          <cell r="K7">
            <v>150</v>
          </cell>
        </row>
      </sheetData>
      <sheetData sheetId="1876">
        <row r="7">
          <cell r="K7">
            <v>150</v>
          </cell>
        </row>
      </sheetData>
      <sheetData sheetId="1877">
        <row r="7">
          <cell r="K7">
            <v>150</v>
          </cell>
        </row>
      </sheetData>
      <sheetData sheetId="1878">
        <row r="7">
          <cell r="K7">
            <v>150</v>
          </cell>
        </row>
      </sheetData>
      <sheetData sheetId="1879">
        <row r="7">
          <cell r="K7">
            <v>150</v>
          </cell>
        </row>
      </sheetData>
      <sheetData sheetId="1880">
        <row r="7">
          <cell r="K7">
            <v>150</v>
          </cell>
        </row>
      </sheetData>
      <sheetData sheetId="1881">
        <row r="7">
          <cell r="K7">
            <v>150</v>
          </cell>
        </row>
      </sheetData>
      <sheetData sheetId="1882">
        <row r="7">
          <cell r="K7">
            <v>150</v>
          </cell>
        </row>
      </sheetData>
      <sheetData sheetId="1883">
        <row r="7">
          <cell r="K7">
            <v>150</v>
          </cell>
        </row>
      </sheetData>
      <sheetData sheetId="1884">
        <row r="7">
          <cell r="K7">
            <v>150</v>
          </cell>
        </row>
      </sheetData>
      <sheetData sheetId="1885">
        <row r="7">
          <cell r="K7">
            <v>150</v>
          </cell>
        </row>
      </sheetData>
      <sheetData sheetId="1886">
        <row r="7">
          <cell r="K7">
            <v>150</v>
          </cell>
        </row>
      </sheetData>
      <sheetData sheetId="1887">
        <row r="7">
          <cell r="K7">
            <v>150</v>
          </cell>
        </row>
      </sheetData>
      <sheetData sheetId="1888">
        <row r="7">
          <cell r="K7">
            <v>150</v>
          </cell>
        </row>
      </sheetData>
      <sheetData sheetId="1889">
        <row r="7">
          <cell r="K7">
            <v>150</v>
          </cell>
        </row>
      </sheetData>
      <sheetData sheetId="1890">
        <row r="7">
          <cell r="K7">
            <v>150</v>
          </cell>
        </row>
      </sheetData>
      <sheetData sheetId="1891">
        <row r="7">
          <cell r="K7">
            <v>150</v>
          </cell>
        </row>
      </sheetData>
      <sheetData sheetId="1892">
        <row r="7">
          <cell r="K7">
            <v>150</v>
          </cell>
        </row>
      </sheetData>
      <sheetData sheetId="1893">
        <row r="7">
          <cell r="K7">
            <v>150</v>
          </cell>
        </row>
      </sheetData>
      <sheetData sheetId="1894">
        <row r="7">
          <cell r="K7">
            <v>150</v>
          </cell>
        </row>
      </sheetData>
      <sheetData sheetId="1895">
        <row r="7">
          <cell r="K7">
            <v>150</v>
          </cell>
        </row>
      </sheetData>
      <sheetData sheetId="1896">
        <row r="7">
          <cell r="K7">
            <v>150</v>
          </cell>
        </row>
      </sheetData>
      <sheetData sheetId="1897">
        <row r="7">
          <cell r="K7">
            <v>150</v>
          </cell>
        </row>
      </sheetData>
      <sheetData sheetId="1898">
        <row r="7">
          <cell r="K7">
            <v>150</v>
          </cell>
        </row>
      </sheetData>
      <sheetData sheetId="1899">
        <row r="7">
          <cell r="K7">
            <v>150</v>
          </cell>
        </row>
      </sheetData>
      <sheetData sheetId="1900">
        <row r="7">
          <cell r="K7">
            <v>150</v>
          </cell>
        </row>
      </sheetData>
      <sheetData sheetId="1901">
        <row r="7">
          <cell r="K7">
            <v>150</v>
          </cell>
        </row>
      </sheetData>
      <sheetData sheetId="1902">
        <row r="7">
          <cell r="K7">
            <v>150</v>
          </cell>
        </row>
      </sheetData>
      <sheetData sheetId="1903">
        <row r="7">
          <cell r="K7">
            <v>150</v>
          </cell>
        </row>
      </sheetData>
      <sheetData sheetId="1904">
        <row r="7">
          <cell r="K7">
            <v>150</v>
          </cell>
        </row>
      </sheetData>
      <sheetData sheetId="1905">
        <row r="7">
          <cell r="K7">
            <v>150</v>
          </cell>
        </row>
      </sheetData>
      <sheetData sheetId="1906">
        <row r="7">
          <cell r="K7">
            <v>150</v>
          </cell>
        </row>
      </sheetData>
      <sheetData sheetId="1907">
        <row r="7">
          <cell r="K7">
            <v>150</v>
          </cell>
        </row>
      </sheetData>
      <sheetData sheetId="1908">
        <row r="7">
          <cell r="K7">
            <v>150</v>
          </cell>
        </row>
      </sheetData>
      <sheetData sheetId="1909">
        <row r="7">
          <cell r="K7">
            <v>150</v>
          </cell>
        </row>
      </sheetData>
      <sheetData sheetId="1910">
        <row r="7">
          <cell r="K7">
            <v>150</v>
          </cell>
        </row>
      </sheetData>
      <sheetData sheetId="1911">
        <row r="7">
          <cell r="K7">
            <v>150</v>
          </cell>
        </row>
      </sheetData>
      <sheetData sheetId="1912">
        <row r="7">
          <cell r="K7">
            <v>150</v>
          </cell>
        </row>
      </sheetData>
      <sheetData sheetId="1913">
        <row r="7">
          <cell r="K7">
            <v>150</v>
          </cell>
        </row>
      </sheetData>
      <sheetData sheetId="1914">
        <row r="7">
          <cell r="K7">
            <v>150</v>
          </cell>
        </row>
      </sheetData>
      <sheetData sheetId="1915">
        <row r="7">
          <cell r="K7">
            <v>150</v>
          </cell>
        </row>
      </sheetData>
      <sheetData sheetId="1916">
        <row r="7">
          <cell r="K7">
            <v>150</v>
          </cell>
        </row>
      </sheetData>
      <sheetData sheetId="1917">
        <row r="7">
          <cell r="K7">
            <v>150</v>
          </cell>
        </row>
      </sheetData>
      <sheetData sheetId="1918">
        <row r="7">
          <cell r="K7">
            <v>150</v>
          </cell>
        </row>
      </sheetData>
      <sheetData sheetId="1919">
        <row r="7">
          <cell r="K7">
            <v>150</v>
          </cell>
        </row>
      </sheetData>
      <sheetData sheetId="1920">
        <row r="7">
          <cell r="K7">
            <v>150</v>
          </cell>
        </row>
      </sheetData>
      <sheetData sheetId="1921">
        <row r="7">
          <cell r="K7">
            <v>150</v>
          </cell>
        </row>
      </sheetData>
      <sheetData sheetId="1922">
        <row r="7">
          <cell r="K7">
            <v>150</v>
          </cell>
        </row>
      </sheetData>
      <sheetData sheetId="1923">
        <row r="7">
          <cell r="K7">
            <v>150</v>
          </cell>
        </row>
      </sheetData>
      <sheetData sheetId="1924">
        <row r="7">
          <cell r="K7">
            <v>150</v>
          </cell>
        </row>
      </sheetData>
      <sheetData sheetId="1925">
        <row r="7">
          <cell r="K7">
            <v>150</v>
          </cell>
        </row>
      </sheetData>
      <sheetData sheetId="1926">
        <row r="7">
          <cell r="K7">
            <v>150</v>
          </cell>
        </row>
      </sheetData>
      <sheetData sheetId="1927">
        <row r="7">
          <cell r="K7">
            <v>150</v>
          </cell>
        </row>
      </sheetData>
      <sheetData sheetId="1928">
        <row r="7">
          <cell r="K7">
            <v>150</v>
          </cell>
        </row>
      </sheetData>
      <sheetData sheetId="1929">
        <row r="7">
          <cell r="K7">
            <v>150</v>
          </cell>
        </row>
      </sheetData>
      <sheetData sheetId="1930">
        <row r="7">
          <cell r="K7">
            <v>150</v>
          </cell>
        </row>
      </sheetData>
      <sheetData sheetId="1931">
        <row r="7">
          <cell r="K7">
            <v>150</v>
          </cell>
        </row>
      </sheetData>
      <sheetData sheetId="1932">
        <row r="7">
          <cell r="K7">
            <v>150</v>
          </cell>
        </row>
      </sheetData>
      <sheetData sheetId="1933">
        <row r="7">
          <cell r="K7">
            <v>150</v>
          </cell>
        </row>
      </sheetData>
      <sheetData sheetId="1934">
        <row r="7">
          <cell r="K7">
            <v>150</v>
          </cell>
        </row>
      </sheetData>
      <sheetData sheetId="1935">
        <row r="7">
          <cell r="K7">
            <v>150</v>
          </cell>
        </row>
      </sheetData>
      <sheetData sheetId="1936">
        <row r="7">
          <cell r="K7">
            <v>150</v>
          </cell>
        </row>
      </sheetData>
      <sheetData sheetId="1937">
        <row r="7">
          <cell r="K7">
            <v>150</v>
          </cell>
        </row>
      </sheetData>
      <sheetData sheetId="1938">
        <row r="7">
          <cell r="K7">
            <v>150</v>
          </cell>
        </row>
      </sheetData>
      <sheetData sheetId="1939">
        <row r="7">
          <cell r="K7">
            <v>150</v>
          </cell>
        </row>
      </sheetData>
      <sheetData sheetId="1940">
        <row r="7">
          <cell r="K7">
            <v>150</v>
          </cell>
        </row>
      </sheetData>
      <sheetData sheetId="1941">
        <row r="7">
          <cell r="K7">
            <v>150</v>
          </cell>
        </row>
      </sheetData>
      <sheetData sheetId="1942">
        <row r="7">
          <cell r="K7">
            <v>150</v>
          </cell>
        </row>
      </sheetData>
      <sheetData sheetId="1943">
        <row r="7">
          <cell r="K7">
            <v>150</v>
          </cell>
        </row>
      </sheetData>
      <sheetData sheetId="1944">
        <row r="7">
          <cell r="K7">
            <v>150</v>
          </cell>
        </row>
      </sheetData>
      <sheetData sheetId="1945">
        <row r="7">
          <cell r="K7">
            <v>150</v>
          </cell>
        </row>
      </sheetData>
      <sheetData sheetId="1946">
        <row r="7">
          <cell r="K7">
            <v>150</v>
          </cell>
        </row>
      </sheetData>
      <sheetData sheetId="1947">
        <row r="7">
          <cell r="K7">
            <v>150</v>
          </cell>
        </row>
      </sheetData>
      <sheetData sheetId="1948">
        <row r="7">
          <cell r="K7">
            <v>150</v>
          </cell>
        </row>
      </sheetData>
      <sheetData sheetId="1949">
        <row r="7">
          <cell r="K7">
            <v>150</v>
          </cell>
        </row>
      </sheetData>
      <sheetData sheetId="1950">
        <row r="7">
          <cell r="K7">
            <v>150</v>
          </cell>
        </row>
      </sheetData>
      <sheetData sheetId="1951">
        <row r="7">
          <cell r="K7">
            <v>150</v>
          </cell>
        </row>
      </sheetData>
      <sheetData sheetId="1952">
        <row r="7">
          <cell r="K7">
            <v>150</v>
          </cell>
        </row>
      </sheetData>
      <sheetData sheetId="1953">
        <row r="7">
          <cell r="K7">
            <v>150</v>
          </cell>
        </row>
      </sheetData>
      <sheetData sheetId="1954">
        <row r="7">
          <cell r="K7">
            <v>150</v>
          </cell>
        </row>
      </sheetData>
      <sheetData sheetId="1955">
        <row r="7">
          <cell r="K7">
            <v>150</v>
          </cell>
        </row>
      </sheetData>
      <sheetData sheetId="1956">
        <row r="7">
          <cell r="K7">
            <v>150</v>
          </cell>
        </row>
      </sheetData>
      <sheetData sheetId="1957">
        <row r="7">
          <cell r="K7">
            <v>150</v>
          </cell>
        </row>
      </sheetData>
      <sheetData sheetId="1958">
        <row r="7">
          <cell r="K7">
            <v>150</v>
          </cell>
        </row>
      </sheetData>
      <sheetData sheetId="1959">
        <row r="7">
          <cell r="K7">
            <v>150</v>
          </cell>
        </row>
      </sheetData>
      <sheetData sheetId="1960">
        <row r="7">
          <cell r="K7">
            <v>150</v>
          </cell>
        </row>
      </sheetData>
      <sheetData sheetId="1961">
        <row r="7">
          <cell r="K7">
            <v>150</v>
          </cell>
        </row>
      </sheetData>
      <sheetData sheetId="1962">
        <row r="7">
          <cell r="K7">
            <v>150</v>
          </cell>
        </row>
      </sheetData>
      <sheetData sheetId="1963">
        <row r="7">
          <cell r="K7">
            <v>150</v>
          </cell>
        </row>
      </sheetData>
      <sheetData sheetId="1964">
        <row r="7">
          <cell r="K7">
            <v>150</v>
          </cell>
        </row>
      </sheetData>
      <sheetData sheetId="1965">
        <row r="7">
          <cell r="K7">
            <v>150</v>
          </cell>
        </row>
      </sheetData>
      <sheetData sheetId="1966">
        <row r="7">
          <cell r="K7">
            <v>150</v>
          </cell>
        </row>
      </sheetData>
      <sheetData sheetId="1967">
        <row r="7">
          <cell r="K7">
            <v>150</v>
          </cell>
        </row>
      </sheetData>
      <sheetData sheetId="1968">
        <row r="7">
          <cell r="K7">
            <v>150</v>
          </cell>
        </row>
      </sheetData>
      <sheetData sheetId="1969">
        <row r="7">
          <cell r="K7">
            <v>150</v>
          </cell>
        </row>
      </sheetData>
      <sheetData sheetId="1970">
        <row r="7">
          <cell r="K7">
            <v>150</v>
          </cell>
        </row>
      </sheetData>
      <sheetData sheetId="1971">
        <row r="7">
          <cell r="K7">
            <v>150</v>
          </cell>
        </row>
      </sheetData>
      <sheetData sheetId="1972">
        <row r="7">
          <cell r="K7">
            <v>150</v>
          </cell>
        </row>
      </sheetData>
      <sheetData sheetId="1973">
        <row r="7">
          <cell r="K7">
            <v>150</v>
          </cell>
        </row>
      </sheetData>
      <sheetData sheetId="1974">
        <row r="7">
          <cell r="K7">
            <v>150</v>
          </cell>
        </row>
      </sheetData>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row r="7">
          <cell r="K7">
            <v>150</v>
          </cell>
        </row>
      </sheetData>
      <sheetData sheetId="1988">
        <row r="7">
          <cell r="K7">
            <v>150</v>
          </cell>
        </row>
      </sheetData>
      <sheetData sheetId="1989">
        <row r="7">
          <cell r="K7">
            <v>150</v>
          </cell>
        </row>
      </sheetData>
      <sheetData sheetId="1990">
        <row r="7">
          <cell r="K7">
            <v>150</v>
          </cell>
        </row>
      </sheetData>
      <sheetData sheetId="1991">
        <row r="7">
          <cell r="K7">
            <v>150</v>
          </cell>
        </row>
      </sheetData>
      <sheetData sheetId="1992">
        <row r="7">
          <cell r="K7">
            <v>150</v>
          </cell>
        </row>
      </sheetData>
      <sheetData sheetId="1993">
        <row r="7">
          <cell r="K7">
            <v>150</v>
          </cell>
        </row>
      </sheetData>
      <sheetData sheetId="1994"/>
      <sheetData sheetId="1995">
        <row r="7">
          <cell r="K7">
            <v>150</v>
          </cell>
        </row>
      </sheetData>
      <sheetData sheetId="1996">
        <row r="7">
          <cell r="K7">
            <v>150</v>
          </cell>
        </row>
      </sheetData>
      <sheetData sheetId="1997">
        <row r="7">
          <cell r="K7">
            <v>150</v>
          </cell>
        </row>
      </sheetData>
      <sheetData sheetId="1998">
        <row r="7">
          <cell r="K7">
            <v>150</v>
          </cell>
        </row>
      </sheetData>
      <sheetData sheetId="1999">
        <row r="7">
          <cell r="K7">
            <v>150</v>
          </cell>
        </row>
      </sheetData>
      <sheetData sheetId="2000">
        <row r="7">
          <cell r="K7">
            <v>150</v>
          </cell>
        </row>
      </sheetData>
      <sheetData sheetId="2001">
        <row r="7">
          <cell r="K7">
            <v>150</v>
          </cell>
        </row>
      </sheetData>
      <sheetData sheetId="2002">
        <row r="7">
          <cell r="K7">
            <v>150</v>
          </cell>
        </row>
      </sheetData>
      <sheetData sheetId="2003">
        <row r="7">
          <cell r="K7">
            <v>150</v>
          </cell>
        </row>
      </sheetData>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row r="7">
          <cell r="K7">
            <v>150</v>
          </cell>
        </row>
      </sheetData>
      <sheetData sheetId="2035"/>
      <sheetData sheetId="2036"/>
      <sheetData sheetId="2037"/>
      <sheetData sheetId="2038"/>
      <sheetData sheetId="2039"/>
      <sheetData sheetId="2040">
        <row r="7">
          <cell r="K7">
            <v>150</v>
          </cell>
        </row>
      </sheetData>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row r="7">
          <cell r="K7">
            <v>150</v>
          </cell>
        </row>
      </sheetData>
      <sheetData sheetId="2067">
        <row r="7">
          <cell r="K7">
            <v>150</v>
          </cell>
        </row>
      </sheetData>
      <sheetData sheetId="2068">
        <row r="7">
          <cell r="K7">
            <v>150</v>
          </cell>
        </row>
      </sheetData>
      <sheetData sheetId="2069">
        <row r="7">
          <cell r="K7">
            <v>150</v>
          </cell>
        </row>
      </sheetData>
      <sheetData sheetId="2070">
        <row r="7">
          <cell r="K7">
            <v>150</v>
          </cell>
        </row>
      </sheetData>
      <sheetData sheetId="2071">
        <row r="7">
          <cell r="K7">
            <v>150</v>
          </cell>
        </row>
      </sheetData>
      <sheetData sheetId="2072">
        <row r="7">
          <cell r="K7">
            <v>150</v>
          </cell>
        </row>
      </sheetData>
      <sheetData sheetId="2073">
        <row r="7">
          <cell r="K7">
            <v>150</v>
          </cell>
        </row>
      </sheetData>
      <sheetData sheetId="2074">
        <row r="7">
          <cell r="K7">
            <v>150</v>
          </cell>
        </row>
      </sheetData>
      <sheetData sheetId="2075">
        <row r="7">
          <cell r="K7">
            <v>150</v>
          </cell>
        </row>
      </sheetData>
      <sheetData sheetId="2076">
        <row r="7">
          <cell r="K7">
            <v>150</v>
          </cell>
        </row>
      </sheetData>
      <sheetData sheetId="2077">
        <row r="7">
          <cell r="K7">
            <v>150</v>
          </cell>
        </row>
      </sheetData>
      <sheetData sheetId="2078">
        <row r="7">
          <cell r="K7">
            <v>150</v>
          </cell>
        </row>
      </sheetData>
      <sheetData sheetId="2079">
        <row r="7">
          <cell r="K7">
            <v>150</v>
          </cell>
        </row>
      </sheetData>
      <sheetData sheetId="2080">
        <row r="7">
          <cell r="K7">
            <v>150</v>
          </cell>
        </row>
      </sheetData>
      <sheetData sheetId="2081">
        <row r="7">
          <cell r="K7">
            <v>150</v>
          </cell>
        </row>
      </sheetData>
      <sheetData sheetId="2082">
        <row r="7">
          <cell r="K7">
            <v>150</v>
          </cell>
        </row>
      </sheetData>
      <sheetData sheetId="2083">
        <row r="7">
          <cell r="K7">
            <v>150</v>
          </cell>
        </row>
      </sheetData>
      <sheetData sheetId="2084">
        <row r="7">
          <cell r="K7">
            <v>150</v>
          </cell>
        </row>
      </sheetData>
      <sheetData sheetId="2085">
        <row r="7">
          <cell r="K7">
            <v>150</v>
          </cell>
        </row>
      </sheetData>
      <sheetData sheetId="2086">
        <row r="7">
          <cell r="K7">
            <v>150</v>
          </cell>
        </row>
      </sheetData>
      <sheetData sheetId="2087">
        <row r="7">
          <cell r="K7">
            <v>150</v>
          </cell>
        </row>
      </sheetData>
      <sheetData sheetId="2088">
        <row r="7">
          <cell r="K7">
            <v>150</v>
          </cell>
        </row>
      </sheetData>
      <sheetData sheetId="2089">
        <row r="7">
          <cell r="K7">
            <v>150</v>
          </cell>
        </row>
      </sheetData>
      <sheetData sheetId="2090">
        <row r="7">
          <cell r="K7">
            <v>150</v>
          </cell>
        </row>
      </sheetData>
      <sheetData sheetId="2091">
        <row r="7">
          <cell r="K7">
            <v>150</v>
          </cell>
        </row>
      </sheetData>
      <sheetData sheetId="2092">
        <row r="7">
          <cell r="K7">
            <v>150</v>
          </cell>
        </row>
      </sheetData>
      <sheetData sheetId="2093">
        <row r="7">
          <cell r="K7">
            <v>150</v>
          </cell>
        </row>
      </sheetData>
      <sheetData sheetId="2094">
        <row r="7">
          <cell r="K7">
            <v>150</v>
          </cell>
        </row>
      </sheetData>
      <sheetData sheetId="2095">
        <row r="7">
          <cell r="K7">
            <v>150</v>
          </cell>
        </row>
      </sheetData>
      <sheetData sheetId="2096">
        <row r="7">
          <cell r="K7">
            <v>150</v>
          </cell>
        </row>
      </sheetData>
      <sheetData sheetId="2097">
        <row r="7">
          <cell r="K7">
            <v>150</v>
          </cell>
        </row>
      </sheetData>
      <sheetData sheetId="2098">
        <row r="7">
          <cell r="K7">
            <v>150</v>
          </cell>
        </row>
      </sheetData>
      <sheetData sheetId="2099">
        <row r="7">
          <cell r="K7">
            <v>150</v>
          </cell>
        </row>
      </sheetData>
      <sheetData sheetId="2100">
        <row r="7">
          <cell r="K7">
            <v>150</v>
          </cell>
        </row>
      </sheetData>
      <sheetData sheetId="2101">
        <row r="7">
          <cell r="K7">
            <v>150</v>
          </cell>
        </row>
      </sheetData>
      <sheetData sheetId="2102">
        <row r="7">
          <cell r="K7">
            <v>150</v>
          </cell>
        </row>
      </sheetData>
      <sheetData sheetId="2103">
        <row r="7">
          <cell r="K7">
            <v>150</v>
          </cell>
        </row>
      </sheetData>
      <sheetData sheetId="2104">
        <row r="7">
          <cell r="K7">
            <v>150</v>
          </cell>
        </row>
      </sheetData>
      <sheetData sheetId="2105">
        <row r="7">
          <cell r="K7">
            <v>150</v>
          </cell>
        </row>
      </sheetData>
      <sheetData sheetId="2106">
        <row r="7">
          <cell r="K7">
            <v>150</v>
          </cell>
        </row>
      </sheetData>
      <sheetData sheetId="2107">
        <row r="7">
          <cell r="K7">
            <v>150</v>
          </cell>
        </row>
      </sheetData>
      <sheetData sheetId="2108">
        <row r="7">
          <cell r="K7">
            <v>150</v>
          </cell>
        </row>
      </sheetData>
      <sheetData sheetId="2109">
        <row r="7">
          <cell r="K7">
            <v>150</v>
          </cell>
        </row>
      </sheetData>
      <sheetData sheetId="2110">
        <row r="7">
          <cell r="K7">
            <v>150</v>
          </cell>
        </row>
      </sheetData>
      <sheetData sheetId="2111">
        <row r="7">
          <cell r="K7">
            <v>150</v>
          </cell>
        </row>
      </sheetData>
      <sheetData sheetId="2112">
        <row r="7">
          <cell r="K7">
            <v>150</v>
          </cell>
        </row>
      </sheetData>
      <sheetData sheetId="2113">
        <row r="7">
          <cell r="K7">
            <v>150</v>
          </cell>
        </row>
      </sheetData>
      <sheetData sheetId="2114">
        <row r="7">
          <cell r="K7">
            <v>150</v>
          </cell>
        </row>
      </sheetData>
      <sheetData sheetId="2115">
        <row r="7">
          <cell r="K7">
            <v>150</v>
          </cell>
        </row>
      </sheetData>
      <sheetData sheetId="2116">
        <row r="7">
          <cell r="K7">
            <v>150</v>
          </cell>
        </row>
      </sheetData>
      <sheetData sheetId="2117">
        <row r="7">
          <cell r="K7">
            <v>150</v>
          </cell>
        </row>
      </sheetData>
      <sheetData sheetId="2118">
        <row r="7">
          <cell r="K7">
            <v>150</v>
          </cell>
        </row>
      </sheetData>
      <sheetData sheetId="2119">
        <row r="7">
          <cell r="K7">
            <v>150</v>
          </cell>
        </row>
      </sheetData>
      <sheetData sheetId="2120">
        <row r="7">
          <cell r="K7">
            <v>150</v>
          </cell>
        </row>
      </sheetData>
      <sheetData sheetId="2121">
        <row r="7">
          <cell r="K7">
            <v>150</v>
          </cell>
        </row>
      </sheetData>
      <sheetData sheetId="2122">
        <row r="7">
          <cell r="K7">
            <v>150</v>
          </cell>
        </row>
      </sheetData>
      <sheetData sheetId="2123">
        <row r="7">
          <cell r="K7">
            <v>150</v>
          </cell>
        </row>
      </sheetData>
      <sheetData sheetId="2124">
        <row r="7">
          <cell r="K7">
            <v>150</v>
          </cell>
        </row>
      </sheetData>
      <sheetData sheetId="2125">
        <row r="7">
          <cell r="K7">
            <v>150</v>
          </cell>
        </row>
      </sheetData>
      <sheetData sheetId="2126">
        <row r="7">
          <cell r="K7">
            <v>150</v>
          </cell>
        </row>
      </sheetData>
      <sheetData sheetId="2127">
        <row r="7">
          <cell r="K7">
            <v>150</v>
          </cell>
        </row>
      </sheetData>
      <sheetData sheetId="2128">
        <row r="7">
          <cell r="K7">
            <v>150</v>
          </cell>
        </row>
      </sheetData>
      <sheetData sheetId="2129">
        <row r="7">
          <cell r="K7">
            <v>150</v>
          </cell>
        </row>
      </sheetData>
      <sheetData sheetId="2130">
        <row r="7">
          <cell r="K7">
            <v>150</v>
          </cell>
        </row>
      </sheetData>
      <sheetData sheetId="2131">
        <row r="7">
          <cell r="K7">
            <v>150</v>
          </cell>
        </row>
      </sheetData>
      <sheetData sheetId="2132">
        <row r="7">
          <cell r="K7">
            <v>150</v>
          </cell>
        </row>
      </sheetData>
      <sheetData sheetId="2133">
        <row r="7">
          <cell r="K7">
            <v>150</v>
          </cell>
        </row>
      </sheetData>
      <sheetData sheetId="2134">
        <row r="7">
          <cell r="K7">
            <v>150</v>
          </cell>
        </row>
      </sheetData>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row r="7">
          <cell r="K7">
            <v>150</v>
          </cell>
        </row>
      </sheetData>
      <sheetData sheetId="2190">
        <row r="7">
          <cell r="K7">
            <v>150</v>
          </cell>
        </row>
      </sheetData>
      <sheetData sheetId="2191">
        <row r="7">
          <cell r="K7">
            <v>150</v>
          </cell>
        </row>
      </sheetData>
      <sheetData sheetId="2192">
        <row r="7">
          <cell r="K7">
            <v>150</v>
          </cell>
        </row>
      </sheetData>
      <sheetData sheetId="2193">
        <row r="7">
          <cell r="K7">
            <v>150</v>
          </cell>
        </row>
      </sheetData>
      <sheetData sheetId="2194">
        <row r="7">
          <cell r="K7">
            <v>150</v>
          </cell>
        </row>
      </sheetData>
      <sheetData sheetId="2195">
        <row r="7">
          <cell r="K7">
            <v>150</v>
          </cell>
        </row>
      </sheetData>
      <sheetData sheetId="2196">
        <row r="7">
          <cell r="K7">
            <v>150</v>
          </cell>
        </row>
      </sheetData>
      <sheetData sheetId="2197">
        <row r="7">
          <cell r="K7">
            <v>150</v>
          </cell>
        </row>
      </sheetData>
      <sheetData sheetId="2198">
        <row r="7">
          <cell r="K7">
            <v>150</v>
          </cell>
        </row>
      </sheetData>
      <sheetData sheetId="2199">
        <row r="7">
          <cell r="K7">
            <v>150</v>
          </cell>
        </row>
      </sheetData>
      <sheetData sheetId="2200">
        <row r="7">
          <cell r="K7">
            <v>150</v>
          </cell>
        </row>
      </sheetData>
      <sheetData sheetId="2201">
        <row r="7">
          <cell r="K7">
            <v>150</v>
          </cell>
        </row>
      </sheetData>
      <sheetData sheetId="2202">
        <row r="7">
          <cell r="K7">
            <v>150</v>
          </cell>
        </row>
      </sheetData>
      <sheetData sheetId="2203">
        <row r="7">
          <cell r="K7">
            <v>150</v>
          </cell>
        </row>
      </sheetData>
      <sheetData sheetId="2204">
        <row r="7">
          <cell r="K7">
            <v>150</v>
          </cell>
        </row>
      </sheetData>
      <sheetData sheetId="2205">
        <row r="7">
          <cell r="K7">
            <v>150</v>
          </cell>
        </row>
      </sheetData>
      <sheetData sheetId="2206">
        <row r="7">
          <cell r="K7">
            <v>150</v>
          </cell>
        </row>
      </sheetData>
      <sheetData sheetId="2207">
        <row r="7">
          <cell r="K7">
            <v>150</v>
          </cell>
        </row>
      </sheetData>
      <sheetData sheetId="2208">
        <row r="7">
          <cell r="K7">
            <v>150</v>
          </cell>
        </row>
      </sheetData>
      <sheetData sheetId="2209">
        <row r="7">
          <cell r="K7">
            <v>150</v>
          </cell>
        </row>
      </sheetData>
      <sheetData sheetId="2210">
        <row r="7">
          <cell r="K7">
            <v>150</v>
          </cell>
        </row>
      </sheetData>
      <sheetData sheetId="2211">
        <row r="7">
          <cell r="K7">
            <v>150</v>
          </cell>
        </row>
      </sheetData>
      <sheetData sheetId="2212">
        <row r="7">
          <cell r="K7">
            <v>150</v>
          </cell>
        </row>
      </sheetData>
      <sheetData sheetId="2213">
        <row r="7">
          <cell r="K7">
            <v>150</v>
          </cell>
        </row>
      </sheetData>
      <sheetData sheetId="2214">
        <row r="7">
          <cell r="K7">
            <v>150</v>
          </cell>
        </row>
      </sheetData>
      <sheetData sheetId="2215">
        <row r="7">
          <cell r="K7">
            <v>150</v>
          </cell>
        </row>
      </sheetData>
      <sheetData sheetId="2216">
        <row r="7">
          <cell r="K7">
            <v>150</v>
          </cell>
        </row>
      </sheetData>
      <sheetData sheetId="2217">
        <row r="7">
          <cell r="K7">
            <v>150</v>
          </cell>
        </row>
      </sheetData>
      <sheetData sheetId="2218">
        <row r="7">
          <cell r="K7">
            <v>150</v>
          </cell>
        </row>
      </sheetData>
      <sheetData sheetId="2219">
        <row r="7">
          <cell r="K7">
            <v>150</v>
          </cell>
        </row>
      </sheetData>
      <sheetData sheetId="2220">
        <row r="7">
          <cell r="K7">
            <v>150</v>
          </cell>
        </row>
      </sheetData>
      <sheetData sheetId="2221">
        <row r="7">
          <cell r="K7">
            <v>150</v>
          </cell>
        </row>
      </sheetData>
      <sheetData sheetId="2222">
        <row r="7">
          <cell r="K7">
            <v>150</v>
          </cell>
        </row>
      </sheetData>
      <sheetData sheetId="2223">
        <row r="7">
          <cell r="K7">
            <v>150</v>
          </cell>
        </row>
      </sheetData>
      <sheetData sheetId="2224">
        <row r="7">
          <cell r="K7">
            <v>150</v>
          </cell>
        </row>
      </sheetData>
      <sheetData sheetId="2225">
        <row r="7">
          <cell r="K7">
            <v>150</v>
          </cell>
        </row>
      </sheetData>
      <sheetData sheetId="2226">
        <row r="7">
          <cell r="K7">
            <v>150</v>
          </cell>
        </row>
      </sheetData>
      <sheetData sheetId="2227">
        <row r="7">
          <cell r="K7">
            <v>150</v>
          </cell>
        </row>
      </sheetData>
      <sheetData sheetId="2228">
        <row r="7">
          <cell r="K7">
            <v>150</v>
          </cell>
        </row>
      </sheetData>
      <sheetData sheetId="2229">
        <row r="7">
          <cell r="K7">
            <v>150</v>
          </cell>
        </row>
      </sheetData>
      <sheetData sheetId="2230">
        <row r="7">
          <cell r="K7">
            <v>150</v>
          </cell>
        </row>
      </sheetData>
      <sheetData sheetId="2231">
        <row r="7">
          <cell r="K7">
            <v>150</v>
          </cell>
        </row>
      </sheetData>
      <sheetData sheetId="2232">
        <row r="7">
          <cell r="K7">
            <v>150</v>
          </cell>
        </row>
      </sheetData>
      <sheetData sheetId="2233">
        <row r="7">
          <cell r="K7">
            <v>150</v>
          </cell>
        </row>
      </sheetData>
      <sheetData sheetId="2234">
        <row r="7">
          <cell r="K7">
            <v>150</v>
          </cell>
        </row>
      </sheetData>
      <sheetData sheetId="2235">
        <row r="7">
          <cell r="K7">
            <v>150</v>
          </cell>
        </row>
      </sheetData>
      <sheetData sheetId="2236">
        <row r="7">
          <cell r="K7">
            <v>150</v>
          </cell>
        </row>
      </sheetData>
      <sheetData sheetId="2237">
        <row r="7">
          <cell r="K7">
            <v>150</v>
          </cell>
        </row>
      </sheetData>
      <sheetData sheetId="2238">
        <row r="7">
          <cell r="K7">
            <v>150</v>
          </cell>
        </row>
      </sheetData>
      <sheetData sheetId="2239">
        <row r="7">
          <cell r="K7">
            <v>150</v>
          </cell>
        </row>
      </sheetData>
      <sheetData sheetId="2240">
        <row r="7">
          <cell r="K7">
            <v>150</v>
          </cell>
        </row>
      </sheetData>
      <sheetData sheetId="2241">
        <row r="7">
          <cell r="K7">
            <v>150</v>
          </cell>
        </row>
      </sheetData>
      <sheetData sheetId="2242">
        <row r="7">
          <cell r="K7">
            <v>150</v>
          </cell>
        </row>
      </sheetData>
      <sheetData sheetId="2243">
        <row r="7">
          <cell r="K7">
            <v>150</v>
          </cell>
        </row>
      </sheetData>
      <sheetData sheetId="2244">
        <row r="7">
          <cell r="K7">
            <v>150</v>
          </cell>
        </row>
      </sheetData>
      <sheetData sheetId="2245">
        <row r="7">
          <cell r="K7">
            <v>150</v>
          </cell>
        </row>
      </sheetData>
      <sheetData sheetId="2246">
        <row r="7">
          <cell r="K7">
            <v>150</v>
          </cell>
        </row>
      </sheetData>
      <sheetData sheetId="2247">
        <row r="7">
          <cell r="K7">
            <v>150</v>
          </cell>
        </row>
      </sheetData>
      <sheetData sheetId="2248">
        <row r="7">
          <cell r="K7">
            <v>150</v>
          </cell>
        </row>
      </sheetData>
      <sheetData sheetId="2249">
        <row r="7">
          <cell r="K7">
            <v>150</v>
          </cell>
        </row>
      </sheetData>
      <sheetData sheetId="2250">
        <row r="7">
          <cell r="K7">
            <v>150</v>
          </cell>
        </row>
      </sheetData>
      <sheetData sheetId="2251">
        <row r="7">
          <cell r="K7">
            <v>150</v>
          </cell>
        </row>
      </sheetData>
      <sheetData sheetId="2252">
        <row r="7">
          <cell r="K7">
            <v>150</v>
          </cell>
        </row>
      </sheetData>
      <sheetData sheetId="2253">
        <row r="7">
          <cell r="K7">
            <v>150</v>
          </cell>
        </row>
      </sheetData>
      <sheetData sheetId="2254">
        <row r="7">
          <cell r="K7">
            <v>150</v>
          </cell>
        </row>
      </sheetData>
      <sheetData sheetId="2255">
        <row r="7">
          <cell r="K7">
            <v>150</v>
          </cell>
        </row>
      </sheetData>
      <sheetData sheetId="2256">
        <row r="7">
          <cell r="K7">
            <v>150</v>
          </cell>
        </row>
      </sheetData>
      <sheetData sheetId="2257">
        <row r="7">
          <cell r="K7">
            <v>150</v>
          </cell>
        </row>
      </sheetData>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row r="7">
          <cell r="K7">
            <v>150</v>
          </cell>
        </row>
      </sheetData>
      <sheetData sheetId="2287">
        <row r="7">
          <cell r="K7">
            <v>150</v>
          </cell>
        </row>
      </sheetData>
      <sheetData sheetId="2288">
        <row r="7">
          <cell r="K7">
            <v>150</v>
          </cell>
        </row>
      </sheetData>
      <sheetData sheetId="2289">
        <row r="7">
          <cell r="K7">
            <v>150</v>
          </cell>
        </row>
      </sheetData>
      <sheetData sheetId="2290">
        <row r="7">
          <cell r="K7">
            <v>150</v>
          </cell>
        </row>
      </sheetData>
      <sheetData sheetId="2291">
        <row r="7">
          <cell r="K7">
            <v>150</v>
          </cell>
        </row>
      </sheetData>
      <sheetData sheetId="2292">
        <row r="7">
          <cell r="K7">
            <v>150</v>
          </cell>
        </row>
      </sheetData>
      <sheetData sheetId="2293">
        <row r="7">
          <cell r="K7">
            <v>150</v>
          </cell>
        </row>
      </sheetData>
      <sheetData sheetId="2294">
        <row r="7">
          <cell r="K7">
            <v>150</v>
          </cell>
        </row>
      </sheetData>
      <sheetData sheetId="2295">
        <row r="7">
          <cell r="K7">
            <v>150</v>
          </cell>
        </row>
      </sheetData>
      <sheetData sheetId="2296">
        <row r="7">
          <cell r="K7">
            <v>150</v>
          </cell>
        </row>
      </sheetData>
      <sheetData sheetId="2297">
        <row r="7">
          <cell r="K7">
            <v>150</v>
          </cell>
        </row>
      </sheetData>
      <sheetData sheetId="2298">
        <row r="7">
          <cell r="K7">
            <v>150</v>
          </cell>
        </row>
      </sheetData>
      <sheetData sheetId="2299">
        <row r="7">
          <cell r="K7">
            <v>150</v>
          </cell>
        </row>
      </sheetData>
      <sheetData sheetId="2300">
        <row r="7">
          <cell r="K7">
            <v>150</v>
          </cell>
        </row>
      </sheetData>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row r="7">
          <cell r="K7">
            <v>150</v>
          </cell>
        </row>
      </sheetData>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row r="7">
          <cell r="K7">
            <v>150</v>
          </cell>
        </row>
      </sheetData>
      <sheetData sheetId="2350">
        <row r="7">
          <cell r="K7">
            <v>150</v>
          </cell>
        </row>
      </sheetData>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row r="7">
          <cell r="K7">
            <v>150</v>
          </cell>
        </row>
      </sheetData>
      <sheetData sheetId="2364">
        <row r="7">
          <cell r="K7">
            <v>150</v>
          </cell>
        </row>
      </sheetData>
      <sheetData sheetId="2365"/>
      <sheetData sheetId="2366"/>
      <sheetData sheetId="2367"/>
      <sheetData sheetId="2368"/>
      <sheetData sheetId="2369"/>
      <sheetData sheetId="2370"/>
      <sheetData sheetId="2371"/>
      <sheetData sheetId="2372"/>
      <sheetData sheetId="2373"/>
      <sheetData sheetId="2374"/>
      <sheetData sheetId="2375">
        <row r="7">
          <cell r="K7">
            <v>150</v>
          </cell>
        </row>
      </sheetData>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row r="7">
          <cell r="K7">
            <v>150</v>
          </cell>
        </row>
      </sheetData>
      <sheetData sheetId="2408"/>
      <sheetData sheetId="2409"/>
      <sheetData sheetId="2410"/>
      <sheetData sheetId="2411"/>
      <sheetData sheetId="2412"/>
      <sheetData sheetId="2413"/>
      <sheetData sheetId="2414">
        <row r="7">
          <cell r="K7">
            <v>150</v>
          </cell>
        </row>
      </sheetData>
      <sheetData sheetId="2415"/>
      <sheetData sheetId="2416"/>
      <sheetData sheetId="2417"/>
      <sheetData sheetId="2418"/>
      <sheetData sheetId="2419"/>
      <sheetData sheetId="2420"/>
      <sheetData sheetId="2421"/>
      <sheetData sheetId="2422"/>
      <sheetData sheetId="2423">
        <row r="7">
          <cell r="K7">
            <v>150</v>
          </cell>
        </row>
      </sheetData>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row r="7">
          <cell r="K7">
            <v>150</v>
          </cell>
        </row>
      </sheetData>
      <sheetData sheetId="2463">
        <row r="7">
          <cell r="K7">
            <v>150</v>
          </cell>
        </row>
      </sheetData>
      <sheetData sheetId="2464"/>
      <sheetData sheetId="2465"/>
      <sheetData sheetId="2466"/>
      <sheetData sheetId="2467">
        <row r="7">
          <cell r="K7">
            <v>150</v>
          </cell>
        </row>
      </sheetData>
      <sheetData sheetId="2468">
        <row r="7">
          <cell r="K7">
            <v>150</v>
          </cell>
        </row>
      </sheetData>
      <sheetData sheetId="2469">
        <row r="7">
          <cell r="K7">
            <v>150</v>
          </cell>
        </row>
      </sheetData>
      <sheetData sheetId="2470"/>
      <sheetData sheetId="2471">
        <row r="7">
          <cell r="K7">
            <v>150</v>
          </cell>
        </row>
      </sheetData>
      <sheetData sheetId="2472">
        <row r="7">
          <cell r="K7">
            <v>150</v>
          </cell>
        </row>
      </sheetData>
      <sheetData sheetId="2473">
        <row r="7">
          <cell r="K7">
            <v>150</v>
          </cell>
        </row>
      </sheetData>
      <sheetData sheetId="2474">
        <row r="7">
          <cell r="K7">
            <v>150</v>
          </cell>
        </row>
      </sheetData>
      <sheetData sheetId="2475">
        <row r="7">
          <cell r="K7">
            <v>150</v>
          </cell>
        </row>
      </sheetData>
      <sheetData sheetId="2476"/>
      <sheetData sheetId="2477">
        <row r="7">
          <cell r="K7">
            <v>150</v>
          </cell>
        </row>
      </sheetData>
      <sheetData sheetId="2478">
        <row r="7">
          <cell r="K7">
            <v>150</v>
          </cell>
        </row>
      </sheetData>
      <sheetData sheetId="2479">
        <row r="7">
          <cell r="K7">
            <v>150</v>
          </cell>
        </row>
      </sheetData>
      <sheetData sheetId="2480">
        <row r="7">
          <cell r="K7">
            <v>150</v>
          </cell>
        </row>
      </sheetData>
      <sheetData sheetId="2481"/>
      <sheetData sheetId="2482"/>
      <sheetData sheetId="2483">
        <row r="7">
          <cell r="K7">
            <v>150</v>
          </cell>
        </row>
      </sheetData>
      <sheetData sheetId="2484">
        <row r="7">
          <cell r="K7">
            <v>150</v>
          </cell>
        </row>
      </sheetData>
      <sheetData sheetId="2485">
        <row r="7">
          <cell r="K7">
            <v>150</v>
          </cell>
        </row>
      </sheetData>
      <sheetData sheetId="2486"/>
      <sheetData sheetId="2487"/>
      <sheetData sheetId="2488"/>
      <sheetData sheetId="2489"/>
      <sheetData sheetId="2490">
        <row r="7">
          <cell r="K7">
            <v>150</v>
          </cell>
        </row>
      </sheetData>
      <sheetData sheetId="2491"/>
      <sheetData sheetId="2492"/>
      <sheetData sheetId="2493">
        <row r="7">
          <cell r="K7">
            <v>150</v>
          </cell>
        </row>
      </sheetData>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row r="7">
          <cell r="K7">
            <v>150</v>
          </cell>
        </row>
      </sheetData>
      <sheetData sheetId="2526">
        <row r="7">
          <cell r="K7">
            <v>150</v>
          </cell>
        </row>
      </sheetData>
      <sheetData sheetId="2527">
        <row r="7">
          <cell r="K7">
            <v>150</v>
          </cell>
        </row>
      </sheetData>
      <sheetData sheetId="2528">
        <row r="7">
          <cell r="K7">
            <v>150</v>
          </cell>
        </row>
      </sheetData>
      <sheetData sheetId="2529">
        <row r="7">
          <cell r="K7">
            <v>150</v>
          </cell>
        </row>
      </sheetData>
      <sheetData sheetId="2530">
        <row r="7">
          <cell r="K7">
            <v>150</v>
          </cell>
        </row>
      </sheetData>
      <sheetData sheetId="2531">
        <row r="7">
          <cell r="K7">
            <v>150</v>
          </cell>
        </row>
      </sheetData>
      <sheetData sheetId="2532">
        <row r="7">
          <cell r="K7">
            <v>150</v>
          </cell>
        </row>
      </sheetData>
      <sheetData sheetId="2533">
        <row r="7">
          <cell r="K7">
            <v>150</v>
          </cell>
        </row>
      </sheetData>
      <sheetData sheetId="2534">
        <row r="7">
          <cell r="K7">
            <v>150</v>
          </cell>
        </row>
      </sheetData>
      <sheetData sheetId="2535">
        <row r="7">
          <cell r="K7">
            <v>150</v>
          </cell>
        </row>
      </sheetData>
      <sheetData sheetId="2536">
        <row r="2">
          <cell r="A2" t="str">
            <v>PROJECT</v>
          </cell>
        </row>
      </sheetData>
      <sheetData sheetId="2537">
        <row r="7">
          <cell r="K7">
            <v>150</v>
          </cell>
        </row>
      </sheetData>
      <sheetData sheetId="2538">
        <row r="2">
          <cell r="A2" t="str">
            <v>PROJECT</v>
          </cell>
        </row>
      </sheetData>
      <sheetData sheetId="2539">
        <row r="7">
          <cell r="K7">
            <v>150</v>
          </cell>
        </row>
      </sheetData>
      <sheetData sheetId="2540">
        <row r="7">
          <cell r="K7">
            <v>150</v>
          </cell>
        </row>
      </sheetData>
      <sheetData sheetId="2541">
        <row r="7">
          <cell r="K7">
            <v>150</v>
          </cell>
        </row>
      </sheetData>
      <sheetData sheetId="2542">
        <row r="7">
          <cell r="K7">
            <v>150</v>
          </cell>
        </row>
      </sheetData>
      <sheetData sheetId="2543">
        <row r="7">
          <cell r="K7">
            <v>150</v>
          </cell>
        </row>
      </sheetData>
      <sheetData sheetId="2544">
        <row r="7">
          <cell r="K7">
            <v>150</v>
          </cell>
        </row>
      </sheetData>
      <sheetData sheetId="2545">
        <row r="7">
          <cell r="K7">
            <v>150</v>
          </cell>
        </row>
      </sheetData>
      <sheetData sheetId="2546">
        <row r="7">
          <cell r="K7">
            <v>150</v>
          </cell>
        </row>
      </sheetData>
      <sheetData sheetId="2547">
        <row r="7">
          <cell r="K7">
            <v>150</v>
          </cell>
        </row>
      </sheetData>
      <sheetData sheetId="2548">
        <row r="7">
          <cell r="K7">
            <v>150</v>
          </cell>
        </row>
      </sheetData>
      <sheetData sheetId="2549">
        <row r="7">
          <cell r="K7">
            <v>150</v>
          </cell>
        </row>
      </sheetData>
      <sheetData sheetId="2550">
        <row r="7">
          <cell r="K7">
            <v>150</v>
          </cell>
        </row>
      </sheetData>
      <sheetData sheetId="2551">
        <row r="7">
          <cell r="K7">
            <v>150</v>
          </cell>
        </row>
      </sheetData>
      <sheetData sheetId="2552">
        <row r="7">
          <cell r="K7">
            <v>150</v>
          </cell>
        </row>
      </sheetData>
      <sheetData sheetId="2553">
        <row r="7">
          <cell r="K7">
            <v>150</v>
          </cell>
        </row>
      </sheetData>
      <sheetData sheetId="2554">
        <row r="7">
          <cell r="K7">
            <v>150</v>
          </cell>
        </row>
      </sheetData>
      <sheetData sheetId="2555">
        <row r="7">
          <cell r="K7">
            <v>150</v>
          </cell>
        </row>
      </sheetData>
      <sheetData sheetId="2556">
        <row r="7">
          <cell r="K7">
            <v>150</v>
          </cell>
        </row>
      </sheetData>
      <sheetData sheetId="2557">
        <row r="7">
          <cell r="K7">
            <v>150</v>
          </cell>
        </row>
      </sheetData>
      <sheetData sheetId="2558">
        <row r="7">
          <cell r="K7">
            <v>150</v>
          </cell>
        </row>
      </sheetData>
      <sheetData sheetId="2559">
        <row r="7">
          <cell r="K7">
            <v>150</v>
          </cell>
        </row>
      </sheetData>
      <sheetData sheetId="2560">
        <row r="7">
          <cell r="K7">
            <v>150</v>
          </cell>
        </row>
      </sheetData>
      <sheetData sheetId="2561">
        <row r="7">
          <cell r="K7">
            <v>150</v>
          </cell>
        </row>
      </sheetData>
      <sheetData sheetId="2562">
        <row r="7">
          <cell r="K7">
            <v>150</v>
          </cell>
        </row>
      </sheetData>
      <sheetData sheetId="2563">
        <row r="7">
          <cell r="K7">
            <v>150</v>
          </cell>
        </row>
      </sheetData>
      <sheetData sheetId="2564">
        <row r="7">
          <cell r="K7">
            <v>150</v>
          </cell>
        </row>
      </sheetData>
      <sheetData sheetId="2565">
        <row r="7">
          <cell r="K7">
            <v>150</v>
          </cell>
        </row>
      </sheetData>
      <sheetData sheetId="2566">
        <row r="7">
          <cell r="K7">
            <v>150</v>
          </cell>
        </row>
      </sheetData>
      <sheetData sheetId="2567">
        <row r="7">
          <cell r="K7">
            <v>150</v>
          </cell>
        </row>
      </sheetData>
      <sheetData sheetId="2568">
        <row r="7">
          <cell r="K7">
            <v>150</v>
          </cell>
        </row>
      </sheetData>
      <sheetData sheetId="2569">
        <row r="7">
          <cell r="K7">
            <v>150</v>
          </cell>
        </row>
      </sheetData>
      <sheetData sheetId="2570">
        <row r="7">
          <cell r="K7">
            <v>150</v>
          </cell>
        </row>
      </sheetData>
      <sheetData sheetId="2571">
        <row r="7">
          <cell r="K7">
            <v>150</v>
          </cell>
        </row>
      </sheetData>
      <sheetData sheetId="2572">
        <row r="7">
          <cell r="K7">
            <v>150</v>
          </cell>
        </row>
      </sheetData>
      <sheetData sheetId="2573">
        <row r="7">
          <cell r="K7">
            <v>150</v>
          </cell>
        </row>
      </sheetData>
      <sheetData sheetId="2574">
        <row r="7">
          <cell r="K7">
            <v>150</v>
          </cell>
        </row>
      </sheetData>
      <sheetData sheetId="2575">
        <row r="7">
          <cell r="K7">
            <v>150</v>
          </cell>
        </row>
      </sheetData>
      <sheetData sheetId="2576">
        <row r="7">
          <cell r="K7">
            <v>150</v>
          </cell>
        </row>
      </sheetData>
      <sheetData sheetId="2577">
        <row r="7">
          <cell r="K7">
            <v>150</v>
          </cell>
        </row>
      </sheetData>
      <sheetData sheetId="2578">
        <row r="7">
          <cell r="K7">
            <v>150</v>
          </cell>
        </row>
      </sheetData>
      <sheetData sheetId="2579">
        <row r="7">
          <cell r="K7">
            <v>150</v>
          </cell>
        </row>
      </sheetData>
      <sheetData sheetId="2580">
        <row r="7">
          <cell r="K7">
            <v>150</v>
          </cell>
        </row>
      </sheetData>
      <sheetData sheetId="2581">
        <row r="7">
          <cell r="K7">
            <v>150</v>
          </cell>
        </row>
      </sheetData>
      <sheetData sheetId="2582">
        <row r="7">
          <cell r="K7">
            <v>150</v>
          </cell>
        </row>
      </sheetData>
      <sheetData sheetId="2583">
        <row r="7">
          <cell r="K7">
            <v>150</v>
          </cell>
        </row>
      </sheetData>
      <sheetData sheetId="2584">
        <row r="2">
          <cell r="A2" t="str">
            <v>PROJECT</v>
          </cell>
        </row>
      </sheetData>
      <sheetData sheetId="2585">
        <row r="7">
          <cell r="K7">
            <v>150</v>
          </cell>
        </row>
      </sheetData>
      <sheetData sheetId="2586">
        <row r="2">
          <cell r="A2" t="str">
            <v>PROJECT</v>
          </cell>
        </row>
      </sheetData>
      <sheetData sheetId="2587">
        <row r="7">
          <cell r="K7">
            <v>150</v>
          </cell>
        </row>
      </sheetData>
      <sheetData sheetId="2588">
        <row r="7">
          <cell r="K7">
            <v>150</v>
          </cell>
        </row>
      </sheetData>
      <sheetData sheetId="2589">
        <row r="7">
          <cell r="K7">
            <v>150</v>
          </cell>
        </row>
      </sheetData>
      <sheetData sheetId="2590">
        <row r="7">
          <cell r="K7">
            <v>150</v>
          </cell>
        </row>
      </sheetData>
      <sheetData sheetId="2591">
        <row r="7">
          <cell r="K7">
            <v>150</v>
          </cell>
        </row>
      </sheetData>
      <sheetData sheetId="2592">
        <row r="7">
          <cell r="K7">
            <v>150</v>
          </cell>
        </row>
      </sheetData>
      <sheetData sheetId="2593">
        <row r="7">
          <cell r="K7">
            <v>150</v>
          </cell>
        </row>
      </sheetData>
      <sheetData sheetId="2594">
        <row r="7">
          <cell r="K7">
            <v>150</v>
          </cell>
        </row>
      </sheetData>
      <sheetData sheetId="2595">
        <row r="7">
          <cell r="K7">
            <v>150</v>
          </cell>
        </row>
      </sheetData>
      <sheetData sheetId="2596">
        <row r="7">
          <cell r="K7">
            <v>150</v>
          </cell>
        </row>
      </sheetData>
      <sheetData sheetId="2597">
        <row r="7">
          <cell r="K7">
            <v>150</v>
          </cell>
        </row>
      </sheetData>
      <sheetData sheetId="2598">
        <row r="7">
          <cell r="K7">
            <v>150</v>
          </cell>
        </row>
      </sheetData>
      <sheetData sheetId="2599">
        <row r="7">
          <cell r="K7">
            <v>150</v>
          </cell>
        </row>
      </sheetData>
      <sheetData sheetId="2600">
        <row r="7">
          <cell r="K7">
            <v>150</v>
          </cell>
        </row>
      </sheetData>
      <sheetData sheetId="2601">
        <row r="7">
          <cell r="K7">
            <v>150</v>
          </cell>
        </row>
      </sheetData>
      <sheetData sheetId="2602">
        <row r="7">
          <cell r="K7">
            <v>150</v>
          </cell>
        </row>
      </sheetData>
      <sheetData sheetId="2603">
        <row r="7">
          <cell r="K7">
            <v>150</v>
          </cell>
        </row>
      </sheetData>
      <sheetData sheetId="2604">
        <row r="7">
          <cell r="K7">
            <v>150</v>
          </cell>
        </row>
      </sheetData>
      <sheetData sheetId="2605">
        <row r="7">
          <cell r="K7">
            <v>150</v>
          </cell>
        </row>
      </sheetData>
      <sheetData sheetId="2606">
        <row r="7">
          <cell r="K7">
            <v>150</v>
          </cell>
        </row>
      </sheetData>
      <sheetData sheetId="2607">
        <row r="7">
          <cell r="K7">
            <v>150</v>
          </cell>
        </row>
      </sheetData>
      <sheetData sheetId="2608">
        <row r="7">
          <cell r="K7">
            <v>150</v>
          </cell>
        </row>
      </sheetData>
      <sheetData sheetId="2609">
        <row r="7">
          <cell r="K7">
            <v>150</v>
          </cell>
        </row>
      </sheetData>
      <sheetData sheetId="2610">
        <row r="7">
          <cell r="K7">
            <v>150</v>
          </cell>
        </row>
      </sheetData>
      <sheetData sheetId="2611">
        <row r="7">
          <cell r="K7">
            <v>150</v>
          </cell>
        </row>
      </sheetData>
      <sheetData sheetId="2612">
        <row r="7">
          <cell r="K7">
            <v>150</v>
          </cell>
        </row>
      </sheetData>
      <sheetData sheetId="2613">
        <row r="7">
          <cell r="K7">
            <v>150</v>
          </cell>
        </row>
      </sheetData>
      <sheetData sheetId="2614">
        <row r="7">
          <cell r="K7">
            <v>150</v>
          </cell>
        </row>
      </sheetData>
      <sheetData sheetId="2615">
        <row r="7">
          <cell r="K7">
            <v>150</v>
          </cell>
        </row>
      </sheetData>
      <sheetData sheetId="2616">
        <row r="7">
          <cell r="K7">
            <v>150</v>
          </cell>
        </row>
      </sheetData>
      <sheetData sheetId="2617">
        <row r="7">
          <cell r="K7">
            <v>150</v>
          </cell>
        </row>
      </sheetData>
      <sheetData sheetId="2618">
        <row r="7">
          <cell r="K7">
            <v>150</v>
          </cell>
        </row>
      </sheetData>
      <sheetData sheetId="2619">
        <row r="7">
          <cell r="K7">
            <v>150</v>
          </cell>
        </row>
      </sheetData>
      <sheetData sheetId="2620">
        <row r="7">
          <cell r="K7">
            <v>150</v>
          </cell>
        </row>
      </sheetData>
      <sheetData sheetId="2621">
        <row r="7">
          <cell r="K7">
            <v>150</v>
          </cell>
        </row>
      </sheetData>
      <sheetData sheetId="2622">
        <row r="7">
          <cell r="K7">
            <v>150</v>
          </cell>
        </row>
      </sheetData>
      <sheetData sheetId="2623">
        <row r="7">
          <cell r="K7">
            <v>150</v>
          </cell>
        </row>
      </sheetData>
      <sheetData sheetId="2624">
        <row r="7">
          <cell r="K7">
            <v>150</v>
          </cell>
        </row>
      </sheetData>
      <sheetData sheetId="2625">
        <row r="7">
          <cell r="K7">
            <v>150</v>
          </cell>
        </row>
      </sheetData>
      <sheetData sheetId="2626">
        <row r="7">
          <cell r="K7">
            <v>150</v>
          </cell>
        </row>
      </sheetData>
      <sheetData sheetId="2627">
        <row r="7">
          <cell r="K7">
            <v>150</v>
          </cell>
        </row>
      </sheetData>
      <sheetData sheetId="2628">
        <row r="7">
          <cell r="K7">
            <v>150</v>
          </cell>
        </row>
      </sheetData>
      <sheetData sheetId="2629">
        <row r="7">
          <cell r="K7">
            <v>150</v>
          </cell>
        </row>
      </sheetData>
      <sheetData sheetId="2630">
        <row r="7">
          <cell r="K7">
            <v>150</v>
          </cell>
        </row>
      </sheetData>
      <sheetData sheetId="2631">
        <row r="7">
          <cell r="K7">
            <v>150</v>
          </cell>
        </row>
      </sheetData>
      <sheetData sheetId="2632">
        <row r="7">
          <cell r="K7">
            <v>150</v>
          </cell>
        </row>
      </sheetData>
      <sheetData sheetId="2633">
        <row r="7">
          <cell r="K7">
            <v>150</v>
          </cell>
        </row>
      </sheetData>
      <sheetData sheetId="2634">
        <row r="7">
          <cell r="K7">
            <v>150</v>
          </cell>
        </row>
      </sheetData>
      <sheetData sheetId="2635">
        <row r="7">
          <cell r="K7">
            <v>150</v>
          </cell>
        </row>
      </sheetData>
      <sheetData sheetId="2636">
        <row r="7">
          <cell r="K7">
            <v>150</v>
          </cell>
        </row>
      </sheetData>
      <sheetData sheetId="2637">
        <row r="7">
          <cell r="K7">
            <v>150</v>
          </cell>
        </row>
      </sheetData>
      <sheetData sheetId="2638">
        <row r="7">
          <cell r="K7">
            <v>150</v>
          </cell>
        </row>
      </sheetData>
      <sheetData sheetId="2639">
        <row r="7">
          <cell r="K7">
            <v>150</v>
          </cell>
        </row>
      </sheetData>
      <sheetData sheetId="2640">
        <row r="7">
          <cell r="K7">
            <v>150</v>
          </cell>
        </row>
      </sheetData>
      <sheetData sheetId="2641">
        <row r="7">
          <cell r="K7">
            <v>150</v>
          </cell>
        </row>
      </sheetData>
      <sheetData sheetId="2642">
        <row r="7">
          <cell r="K7">
            <v>150</v>
          </cell>
        </row>
      </sheetData>
      <sheetData sheetId="2643"/>
      <sheetData sheetId="2644">
        <row r="7">
          <cell r="K7">
            <v>150</v>
          </cell>
        </row>
      </sheetData>
      <sheetData sheetId="2645">
        <row r="7">
          <cell r="K7">
            <v>150</v>
          </cell>
        </row>
      </sheetData>
      <sheetData sheetId="2646">
        <row r="7">
          <cell r="K7">
            <v>150</v>
          </cell>
        </row>
      </sheetData>
      <sheetData sheetId="2647">
        <row r="7">
          <cell r="K7">
            <v>150</v>
          </cell>
        </row>
      </sheetData>
      <sheetData sheetId="2648">
        <row r="7">
          <cell r="K7">
            <v>150</v>
          </cell>
        </row>
      </sheetData>
      <sheetData sheetId="2649">
        <row r="7">
          <cell r="K7">
            <v>150</v>
          </cell>
        </row>
      </sheetData>
      <sheetData sheetId="2650">
        <row r="7">
          <cell r="K7">
            <v>150</v>
          </cell>
        </row>
      </sheetData>
      <sheetData sheetId="2651">
        <row r="7">
          <cell r="K7">
            <v>150</v>
          </cell>
        </row>
      </sheetData>
      <sheetData sheetId="2652">
        <row r="7">
          <cell r="K7">
            <v>150</v>
          </cell>
        </row>
      </sheetData>
      <sheetData sheetId="2653">
        <row r="7">
          <cell r="K7">
            <v>150</v>
          </cell>
        </row>
      </sheetData>
      <sheetData sheetId="2654">
        <row r="7">
          <cell r="K7">
            <v>150</v>
          </cell>
        </row>
      </sheetData>
      <sheetData sheetId="2655">
        <row r="7">
          <cell r="K7">
            <v>150</v>
          </cell>
        </row>
      </sheetData>
      <sheetData sheetId="2656">
        <row r="7">
          <cell r="K7">
            <v>150</v>
          </cell>
        </row>
      </sheetData>
      <sheetData sheetId="2657"/>
      <sheetData sheetId="2658"/>
      <sheetData sheetId="2659"/>
      <sheetData sheetId="2660">
        <row r="7">
          <cell r="K7">
            <v>150</v>
          </cell>
        </row>
      </sheetData>
      <sheetData sheetId="2661">
        <row r="7">
          <cell r="K7">
            <v>150</v>
          </cell>
        </row>
      </sheetData>
      <sheetData sheetId="2662">
        <row r="7">
          <cell r="K7">
            <v>150</v>
          </cell>
        </row>
      </sheetData>
      <sheetData sheetId="2663">
        <row r="7">
          <cell r="K7">
            <v>150</v>
          </cell>
        </row>
      </sheetData>
      <sheetData sheetId="2664"/>
      <sheetData sheetId="2665"/>
      <sheetData sheetId="2666">
        <row r="7">
          <cell r="K7">
            <v>150</v>
          </cell>
        </row>
      </sheetData>
      <sheetData sheetId="2667">
        <row r="7">
          <cell r="K7">
            <v>150</v>
          </cell>
        </row>
      </sheetData>
      <sheetData sheetId="2668">
        <row r="7">
          <cell r="K7">
            <v>150</v>
          </cell>
        </row>
      </sheetData>
      <sheetData sheetId="2669">
        <row r="7">
          <cell r="K7">
            <v>150</v>
          </cell>
        </row>
      </sheetData>
      <sheetData sheetId="2670">
        <row r="7">
          <cell r="K7">
            <v>150</v>
          </cell>
        </row>
      </sheetData>
      <sheetData sheetId="2671">
        <row r="7">
          <cell r="K7">
            <v>150</v>
          </cell>
        </row>
      </sheetData>
      <sheetData sheetId="2672">
        <row r="7">
          <cell r="K7">
            <v>150</v>
          </cell>
        </row>
      </sheetData>
      <sheetData sheetId="2673">
        <row r="2">
          <cell r="A2" t="str">
            <v>PROJECT</v>
          </cell>
        </row>
      </sheetData>
      <sheetData sheetId="2674">
        <row r="7">
          <cell r="K7">
            <v>150</v>
          </cell>
        </row>
      </sheetData>
      <sheetData sheetId="2675">
        <row r="2">
          <cell r="A2" t="str">
            <v>PROJECT</v>
          </cell>
        </row>
      </sheetData>
      <sheetData sheetId="2676">
        <row r="7">
          <cell r="K7">
            <v>150</v>
          </cell>
        </row>
      </sheetData>
      <sheetData sheetId="2677">
        <row r="7">
          <cell r="K7">
            <v>150</v>
          </cell>
        </row>
      </sheetData>
      <sheetData sheetId="2678">
        <row r="7">
          <cell r="K7">
            <v>150</v>
          </cell>
        </row>
      </sheetData>
      <sheetData sheetId="2679">
        <row r="7">
          <cell r="K7">
            <v>150</v>
          </cell>
        </row>
      </sheetData>
      <sheetData sheetId="2680">
        <row r="7">
          <cell r="K7">
            <v>150</v>
          </cell>
        </row>
      </sheetData>
      <sheetData sheetId="2681">
        <row r="7">
          <cell r="K7">
            <v>150</v>
          </cell>
        </row>
      </sheetData>
      <sheetData sheetId="2682">
        <row r="7">
          <cell r="K7">
            <v>150</v>
          </cell>
        </row>
      </sheetData>
      <sheetData sheetId="2683">
        <row r="7">
          <cell r="K7">
            <v>150</v>
          </cell>
        </row>
      </sheetData>
      <sheetData sheetId="2684">
        <row r="7">
          <cell r="K7">
            <v>150</v>
          </cell>
        </row>
      </sheetData>
      <sheetData sheetId="2685">
        <row r="7">
          <cell r="K7">
            <v>150</v>
          </cell>
        </row>
      </sheetData>
      <sheetData sheetId="2686">
        <row r="7">
          <cell r="K7">
            <v>150</v>
          </cell>
        </row>
      </sheetData>
      <sheetData sheetId="2687">
        <row r="7">
          <cell r="K7">
            <v>150</v>
          </cell>
        </row>
      </sheetData>
      <sheetData sheetId="2688">
        <row r="7">
          <cell r="K7">
            <v>150</v>
          </cell>
        </row>
      </sheetData>
      <sheetData sheetId="2689">
        <row r="7">
          <cell r="K7">
            <v>150</v>
          </cell>
        </row>
      </sheetData>
      <sheetData sheetId="2690">
        <row r="7">
          <cell r="K7">
            <v>150</v>
          </cell>
        </row>
      </sheetData>
      <sheetData sheetId="2691"/>
      <sheetData sheetId="2692">
        <row r="7">
          <cell r="K7">
            <v>150</v>
          </cell>
        </row>
      </sheetData>
      <sheetData sheetId="2693"/>
      <sheetData sheetId="2694">
        <row r="7">
          <cell r="K7">
            <v>150</v>
          </cell>
        </row>
      </sheetData>
      <sheetData sheetId="2695"/>
      <sheetData sheetId="2696">
        <row r="7">
          <cell r="K7">
            <v>150</v>
          </cell>
        </row>
      </sheetData>
      <sheetData sheetId="2697">
        <row r="7">
          <cell r="K7">
            <v>150</v>
          </cell>
        </row>
      </sheetData>
      <sheetData sheetId="2698">
        <row r="7">
          <cell r="K7">
            <v>150</v>
          </cell>
        </row>
      </sheetData>
      <sheetData sheetId="2699">
        <row r="7">
          <cell r="K7">
            <v>150</v>
          </cell>
        </row>
      </sheetData>
      <sheetData sheetId="2700">
        <row r="7">
          <cell r="K7">
            <v>150</v>
          </cell>
        </row>
      </sheetData>
      <sheetData sheetId="2701">
        <row r="7">
          <cell r="K7">
            <v>150</v>
          </cell>
        </row>
      </sheetData>
      <sheetData sheetId="2702">
        <row r="7">
          <cell r="K7">
            <v>150</v>
          </cell>
        </row>
      </sheetData>
      <sheetData sheetId="2703">
        <row r="7">
          <cell r="K7">
            <v>150</v>
          </cell>
        </row>
      </sheetData>
      <sheetData sheetId="2704">
        <row r="7">
          <cell r="K7">
            <v>150</v>
          </cell>
        </row>
      </sheetData>
      <sheetData sheetId="2705">
        <row r="7">
          <cell r="K7">
            <v>150</v>
          </cell>
        </row>
      </sheetData>
      <sheetData sheetId="2706">
        <row r="7">
          <cell r="K7">
            <v>150</v>
          </cell>
        </row>
      </sheetData>
      <sheetData sheetId="2707">
        <row r="7">
          <cell r="K7">
            <v>150</v>
          </cell>
        </row>
      </sheetData>
      <sheetData sheetId="2708">
        <row r="7">
          <cell r="K7">
            <v>150</v>
          </cell>
        </row>
      </sheetData>
      <sheetData sheetId="2709">
        <row r="7">
          <cell r="K7">
            <v>150</v>
          </cell>
        </row>
      </sheetData>
      <sheetData sheetId="2710">
        <row r="7">
          <cell r="K7">
            <v>150</v>
          </cell>
        </row>
      </sheetData>
      <sheetData sheetId="2711">
        <row r="7">
          <cell r="K7">
            <v>150</v>
          </cell>
        </row>
      </sheetData>
      <sheetData sheetId="2712">
        <row r="7">
          <cell r="K7">
            <v>150</v>
          </cell>
        </row>
      </sheetData>
      <sheetData sheetId="2713">
        <row r="7">
          <cell r="K7">
            <v>150</v>
          </cell>
        </row>
      </sheetData>
      <sheetData sheetId="2714">
        <row r="7">
          <cell r="K7">
            <v>150</v>
          </cell>
        </row>
      </sheetData>
      <sheetData sheetId="2715">
        <row r="7">
          <cell r="K7">
            <v>150</v>
          </cell>
        </row>
      </sheetData>
      <sheetData sheetId="2716">
        <row r="7">
          <cell r="K7">
            <v>150</v>
          </cell>
        </row>
      </sheetData>
      <sheetData sheetId="2717">
        <row r="7">
          <cell r="K7">
            <v>150</v>
          </cell>
        </row>
      </sheetData>
      <sheetData sheetId="2718">
        <row r="7">
          <cell r="K7">
            <v>150</v>
          </cell>
        </row>
      </sheetData>
      <sheetData sheetId="2719">
        <row r="7">
          <cell r="K7">
            <v>150</v>
          </cell>
        </row>
      </sheetData>
      <sheetData sheetId="2720">
        <row r="7">
          <cell r="K7">
            <v>150</v>
          </cell>
        </row>
      </sheetData>
      <sheetData sheetId="2721">
        <row r="7">
          <cell r="K7">
            <v>150</v>
          </cell>
        </row>
      </sheetData>
      <sheetData sheetId="2722">
        <row r="7">
          <cell r="K7">
            <v>150</v>
          </cell>
        </row>
      </sheetData>
      <sheetData sheetId="2723">
        <row r="7">
          <cell r="K7">
            <v>150</v>
          </cell>
        </row>
      </sheetData>
      <sheetData sheetId="2724">
        <row r="7">
          <cell r="K7">
            <v>150</v>
          </cell>
        </row>
      </sheetData>
      <sheetData sheetId="2725">
        <row r="7">
          <cell r="K7">
            <v>150</v>
          </cell>
        </row>
      </sheetData>
      <sheetData sheetId="2726">
        <row r="7">
          <cell r="K7">
            <v>150</v>
          </cell>
        </row>
      </sheetData>
      <sheetData sheetId="2727">
        <row r="7">
          <cell r="K7">
            <v>150</v>
          </cell>
        </row>
      </sheetData>
      <sheetData sheetId="2728">
        <row r="7">
          <cell r="K7">
            <v>150</v>
          </cell>
        </row>
      </sheetData>
      <sheetData sheetId="2729">
        <row r="7">
          <cell r="K7">
            <v>150</v>
          </cell>
        </row>
      </sheetData>
      <sheetData sheetId="2730">
        <row r="7">
          <cell r="K7">
            <v>150</v>
          </cell>
        </row>
      </sheetData>
      <sheetData sheetId="2731">
        <row r="7">
          <cell r="K7">
            <v>150</v>
          </cell>
        </row>
      </sheetData>
      <sheetData sheetId="2732">
        <row r="7">
          <cell r="K7">
            <v>150</v>
          </cell>
        </row>
      </sheetData>
      <sheetData sheetId="2733">
        <row r="7">
          <cell r="K7">
            <v>150</v>
          </cell>
        </row>
      </sheetData>
      <sheetData sheetId="2734">
        <row r="7">
          <cell r="K7">
            <v>150</v>
          </cell>
        </row>
      </sheetData>
      <sheetData sheetId="2735">
        <row r="7">
          <cell r="K7">
            <v>150</v>
          </cell>
        </row>
      </sheetData>
      <sheetData sheetId="2736">
        <row r="7">
          <cell r="K7">
            <v>150</v>
          </cell>
        </row>
      </sheetData>
      <sheetData sheetId="2737">
        <row r="7">
          <cell r="K7">
            <v>150</v>
          </cell>
        </row>
      </sheetData>
      <sheetData sheetId="2738">
        <row r="7">
          <cell r="K7">
            <v>150</v>
          </cell>
        </row>
      </sheetData>
      <sheetData sheetId="2739">
        <row r="7">
          <cell r="K7">
            <v>150</v>
          </cell>
        </row>
      </sheetData>
      <sheetData sheetId="2740">
        <row r="7">
          <cell r="K7">
            <v>150</v>
          </cell>
        </row>
      </sheetData>
      <sheetData sheetId="2741">
        <row r="7">
          <cell r="K7">
            <v>150</v>
          </cell>
        </row>
      </sheetData>
      <sheetData sheetId="2742">
        <row r="7">
          <cell r="K7">
            <v>150</v>
          </cell>
        </row>
      </sheetData>
      <sheetData sheetId="2743">
        <row r="7">
          <cell r="K7">
            <v>150</v>
          </cell>
        </row>
      </sheetData>
      <sheetData sheetId="2744">
        <row r="7">
          <cell r="K7">
            <v>150</v>
          </cell>
        </row>
      </sheetData>
      <sheetData sheetId="2745">
        <row r="7">
          <cell r="K7">
            <v>150</v>
          </cell>
        </row>
      </sheetData>
      <sheetData sheetId="2746">
        <row r="7">
          <cell r="K7">
            <v>150</v>
          </cell>
        </row>
      </sheetData>
      <sheetData sheetId="2747">
        <row r="7">
          <cell r="K7">
            <v>150</v>
          </cell>
        </row>
      </sheetData>
      <sheetData sheetId="2748">
        <row r="7">
          <cell r="K7">
            <v>150</v>
          </cell>
        </row>
      </sheetData>
      <sheetData sheetId="2749">
        <row r="7">
          <cell r="K7">
            <v>150</v>
          </cell>
        </row>
      </sheetData>
      <sheetData sheetId="2750">
        <row r="7">
          <cell r="K7">
            <v>150</v>
          </cell>
        </row>
      </sheetData>
      <sheetData sheetId="2751">
        <row r="7">
          <cell r="K7">
            <v>150</v>
          </cell>
        </row>
      </sheetData>
      <sheetData sheetId="2752">
        <row r="7">
          <cell r="K7">
            <v>150</v>
          </cell>
        </row>
      </sheetData>
      <sheetData sheetId="2753">
        <row r="7">
          <cell r="K7">
            <v>150</v>
          </cell>
        </row>
      </sheetData>
      <sheetData sheetId="2754">
        <row r="7">
          <cell r="K7">
            <v>150</v>
          </cell>
        </row>
      </sheetData>
      <sheetData sheetId="2755">
        <row r="7">
          <cell r="K7">
            <v>150</v>
          </cell>
        </row>
      </sheetData>
      <sheetData sheetId="2756">
        <row r="7">
          <cell r="K7">
            <v>150</v>
          </cell>
        </row>
      </sheetData>
      <sheetData sheetId="2757">
        <row r="7">
          <cell r="K7">
            <v>150</v>
          </cell>
        </row>
      </sheetData>
      <sheetData sheetId="2758">
        <row r="7">
          <cell r="K7">
            <v>150</v>
          </cell>
        </row>
      </sheetData>
      <sheetData sheetId="2759">
        <row r="7">
          <cell r="K7">
            <v>150</v>
          </cell>
        </row>
      </sheetData>
      <sheetData sheetId="2760">
        <row r="7">
          <cell r="K7">
            <v>150</v>
          </cell>
        </row>
      </sheetData>
      <sheetData sheetId="2761">
        <row r="7">
          <cell r="K7">
            <v>150</v>
          </cell>
        </row>
      </sheetData>
      <sheetData sheetId="2762">
        <row r="7">
          <cell r="K7">
            <v>150</v>
          </cell>
        </row>
      </sheetData>
      <sheetData sheetId="2763">
        <row r="7">
          <cell r="K7">
            <v>150</v>
          </cell>
        </row>
      </sheetData>
      <sheetData sheetId="2764">
        <row r="7">
          <cell r="K7">
            <v>150</v>
          </cell>
        </row>
      </sheetData>
      <sheetData sheetId="2765">
        <row r="7">
          <cell r="K7">
            <v>150</v>
          </cell>
        </row>
      </sheetData>
      <sheetData sheetId="2766">
        <row r="7">
          <cell r="K7">
            <v>150</v>
          </cell>
        </row>
      </sheetData>
      <sheetData sheetId="2767">
        <row r="7">
          <cell r="K7">
            <v>150</v>
          </cell>
        </row>
      </sheetData>
      <sheetData sheetId="2768">
        <row r="7">
          <cell r="K7">
            <v>150</v>
          </cell>
        </row>
      </sheetData>
      <sheetData sheetId="2769">
        <row r="7">
          <cell r="K7">
            <v>150</v>
          </cell>
        </row>
      </sheetData>
      <sheetData sheetId="2770"/>
      <sheetData sheetId="2771"/>
      <sheetData sheetId="2772">
        <row r="7">
          <cell r="K7">
            <v>150</v>
          </cell>
        </row>
      </sheetData>
      <sheetData sheetId="2773">
        <row r="7">
          <cell r="K7">
            <v>150</v>
          </cell>
        </row>
      </sheetData>
      <sheetData sheetId="2774"/>
      <sheetData sheetId="2775">
        <row r="7">
          <cell r="K7">
            <v>150</v>
          </cell>
        </row>
      </sheetData>
      <sheetData sheetId="2776">
        <row r="7">
          <cell r="K7">
            <v>150</v>
          </cell>
        </row>
      </sheetData>
      <sheetData sheetId="2777"/>
      <sheetData sheetId="2778"/>
      <sheetData sheetId="2779"/>
      <sheetData sheetId="2780"/>
      <sheetData sheetId="2781"/>
      <sheetData sheetId="2782"/>
      <sheetData sheetId="2783"/>
      <sheetData sheetId="2784"/>
      <sheetData sheetId="2785">
        <row r="7">
          <cell r="K7">
            <v>150</v>
          </cell>
        </row>
      </sheetData>
      <sheetData sheetId="2786">
        <row r="7">
          <cell r="K7">
            <v>150</v>
          </cell>
        </row>
      </sheetData>
      <sheetData sheetId="2787"/>
      <sheetData sheetId="2788">
        <row r="7">
          <cell r="K7">
            <v>150</v>
          </cell>
        </row>
      </sheetData>
      <sheetData sheetId="2789">
        <row r="7">
          <cell r="K7">
            <v>150</v>
          </cell>
        </row>
      </sheetData>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row r="2">
          <cell r="A2" t="str">
            <v>PROJECT</v>
          </cell>
        </row>
      </sheetData>
      <sheetData sheetId="2804">
        <row r="7">
          <cell r="K7">
            <v>150</v>
          </cell>
        </row>
      </sheetData>
      <sheetData sheetId="2805"/>
      <sheetData sheetId="2806"/>
      <sheetData sheetId="2807"/>
      <sheetData sheetId="2808"/>
      <sheetData sheetId="2809"/>
      <sheetData sheetId="2810"/>
      <sheetData sheetId="2811"/>
      <sheetData sheetId="2812"/>
      <sheetData sheetId="2813"/>
      <sheetData sheetId="2814"/>
      <sheetData sheetId="2815"/>
      <sheetData sheetId="2816">
        <row r="7">
          <cell r="K7">
            <v>150</v>
          </cell>
        </row>
      </sheetData>
      <sheetData sheetId="2817"/>
      <sheetData sheetId="2818"/>
      <sheetData sheetId="2819"/>
      <sheetData sheetId="2820"/>
      <sheetData sheetId="2821"/>
      <sheetData sheetId="2822">
        <row r="7">
          <cell r="K7">
            <v>150</v>
          </cell>
        </row>
      </sheetData>
      <sheetData sheetId="2823"/>
      <sheetData sheetId="2824">
        <row r="7">
          <cell r="K7">
            <v>150</v>
          </cell>
        </row>
      </sheetData>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velopment Summary"/>
      <sheetName val="Fees"/>
      <sheetName val="Cash Flow"/>
      <sheetName val="BT Direct Works"/>
      <sheetName val="Cat A Exec Summary"/>
      <sheetName val="Cat A Supp Auth"/>
      <sheetName val="Cat A AI's"/>
      <sheetName val="CAT A Anticipated"/>
      <sheetName val="Cat A Change Control"/>
      <sheetName val="Developers Fees"/>
      <sheetName val="Cat A Contingency Schedule"/>
      <sheetName val="Cat B Exec Summary"/>
      <sheetName val="Cat B Supp Auth"/>
      <sheetName val="Cat B AI's"/>
      <sheetName val="Cat B Change Control"/>
      <sheetName val="Data"/>
      <sheetName val="Name List"/>
      <sheetName val="Sheet3"/>
      <sheetName val="gen"/>
      <sheetName val="Fin Sum"/>
      <sheetName val="Civil Works"/>
      <sheetName val="Assumptions"/>
      <sheetName val="TBAL9697 -group wise  sdpl"/>
      <sheetName val="CBS"/>
      <sheetName val="Standard S-Curve Data"/>
      <sheetName val="4.03 Recommendations &amp; Cashflow"/>
      <sheetName val="Development_Summary"/>
      <sheetName val="Cash_Flow"/>
      <sheetName val="BT_Direct_Works"/>
      <sheetName val="Cat_A_Exec_Summary"/>
      <sheetName val="Cat_A_Supp_Auth"/>
      <sheetName val="Cat_A_AI's"/>
      <sheetName val="CAT_A_Anticipated"/>
      <sheetName val="Cat_A_Change_Control"/>
      <sheetName val="Developers_Fees"/>
      <sheetName val="Cat_A_Contingency_Schedule"/>
      <sheetName val="Cat_B_Exec_Summary"/>
      <sheetName val="Cat_B_Supp_Auth"/>
      <sheetName val="Cat_B_AI's"/>
      <sheetName val="Cat_B_Change_Control"/>
      <sheetName val="Development_Summary1"/>
      <sheetName val="Cash_Flow1"/>
      <sheetName val="BT_Direct_Works1"/>
      <sheetName val="Cat_A_Exec_Summary1"/>
      <sheetName val="Cat_A_Supp_Auth1"/>
      <sheetName val="Cat_A_AI's1"/>
      <sheetName val="CAT_A_Anticipated1"/>
      <sheetName val="Cat_A_Change_Control1"/>
      <sheetName val="Developers_Fees1"/>
      <sheetName val="Cat_A_Contingency_Schedule1"/>
      <sheetName val="Cat_B_Exec_Summary1"/>
      <sheetName val="Cat_B_Supp_Auth1"/>
      <sheetName val="Cat_B_AI's1"/>
      <sheetName val="Cat_B_Change_Control1"/>
      <sheetName val="Mat_Cost"/>
      <sheetName val="zone-8"/>
      <sheetName val="MHNO_LEV"/>
      <sheetName val="PrintManager"/>
      <sheetName val="Assumption"/>
      <sheetName val="Development_Summary2"/>
      <sheetName val="Cash_Flow2"/>
      <sheetName val="BT_Direct_Works2"/>
      <sheetName val="Cat_A_Exec_Summary2"/>
      <sheetName val="Cat_A_Supp_Auth2"/>
      <sheetName val="Cat_A_AI's2"/>
      <sheetName val="CAT_A_Anticipated2"/>
      <sheetName val="Cat_A_Change_Control2"/>
      <sheetName val="Developers_Fees2"/>
      <sheetName val="Cat_A_Contingency_Schedule2"/>
      <sheetName val="Cat_B_Exec_Summary2"/>
      <sheetName val="Cat_B_Supp_Auth2"/>
      <sheetName val="Cat_B_AI's2"/>
      <sheetName val="Cat_B_Change_Control2"/>
      <sheetName val="4_03_Recommendations_&amp;_Cashflow"/>
      <sheetName val="Standard_S-Curve_Data"/>
      <sheetName val="Information"/>
      <sheetName val="labour rates"/>
      <sheetName val="2nd "/>
      <sheetName val="Summary_Bank"/>
      <sheetName val=" Est "/>
      <sheetName val="Input"/>
      <sheetName val="Navigation Page"/>
      <sheetName val="Lookup"/>
      <sheetName val="1-1"/>
      <sheetName val="공사수행방안"/>
      <sheetName val="Development_Summary3"/>
      <sheetName val="Cash_Flow3"/>
      <sheetName val="BT_Direct_Works3"/>
      <sheetName val="Cat_A_Exec_Summary3"/>
      <sheetName val="Cat_A_Supp_Auth3"/>
      <sheetName val="Cat_A_AI's3"/>
      <sheetName val="CAT_A_Anticipated3"/>
      <sheetName val="Cat_A_Change_Control3"/>
      <sheetName val="Developers_Fees3"/>
      <sheetName val="Cat_A_Contingency_Schedule3"/>
      <sheetName val="Cat_B_Exec_Summary3"/>
      <sheetName val="Cat_B_Supp_Auth3"/>
      <sheetName val="Cat_B_AI's3"/>
      <sheetName val="Cat_B_Change_Control3"/>
      <sheetName val="Supplier"/>
      <sheetName val="VCH-SLC"/>
      <sheetName val="Pipe Bedding"/>
      <sheetName val="DOOR-WIND"/>
      <sheetName val="p&amp;m"/>
      <sheetName val="factors"/>
      <sheetName val="Labour"/>
      <sheetName val="RA-mark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
      <sheetName val="Time Codes"/>
      <sheetName val="Proj Code"/>
      <sheetName val="SUMMARY-client"/>
    </sheetNames>
    <sheetDataSet>
      <sheetData sheetId="0"/>
      <sheetData sheetId="1"/>
      <sheetData sheetId="2"/>
      <sheetData sheetId="3"/>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ft T5 (2)"/>
      <sheetName val="Raft T4 (2)"/>
      <sheetName val="Summary"/>
      <sheetName val="Footing"/>
      <sheetName val="Basement"/>
      <sheetName val="Reconcillation"/>
      <sheetName val="Sheet1"/>
      <sheetName val="Time Codes"/>
    </sheetNames>
    <sheetDataSet>
      <sheetData sheetId="0"/>
      <sheetData sheetId="1"/>
      <sheetData sheetId="2"/>
      <sheetData sheetId="3">
        <row r="8">
          <cell r="G8">
            <v>1</v>
          </cell>
        </row>
      </sheetData>
      <sheetData sheetId="4"/>
      <sheetData sheetId="5"/>
      <sheetData sheetId="6">
        <row r="4">
          <cell r="B4">
            <v>40</v>
          </cell>
        </row>
      </sheetData>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BOQ-ALL"/>
      <sheetName val="Builtup Area"/>
      <sheetName val="Car parking"/>
      <sheetName val="Meas.-Mall Part"/>
      <sheetName val="Meas.-Hotel Part"/>
      <sheetName val="Meas.-Office Part"/>
      <sheetName val="Meas.-Bazar Mall"/>
      <sheetName val="Assu. for Market City Pune"/>
      <sheetName val="Cat A Change Control"/>
      <sheetName val="Fill this out first..."/>
      <sheetName val="Data"/>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ying Stock 1.4.99"/>
      <sheetName val="Issues-RTS 0499 to 0999"/>
      <sheetName val="Phy Stock 30.9.99"/>
      <sheetName val="Lying Stock 30.9.99"/>
      <sheetName val="MAT0499"/>
      <sheetName val="Final Sheet"/>
      <sheetName val="MAT Summary"/>
      <sheetName val="MAT Consolidated"/>
      <sheetName val="Debit MAT 499 to 999"/>
      <sheetName val="Overheads"/>
      <sheetName val="Income"/>
      <sheetName val="Contractor wise work done (2)"/>
      <sheetName val="Contractor wise work done"/>
      <sheetName val="VCH-SLC"/>
      <sheetName val="Item Master"/>
      <sheetName val="Supplier"/>
      <sheetName val="gateway tower 0999 ctc"/>
      <sheetName val="CONTR+MATERIAL CTC"/>
      <sheetName val="Gateway Contractor 1099 - FINAL"/>
      <sheetName val="Balance Order 0110"/>
      <sheetName val="mat"/>
      <sheetName val="mat summ"/>
      <sheetName val="labour"/>
      <sheetName val="Civil Works"/>
      <sheetName val="labour ra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
          <cell r="A1" t="str">
            <v>CODE</v>
          </cell>
          <cell r="B1" t="str">
            <v>VOUCHER_DATE</v>
          </cell>
          <cell r="C1" t="str">
            <v>VOUCHER_NUMBER</v>
          </cell>
          <cell r="D1" t="str">
            <v>SL_CODE</v>
          </cell>
        </row>
        <row r="2">
          <cell r="A2" t="str">
            <v>362501095</v>
          </cell>
          <cell r="B2">
            <v>36250</v>
          </cell>
          <cell r="C2">
            <v>1095</v>
          </cell>
          <cell r="D2" t="str">
            <v>C062</v>
          </cell>
        </row>
        <row r="3">
          <cell r="A3" t="str">
            <v>362501095</v>
          </cell>
          <cell r="B3">
            <v>36250</v>
          </cell>
          <cell r="C3">
            <v>1095</v>
          </cell>
          <cell r="D3" t="str">
            <v>C160</v>
          </cell>
        </row>
        <row r="4">
          <cell r="A4" t="str">
            <v>362501095</v>
          </cell>
          <cell r="B4">
            <v>36250</v>
          </cell>
          <cell r="C4">
            <v>1095</v>
          </cell>
          <cell r="D4" t="str">
            <v>C395</v>
          </cell>
        </row>
        <row r="5">
          <cell r="A5" t="str">
            <v>362501095</v>
          </cell>
          <cell r="B5">
            <v>36250</v>
          </cell>
          <cell r="C5">
            <v>1095</v>
          </cell>
          <cell r="D5" t="str">
            <v>C918</v>
          </cell>
        </row>
        <row r="6">
          <cell r="A6" t="str">
            <v>362501095</v>
          </cell>
          <cell r="B6">
            <v>36250</v>
          </cell>
          <cell r="C6">
            <v>1095</v>
          </cell>
          <cell r="D6" t="str">
            <v>D123</v>
          </cell>
        </row>
        <row r="7">
          <cell r="A7" t="str">
            <v>362781007</v>
          </cell>
          <cell r="B7">
            <v>36278</v>
          </cell>
          <cell r="C7">
            <v>1007</v>
          </cell>
          <cell r="D7" t="str">
            <v>H066</v>
          </cell>
        </row>
        <row r="8">
          <cell r="A8" t="str">
            <v>362951005</v>
          </cell>
          <cell r="B8">
            <v>36295</v>
          </cell>
          <cell r="C8">
            <v>1005</v>
          </cell>
          <cell r="D8" t="str">
            <v>C048</v>
          </cell>
        </row>
        <row r="9">
          <cell r="A9" t="str">
            <v>363091019</v>
          </cell>
          <cell r="B9">
            <v>36309</v>
          </cell>
          <cell r="C9">
            <v>1019</v>
          </cell>
          <cell r="D9" t="str">
            <v>H066</v>
          </cell>
        </row>
        <row r="10">
          <cell r="A10" t="str">
            <v>363091020</v>
          </cell>
          <cell r="B10">
            <v>36309</v>
          </cell>
          <cell r="C10">
            <v>1020</v>
          </cell>
          <cell r="D10" t="str">
            <v>C048</v>
          </cell>
        </row>
        <row r="11">
          <cell r="A11" t="str">
            <v>363141002</v>
          </cell>
          <cell r="B11">
            <v>36314</v>
          </cell>
          <cell r="C11">
            <v>1002</v>
          </cell>
          <cell r="D11" t="str">
            <v>S181</v>
          </cell>
        </row>
        <row r="12">
          <cell r="A12" t="str">
            <v>363251010</v>
          </cell>
          <cell r="B12">
            <v>36325</v>
          </cell>
          <cell r="C12">
            <v>1010</v>
          </cell>
          <cell r="D12" t="str">
            <v>K114</v>
          </cell>
        </row>
        <row r="13">
          <cell r="A13" t="str">
            <v>363301014</v>
          </cell>
          <cell r="B13">
            <v>36330</v>
          </cell>
          <cell r="C13">
            <v>1014</v>
          </cell>
          <cell r="D13" t="str">
            <v>C048</v>
          </cell>
        </row>
        <row r="14">
          <cell r="A14" t="str">
            <v>363341016</v>
          </cell>
          <cell r="B14">
            <v>36334</v>
          </cell>
          <cell r="C14">
            <v>1016</v>
          </cell>
          <cell r="D14" t="str">
            <v>H066</v>
          </cell>
        </row>
        <row r="15">
          <cell r="A15" t="str">
            <v>363361020</v>
          </cell>
          <cell r="B15">
            <v>36336</v>
          </cell>
          <cell r="C15">
            <v>1020</v>
          </cell>
          <cell r="D15" t="str">
            <v>S181</v>
          </cell>
        </row>
        <row r="16">
          <cell r="A16" t="str">
            <v>363391021</v>
          </cell>
          <cell r="B16">
            <v>36339</v>
          </cell>
          <cell r="C16">
            <v>1021</v>
          </cell>
          <cell r="D16" t="str">
            <v>B120</v>
          </cell>
        </row>
        <row r="17">
          <cell r="A17" t="str">
            <v>363391022</v>
          </cell>
          <cell r="B17">
            <v>36339</v>
          </cell>
          <cell r="C17">
            <v>1022</v>
          </cell>
          <cell r="D17" t="str">
            <v>S436</v>
          </cell>
        </row>
        <row r="18">
          <cell r="A18" t="str">
            <v>363401023</v>
          </cell>
          <cell r="B18">
            <v>36340</v>
          </cell>
          <cell r="C18">
            <v>1023</v>
          </cell>
          <cell r="D18" t="str">
            <v>B099</v>
          </cell>
        </row>
        <row r="19">
          <cell r="A19" t="str">
            <v>363471003</v>
          </cell>
          <cell r="B19">
            <v>36347</v>
          </cell>
          <cell r="C19">
            <v>1003</v>
          </cell>
          <cell r="D19" t="str">
            <v>C048</v>
          </cell>
        </row>
        <row r="20">
          <cell r="A20" t="str">
            <v>363481010</v>
          </cell>
          <cell r="B20">
            <v>36348</v>
          </cell>
          <cell r="C20">
            <v>1010</v>
          </cell>
          <cell r="D20" t="str">
            <v>B099</v>
          </cell>
        </row>
        <row r="21">
          <cell r="A21" t="str">
            <v>363491011</v>
          </cell>
          <cell r="B21">
            <v>36349</v>
          </cell>
          <cell r="C21">
            <v>1011</v>
          </cell>
          <cell r="D21" t="str">
            <v>M011</v>
          </cell>
        </row>
        <row r="22">
          <cell r="A22" t="str">
            <v>363491012</v>
          </cell>
          <cell r="B22">
            <v>36349</v>
          </cell>
          <cell r="C22">
            <v>1012</v>
          </cell>
          <cell r="D22" t="str">
            <v>M247</v>
          </cell>
        </row>
        <row r="23">
          <cell r="A23" t="str">
            <v>363501013</v>
          </cell>
          <cell r="B23">
            <v>36350</v>
          </cell>
          <cell r="C23">
            <v>1013</v>
          </cell>
          <cell r="D23" t="str">
            <v>K114</v>
          </cell>
        </row>
        <row r="24">
          <cell r="A24" t="str">
            <v>363531016</v>
          </cell>
          <cell r="B24">
            <v>36353</v>
          </cell>
          <cell r="C24">
            <v>1016</v>
          </cell>
          <cell r="D24" t="str">
            <v>K144</v>
          </cell>
        </row>
        <row r="25">
          <cell r="A25" t="str">
            <v>363571021</v>
          </cell>
          <cell r="B25">
            <v>36357</v>
          </cell>
          <cell r="C25">
            <v>1021</v>
          </cell>
          <cell r="D25" t="str">
            <v>S436</v>
          </cell>
        </row>
        <row r="26">
          <cell r="A26" t="str">
            <v>363621024</v>
          </cell>
          <cell r="B26">
            <v>36362</v>
          </cell>
          <cell r="C26">
            <v>1024</v>
          </cell>
          <cell r="D26" t="str">
            <v>S181</v>
          </cell>
        </row>
        <row r="27">
          <cell r="A27" t="str">
            <v>363681026</v>
          </cell>
          <cell r="B27">
            <v>36368</v>
          </cell>
          <cell r="C27">
            <v>1026</v>
          </cell>
          <cell r="D27" t="str">
            <v>M011</v>
          </cell>
        </row>
        <row r="28">
          <cell r="A28" t="str">
            <v>363711032</v>
          </cell>
          <cell r="B28">
            <v>36371</v>
          </cell>
          <cell r="C28">
            <v>1032</v>
          </cell>
          <cell r="D28" t="str">
            <v>H066</v>
          </cell>
        </row>
        <row r="29">
          <cell r="A29" t="str">
            <v>363721033</v>
          </cell>
          <cell r="B29">
            <v>36372</v>
          </cell>
          <cell r="C29">
            <v>1033</v>
          </cell>
          <cell r="D29" t="str">
            <v>B120</v>
          </cell>
        </row>
        <row r="30">
          <cell r="A30" t="str">
            <v>363861010</v>
          </cell>
          <cell r="B30">
            <v>36386</v>
          </cell>
          <cell r="C30">
            <v>1010</v>
          </cell>
          <cell r="D30" t="str">
            <v>M247</v>
          </cell>
        </row>
        <row r="31">
          <cell r="A31" t="str">
            <v>363891012</v>
          </cell>
          <cell r="B31">
            <v>36389</v>
          </cell>
          <cell r="C31">
            <v>1012</v>
          </cell>
          <cell r="D31" t="str">
            <v>S033</v>
          </cell>
        </row>
        <row r="32">
          <cell r="A32" t="str">
            <v>364001019</v>
          </cell>
          <cell r="B32">
            <v>36400</v>
          </cell>
          <cell r="C32">
            <v>1019</v>
          </cell>
          <cell r="D32" t="str">
            <v>C048</v>
          </cell>
        </row>
        <row r="33">
          <cell r="A33" t="str">
            <v>364031024</v>
          </cell>
          <cell r="B33">
            <v>36403</v>
          </cell>
          <cell r="C33">
            <v>1024</v>
          </cell>
          <cell r="D33" t="str">
            <v>M011</v>
          </cell>
        </row>
        <row r="34">
          <cell r="A34" t="str">
            <v>364071003</v>
          </cell>
          <cell r="B34">
            <v>36407</v>
          </cell>
          <cell r="C34">
            <v>1003</v>
          </cell>
          <cell r="D34" t="str">
            <v>H066</v>
          </cell>
        </row>
        <row r="35">
          <cell r="A35" t="str">
            <v>364091004</v>
          </cell>
          <cell r="B35">
            <v>36409</v>
          </cell>
          <cell r="C35">
            <v>1004</v>
          </cell>
          <cell r="D35" t="str">
            <v>S436</v>
          </cell>
        </row>
        <row r="36">
          <cell r="A36" t="str">
            <v>364111005</v>
          </cell>
          <cell r="B36">
            <v>36411</v>
          </cell>
          <cell r="C36">
            <v>1005</v>
          </cell>
          <cell r="D36" t="str">
            <v>B120</v>
          </cell>
        </row>
        <row r="37">
          <cell r="A37" t="str">
            <v>364111006</v>
          </cell>
          <cell r="B37">
            <v>36411</v>
          </cell>
          <cell r="C37">
            <v>1006</v>
          </cell>
          <cell r="D37" t="str">
            <v>K144</v>
          </cell>
        </row>
        <row r="38">
          <cell r="A38" t="str">
            <v>364131009</v>
          </cell>
          <cell r="B38">
            <v>36413</v>
          </cell>
          <cell r="C38">
            <v>1009</v>
          </cell>
          <cell r="D38" t="str">
            <v>K114</v>
          </cell>
        </row>
        <row r="39">
          <cell r="A39" t="str">
            <v>364191013</v>
          </cell>
          <cell r="B39">
            <v>36419</v>
          </cell>
          <cell r="C39">
            <v>1013</v>
          </cell>
          <cell r="D39" t="str">
            <v>S181</v>
          </cell>
        </row>
        <row r="40">
          <cell r="A40" t="str">
            <v>364211016</v>
          </cell>
          <cell r="B40">
            <v>36421</v>
          </cell>
          <cell r="C40">
            <v>1016</v>
          </cell>
          <cell r="D40" t="str">
            <v>C048</v>
          </cell>
        </row>
        <row r="41">
          <cell r="A41" t="str">
            <v>364311021</v>
          </cell>
          <cell r="B41">
            <v>36431</v>
          </cell>
          <cell r="C41">
            <v>1021</v>
          </cell>
          <cell r="D41" t="str">
            <v>K114</v>
          </cell>
        </row>
        <row r="42">
          <cell r="A42" t="str">
            <v>364321023</v>
          </cell>
          <cell r="B42">
            <v>36432</v>
          </cell>
          <cell r="C42">
            <v>1023</v>
          </cell>
          <cell r="D42" t="str">
            <v>K144</v>
          </cell>
        </row>
        <row r="43">
          <cell r="A43" t="str">
            <v>364341001</v>
          </cell>
          <cell r="B43">
            <v>36434</v>
          </cell>
          <cell r="C43">
            <v>1001</v>
          </cell>
          <cell r="D43" t="str">
            <v>B099</v>
          </cell>
        </row>
        <row r="44">
          <cell r="A44" t="str">
            <v>364401006</v>
          </cell>
          <cell r="B44">
            <v>36440</v>
          </cell>
          <cell r="C44">
            <v>1006</v>
          </cell>
          <cell r="D44" t="str">
            <v>M011</v>
          </cell>
        </row>
        <row r="45">
          <cell r="A45" t="str">
            <v>364481011</v>
          </cell>
          <cell r="B45">
            <v>36448</v>
          </cell>
          <cell r="C45">
            <v>1011</v>
          </cell>
          <cell r="D45" t="str">
            <v>H066</v>
          </cell>
        </row>
        <row r="46">
          <cell r="A46" t="str">
            <v>364491013</v>
          </cell>
          <cell r="B46">
            <v>36449</v>
          </cell>
          <cell r="C46">
            <v>1013</v>
          </cell>
          <cell r="D46" t="str">
            <v>N133</v>
          </cell>
        </row>
        <row r="47">
          <cell r="A47" t="str">
            <v>364551018</v>
          </cell>
          <cell r="B47">
            <v>36455</v>
          </cell>
          <cell r="C47">
            <v>1018</v>
          </cell>
          <cell r="D47" t="str">
            <v>K114</v>
          </cell>
        </row>
        <row r="48">
          <cell r="A48" t="str">
            <v>364551019</v>
          </cell>
          <cell r="B48">
            <v>36455</v>
          </cell>
          <cell r="C48">
            <v>1019</v>
          </cell>
          <cell r="D48" t="str">
            <v>M011</v>
          </cell>
        </row>
      </sheetData>
      <sheetData sheetId="14"/>
      <sheetData sheetId="15">
        <row r="2">
          <cell r="A2" t="str">
            <v>A001</v>
          </cell>
          <cell r="B2" t="str">
            <v>ASSOCIATED SCIE. &amp; ENGG. WORKS</v>
          </cell>
        </row>
        <row r="3">
          <cell r="A3" t="str">
            <v>A002</v>
          </cell>
          <cell r="B3" t="str">
            <v>ASHWIN ENTERPRISES</v>
          </cell>
        </row>
        <row r="4">
          <cell r="A4" t="str">
            <v>A003</v>
          </cell>
          <cell r="B4" t="str">
            <v>A.K.S TILES PVT LTD.</v>
          </cell>
        </row>
        <row r="5">
          <cell r="A5" t="str">
            <v>A004</v>
          </cell>
          <cell r="B5" t="str">
            <v>AMARJEET SINGH &amp; CO.</v>
          </cell>
        </row>
        <row r="6">
          <cell r="A6" t="str">
            <v>A005</v>
          </cell>
          <cell r="B6" t="str">
            <v>AKG INDUSTRIES</v>
          </cell>
        </row>
        <row r="7">
          <cell r="A7" t="str">
            <v>A006</v>
          </cell>
          <cell r="B7" t="str">
            <v>ASHOK KUMAR GARG &amp; BROS.</v>
          </cell>
        </row>
        <row r="8">
          <cell r="A8" t="str">
            <v>A007</v>
          </cell>
          <cell r="B8" t="str">
            <v>AMAN MARBLES TRADERS</v>
          </cell>
        </row>
        <row r="9">
          <cell r="A9" t="str">
            <v>A008</v>
          </cell>
          <cell r="B9" t="str">
            <v>AGARWAL IRON INDUSTRIES</v>
          </cell>
        </row>
        <row r="10">
          <cell r="A10" t="str">
            <v>A009</v>
          </cell>
          <cell r="B10" t="str">
            <v>ANAND SALES CORP.</v>
          </cell>
        </row>
        <row r="11">
          <cell r="A11" t="str">
            <v>A010</v>
          </cell>
          <cell r="B11" t="str">
            <v>AJAY MITTAL &amp; CO.</v>
          </cell>
        </row>
        <row r="12">
          <cell r="A12" t="str">
            <v>A011</v>
          </cell>
          <cell r="B12" t="str">
            <v>AMAR LAMINATES (P) LTD.</v>
          </cell>
        </row>
        <row r="13">
          <cell r="A13" t="str">
            <v>A012</v>
          </cell>
          <cell r="B13" t="str">
            <v>ARGENT INDUSTRIES</v>
          </cell>
        </row>
        <row r="14">
          <cell r="A14" t="str">
            <v>A013</v>
          </cell>
          <cell r="B14" t="str">
            <v>A.K TRADERS</v>
          </cell>
        </row>
        <row r="15">
          <cell r="A15" t="str">
            <v>A014</v>
          </cell>
          <cell r="B15" t="str">
            <v>AL-KRAFT</v>
          </cell>
        </row>
        <row r="16">
          <cell r="A16" t="str">
            <v>A015</v>
          </cell>
          <cell r="B16" t="str">
            <v>ADVANCE INDUSTRIES</v>
          </cell>
        </row>
        <row r="17">
          <cell r="A17" t="str">
            <v>A016</v>
          </cell>
          <cell r="B17" t="str">
            <v>ASIA ELECTRIC COMPANY</v>
          </cell>
        </row>
        <row r="18">
          <cell r="A18" t="str">
            <v>A017</v>
          </cell>
          <cell r="B18" t="str">
            <v>ARZOO CONCRETE PRODUCT</v>
          </cell>
        </row>
        <row r="19">
          <cell r="A19" t="str">
            <v>A018</v>
          </cell>
          <cell r="B19" t="str">
            <v>ATUL GLASS INDUSTRIES LTD</v>
          </cell>
        </row>
        <row r="20">
          <cell r="A20" t="str">
            <v>A019</v>
          </cell>
          <cell r="B20" t="str">
            <v>AGGARWAL IRON &amp; STEEL COMPANY</v>
          </cell>
        </row>
        <row r="21">
          <cell r="A21" t="str">
            <v>A020</v>
          </cell>
          <cell r="B21" t="str">
            <v>ASHOKA PLYWOOD CO.</v>
          </cell>
        </row>
        <row r="22">
          <cell r="A22" t="str">
            <v>A021</v>
          </cell>
          <cell r="B22" t="str">
            <v>A.K CORPORATION</v>
          </cell>
        </row>
        <row r="23">
          <cell r="A23" t="str">
            <v>A022</v>
          </cell>
          <cell r="B23" t="str">
            <v>AKHSHYA LAXMI ENTERPPRISE</v>
          </cell>
        </row>
        <row r="24">
          <cell r="A24" t="str">
            <v>A023</v>
          </cell>
          <cell r="B24" t="str">
            <v>ASIAN LABORATORIES</v>
          </cell>
        </row>
        <row r="25">
          <cell r="A25" t="str">
            <v>A024</v>
          </cell>
          <cell r="B25" t="str">
            <v>ASSOCIATED STRIPS PRIVATE LTD.</v>
          </cell>
        </row>
        <row r="26">
          <cell r="A26" t="str">
            <v>A025</v>
          </cell>
          <cell r="B26" t="str">
            <v>AQUATECH ENGINEERS</v>
          </cell>
        </row>
        <row r="27">
          <cell r="A27" t="str">
            <v>A026</v>
          </cell>
          <cell r="B27" t="str">
            <v>A.K CARRIER</v>
          </cell>
        </row>
        <row r="28">
          <cell r="A28" t="str">
            <v>A027</v>
          </cell>
          <cell r="B28" t="str">
            <v>AMAR PAUL ENGG WORKS</v>
          </cell>
        </row>
        <row r="29">
          <cell r="A29" t="str">
            <v>A028</v>
          </cell>
          <cell r="B29" t="str">
            <v>ACROW INDIA LIMITED</v>
          </cell>
        </row>
        <row r="30">
          <cell r="A30" t="str">
            <v>A029</v>
          </cell>
          <cell r="B30" t="str">
            <v>ALPHA INDUSTRIES</v>
          </cell>
        </row>
        <row r="31">
          <cell r="A31" t="str">
            <v>A030</v>
          </cell>
          <cell r="B31" t="str">
            <v>AMARNATH SHARMA</v>
          </cell>
        </row>
        <row r="32">
          <cell r="A32" t="str">
            <v>A031</v>
          </cell>
          <cell r="B32" t="str">
            <v>ANSARI ELECTRICAL</v>
          </cell>
        </row>
        <row r="33">
          <cell r="A33" t="str">
            <v>A032</v>
          </cell>
          <cell r="B33" t="str">
            <v>AFSER KHAN</v>
          </cell>
        </row>
        <row r="34">
          <cell r="A34" t="str">
            <v>A033</v>
          </cell>
          <cell r="B34" t="str">
            <v>ASHOK KUMAR</v>
          </cell>
        </row>
        <row r="35">
          <cell r="A35" t="str">
            <v>A034</v>
          </cell>
          <cell r="B35" t="str">
            <v>AGGARWAL MARBLE TRADERS</v>
          </cell>
        </row>
        <row r="36">
          <cell r="A36" t="str">
            <v>A035</v>
          </cell>
          <cell r="B36" t="str">
            <v>ASEA BROWN BOVERI LTD.</v>
          </cell>
        </row>
        <row r="37">
          <cell r="A37" t="str">
            <v>A036</v>
          </cell>
          <cell r="B37" t="str">
            <v>ASHOKA ENTERPRISES</v>
          </cell>
        </row>
        <row r="38">
          <cell r="A38" t="str">
            <v>A037</v>
          </cell>
          <cell r="B38" t="str">
            <v>ATIL SANITARY WORKS</v>
          </cell>
        </row>
        <row r="39">
          <cell r="A39" t="str">
            <v>A038</v>
          </cell>
          <cell r="B39" t="str">
            <v>AJAY CHADHA</v>
          </cell>
        </row>
        <row r="40">
          <cell r="A40" t="str">
            <v>A039</v>
          </cell>
          <cell r="B40" t="str">
            <v>AKHILESH SHARMA</v>
          </cell>
        </row>
        <row r="41">
          <cell r="A41" t="str">
            <v>A040</v>
          </cell>
          <cell r="B41" t="str">
            <v>A.K.STEEL WORKS</v>
          </cell>
        </row>
        <row r="42">
          <cell r="A42" t="str">
            <v>A041</v>
          </cell>
          <cell r="B42" t="str">
            <v>ASHOK SINGH</v>
          </cell>
        </row>
        <row r="43">
          <cell r="A43" t="str">
            <v>A042</v>
          </cell>
          <cell r="B43" t="str">
            <v>A K STEEL FABRICATORS</v>
          </cell>
        </row>
        <row r="44">
          <cell r="A44" t="str">
            <v>A043</v>
          </cell>
          <cell r="B44" t="str">
            <v>AL KARMA</v>
          </cell>
        </row>
        <row r="45">
          <cell r="A45" t="str">
            <v>A044</v>
          </cell>
          <cell r="B45" t="str">
            <v>AUDIO RESEARCH</v>
          </cell>
        </row>
        <row r="46">
          <cell r="A46" t="str">
            <v>A045</v>
          </cell>
          <cell r="B46" t="str">
            <v>ADHUNIK CONSTRUCTION</v>
          </cell>
        </row>
        <row r="47">
          <cell r="A47" t="str">
            <v>A046</v>
          </cell>
          <cell r="B47" t="str">
            <v>ASHEY RAM</v>
          </cell>
        </row>
        <row r="48">
          <cell r="A48" t="str">
            <v>A047</v>
          </cell>
          <cell r="B48" t="str">
            <v>ACCOUNTS OFFICER GMT FARIDABAD - CASH</v>
          </cell>
        </row>
        <row r="49">
          <cell r="A49" t="str">
            <v>A048</v>
          </cell>
          <cell r="B49" t="str">
            <v>AMRIT CONTRACTS</v>
          </cell>
        </row>
        <row r="50">
          <cell r="A50" t="str">
            <v>A049</v>
          </cell>
          <cell r="B50" t="str">
            <v>AD VIEW ADVERTISING AGENCY</v>
          </cell>
        </row>
        <row r="51">
          <cell r="A51" t="str">
            <v>A050</v>
          </cell>
          <cell r="B51" t="str">
            <v>ANIL SHEKH</v>
          </cell>
        </row>
        <row r="52">
          <cell r="A52" t="str">
            <v>A051</v>
          </cell>
          <cell r="B52" t="str">
            <v>AMBANI ENTERPRISES</v>
          </cell>
        </row>
        <row r="53">
          <cell r="A53" t="str">
            <v>A052</v>
          </cell>
          <cell r="B53" t="str">
            <v>ASHOK TRADERS &amp; ENGINEERS</v>
          </cell>
        </row>
        <row r="54">
          <cell r="A54" t="str">
            <v>A053</v>
          </cell>
          <cell r="B54" t="str">
            <v>AMAN TRACTORS</v>
          </cell>
        </row>
        <row r="55">
          <cell r="A55" t="str">
            <v>A054</v>
          </cell>
          <cell r="B55" t="str">
            <v>ADEPT TELECOMM PVT. LTD.</v>
          </cell>
        </row>
        <row r="56">
          <cell r="A56" t="str">
            <v>A055</v>
          </cell>
          <cell r="B56" t="str">
            <v>ARTEK ENTERPRISES PVT. LTD.</v>
          </cell>
        </row>
        <row r="57">
          <cell r="A57" t="str">
            <v>A056</v>
          </cell>
          <cell r="B57" t="str">
            <v>ASHOKA BUILDERS PVT. LTD.</v>
          </cell>
        </row>
        <row r="58">
          <cell r="A58" t="str">
            <v>A057</v>
          </cell>
          <cell r="B58" t="str">
            <v>ABHIMANYU CONSTRUCTIONS</v>
          </cell>
        </row>
        <row r="59">
          <cell r="A59" t="str">
            <v>A058</v>
          </cell>
          <cell r="B59" t="str">
            <v>AMLESH ENGG. ASSOCIATES</v>
          </cell>
        </row>
        <row r="60">
          <cell r="A60" t="str">
            <v>A059</v>
          </cell>
          <cell r="B60" t="str">
            <v>AHMED BUILDERS</v>
          </cell>
        </row>
        <row r="61">
          <cell r="A61" t="str">
            <v>A060</v>
          </cell>
          <cell r="B61" t="str">
            <v>ANIL KUMAR GUPTA</v>
          </cell>
        </row>
        <row r="62">
          <cell r="A62" t="str">
            <v>A061</v>
          </cell>
          <cell r="B62" t="str">
            <v>ARUNACHAL FOREST PRODUCT LTD.</v>
          </cell>
        </row>
        <row r="63">
          <cell r="A63" t="str">
            <v>A062</v>
          </cell>
          <cell r="B63" t="str">
            <v>ASHOK COMPNAY</v>
          </cell>
        </row>
        <row r="64">
          <cell r="A64" t="str">
            <v>A063</v>
          </cell>
          <cell r="B64" t="str">
            <v>ANAND SANITARY SALES</v>
          </cell>
        </row>
        <row r="65">
          <cell r="A65" t="str">
            <v>A064</v>
          </cell>
          <cell r="B65" t="str">
            <v>A K BHOWMICK</v>
          </cell>
        </row>
        <row r="66">
          <cell r="A66" t="str">
            <v>A065</v>
          </cell>
          <cell r="B66" t="str">
            <v>ANAND PRAKASH</v>
          </cell>
        </row>
        <row r="67">
          <cell r="A67" t="str">
            <v>A066</v>
          </cell>
          <cell r="B67" t="str">
            <v>AJAY KUMAR</v>
          </cell>
        </row>
        <row r="68">
          <cell r="A68" t="str">
            <v>A067</v>
          </cell>
          <cell r="B68" t="str">
            <v>ASSOCIATED ENGINEERS &amp; CONTRACTORS</v>
          </cell>
        </row>
        <row r="69">
          <cell r="A69" t="str">
            <v>A068</v>
          </cell>
          <cell r="B69" t="str">
            <v>AIDAN &amp; CO.</v>
          </cell>
        </row>
        <row r="70">
          <cell r="A70" t="str">
            <v>A069</v>
          </cell>
          <cell r="B70" t="str">
            <v>AKBAR SHAH</v>
          </cell>
        </row>
        <row r="71">
          <cell r="A71" t="str">
            <v>A070</v>
          </cell>
          <cell r="B71" t="str">
            <v>ANNES(INOP.)</v>
          </cell>
        </row>
        <row r="72">
          <cell r="A72" t="str">
            <v>A071</v>
          </cell>
          <cell r="B72" t="str">
            <v>A K SAHOO</v>
          </cell>
        </row>
        <row r="73">
          <cell r="A73" t="str">
            <v>A072</v>
          </cell>
          <cell r="B73" t="str">
            <v>ALWINS INDIA</v>
          </cell>
        </row>
        <row r="74">
          <cell r="A74" t="str">
            <v>A073</v>
          </cell>
          <cell r="B74" t="str">
            <v>ARVIND KUMAR</v>
          </cell>
        </row>
        <row r="75">
          <cell r="A75" t="str">
            <v>A074</v>
          </cell>
          <cell r="B75" t="str">
            <v>ABDUL HUSSAIN</v>
          </cell>
        </row>
        <row r="76">
          <cell r="A76" t="str">
            <v>A075</v>
          </cell>
          <cell r="B76" t="str">
            <v>AMAR NATH BHATT</v>
          </cell>
        </row>
        <row r="77">
          <cell r="A77" t="str">
            <v>A076</v>
          </cell>
          <cell r="B77" t="str">
            <v>ANANT RAJ CLAY PRODUCTS LTD.</v>
          </cell>
        </row>
        <row r="78">
          <cell r="A78" t="str">
            <v>A077</v>
          </cell>
          <cell r="B78" t="str">
            <v>AL-TECH ENGINEERS PVT. LTD.</v>
          </cell>
        </row>
        <row r="79">
          <cell r="A79" t="str">
            <v>A078</v>
          </cell>
          <cell r="B79" t="str">
            <v>ASHOKA TRANSPORT CO.</v>
          </cell>
        </row>
        <row r="80">
          <cell r="A80" t="str">
            <v>A079</v>
          </cell>
          <cell r="B80" t="str">
            <v>A.K.G. INDUSTRIES (GURGAON)</v>
          </cell>
        </row>
        <row r="81">
          <cell r="A81" t="str">
            <v>A080</v>
          </cell>
          <cell r="B81" t="str">
            <v>ANIL KUMAR THAKUR</v>
          </cell>
        </row>
        <row r="82">
          <cell r="A82" t="str">
            <v>A081</v>
          </cell>
          <cell r="B82" t="str">
            <v>ANKUR BUILDERS</v>
          </cell>
        </row>
        <row r="83">
          <cell r="A83" t="str">
            <v>A082</v>
          </cell>
          <cell r="B83" t="str">
            <v>ALFA MANUFACTURING</v>
          </cell>
        </row>
        <row r="84">
          <cell r="A84" t="str">
            <v>A083</v>
          </cell>
          <cell r="B84" t="str">
            <v>ARJUN BHATTA CO.</v>
          </cell>
        </row>
        <row r="85">
          <cell r="A85" t="str">
            <v>A084</v>
          </cell>
          <cell r="B85" t="str">
            <v>ARORA BUILDING MATERIAL SUPPLIER</v>
          </cell>
        </row>
        <row r="86">
          <cell r="A86" t="str">
            <v>A085</v>
          </cell>
          <cell r="B86" t="str">
            <v>ARCHITECT &amp; ENGINEERS</v>
          </cell>
        </row>
        <row r="87">
          <cell r="A87" t="str">
            <v>A086</v>
          </cell>
          <cell r="B87" t="str">
            <v>ASHISH GOSH</v>
          </cell>
        </row>
        <row r="88">
          <cell r="A88" t="str">
            <v>A087</v>
          </cell>
          <cell r="B88" t="str">
            <v>ASHOK KUMAR RAJESH KUMAR</v>
          </cell>
        </row>
        <row r="89">
          <cell r="A89" t="str">
            <v>A088</v>
          </cell>
          <cell r="B89" t="str">
            <v>AMRENDRA KUMAR</v>
          </cell>
        </row>
        <row r="90">
          <cell r="A90" t="str">
            <v>A089</v>
          </cell>
          <cell r="B90" t="str">
            <v>ARUNITA ASSOCIATES</v>
          </cell>
        </row>
        <row r="91">
          <cell r="A91" t="str">
            <v>A090</v>
          </cell>
          <cell r="B91" t="str">
            <v>ATLANTA DEVELOPERS (P) LTD.</v>
          </cell>
        </row>
        <row r="92">
          <cell r="A92" t="str">
            <v>A091</v>
          </cell>
          <cell r="B92" t="str">
            <v>ARJAN DASS</v>
          </cell>
        </row>
        <row r="93">
          <cell r="A93" t="str">
            <v>A092</v>
          </cell>
          <cell r="B93" t="str">
            <v>ARUN BHOLA</v>
          </cell>
        </row>
        <row r="94">
          <cell r="A94" t="str">
            <v>A093</v>
          </cell>
          <cell r="B94" t="str">
            <v>AMBIKA EARTH MOVERS</v>
          </cell>
        </row>
        <row r="95">
          <cell r="A95" t="str">
            <v>A094</v>
          </cell>
          <cell r="B95" t="str">
            <v>AJIT SINGH YADAV</v>
          </cell>
        </row>
        <row r="96">
          <cell r="A96" t="str">
            <v>A095</v>
          </cell>
          <cell r="B96" t="str">
            <v>AKASH GLASS</v>
          </cell>
        </row>
        <row r="97">
          <cell r="A97" t="str">
            <v>A096</v>
          </cell>
          <cell r="B97" t="str">
            <v>ASHOK KUMAR CHADHA &amp; CO.</v>
          </cell>
        </row>
        <row r="98">
          <cell r="A98" t="str">
            <v>A097</v>
          </cell>
          <cell r="B98" t="str">
            <v>AGGARWAL CORPORATION</v>
          </cell>
        </row>
        <row r="99">
          <cell r="A99" t="str">
            <v>A098</v>
          </cell>
          <cell r="B99" t="str">
            <v>ALAUDDIN PAINTING &amp; CIVIL CONTRACTOR</v>
          </cell>
        </row>
        <row r="100">
          <cell r="A100" t="str">
            <v>A099</v>
          </cell>
          <cell r="B100" t="str">
            <v>ASHWANI KUMAR</v>
          </cell>
        </row>
        <row r="101">
          <cell r="A101" t="str">
            <v>A100</v>
          </cell>
          <cell r="B101" t="str">
            <v>A</v>
          </cell>
        </row>
        <row r="102">
          <cell r="A102" t="str">
            <v>A101</v>
          </cell>
          <cell r="B102" t="str">
            <v>ALOK BANNERJEE(INOP.)</v>
          </cell>
        </row>
        <row r="103">
          <cell r="A103" t="str">
            <v>A102</v>
          </cell>
          <cell r="B103" t="str">
            <v>ARJUN LAL(INOP.)</v>
          </cell>
        </row>
        <row r="104">
          <cell r="A104" t="str">
            <v>A103</v>
          </cell>
          <cell r="B104" t="str">
            <v>AGYA STONE INDUSTRIES(INOP.)</v>
          </cell>
        </row>
        <row r="105">
          <cell r="A105" t="str">
            <v>A104</v>
          </cell>
          <cell r="B105" t="str">
            <v>ABDUL KHAYYAM</v>
          </cell>
        </row>
        <row r="106">
          <cell r="A106" t="str">
            <v>A105</v>
          </cell>
          <cell r="B106" t="str">
            <v>ALOK BANDHOPADHYA(INOP.)</v>
          </cell>
        </row>
        <row r="107">
          <cell r="A107" t="str">
            <v>A106</v>
          </cell>
          <cell r="B107" t="str">
            <v>AMAR CARRIERS</v>
          </cell>
        </row>
        <row r="108">
          <cell r="A108" t="str">
            <v>A107</v>
          </cell>
          <cell r="B108" t="str">
            <v>ARIES MARBLES(INOP.)</v>
          </cell>
        </row>
        <row r="109">
          <cell r="A109" t="str">
            <v>A108</v>
          </cell>
          <cell r="B109" t="str">
            <v>A.KUMAR</v>
          </cell>
        </row>
        <row r="110">
          <cell r="A110" t="str">
            <v>A109</v>
          </cell>
          <cell r="B110" t="str">
            <v>AKSHAY NARAIN</v>
          </cell>
        </row>
        <row r="111">
          <cell r="A111" t="str">
            <v>A110</v>
          </cell>
          <cell r="B111" t="str">
            <v>ASHISH BUILDERS</v>
          </cell>
        </row>
        <row r="112">
          <cell r="A112" t="str">
            <v>A111</v>
          </cell>
          <cell r="B112" t="str">
            <v>AJAY BAHL &amp; CO.(INOP.)</v>
          </cell>
        </row>
        <row r="113">
          <cell r="A113" t="str">
            <v>A112</v>
          </cell>
          <cell r="B113" t="str">
            <v>AMBA LAL</v>
          </cell>
        </row>
        <row r="114">
          <cell r="A114" t="str">
            <v>A113</v>
          </cell>
          <cell r="B114" t="str">
            <v>AZAD TRUNK FACTORY</v>
          </cell>
        </row>
        <row r="115">
          <cell r="A115" t="str">
            <v>A114</v>
          </cell>
          <cell r="B115" t="str">
            <v>ASHOK LEYLAND LTD.</v>
          </cell>
        </row>
        <row r="116">
          <cell r="A116" t="str">
            <v>A115</v>
          </cell>
          <cell r="B116" t="str">
            <v>ANEJA CRANE SERVICE</v>
          </cell>
        </row>
        <row r="117">
          <cell r="A117" t="str">
            <v>A116</v>
          </cell>
          <cell r="B117" t="str">
            <v>ALFA AIRCONDITIONING PVT. LTD.</v>
          </cell>
        </row>
        <row r="118">
          <cell r="A118" t="str">
            <v>A117</v>
          </cell>
          <cell r="B118" t="str">
            <v>ASHA NAND ROSHAN LAL(P) LTD.</v>
          </cell>
        </row>
        <row r="119">
          <cell r="A119" t="str">
            <v>A118</v>
          </cell>
          <cell r="B119" t="str">
            <v>ARUN KUMAR GUPTA</v>
          </cell>
        </row>
        <row r="120">
          <cell r="A120" t="str">
            <v>A119</v>
          </cell>
          <cell r="B120" t="str">
            <v>A K STEEL WORKS</v>
          </cell>
        </row>
        <row r="121">
          <cell r="A121" t="str">
            <v>A120</v>
          </cell>
          <cell r="B121" t="str">
            <v>ASHOK SINGH</v>
          </cell>
        </row>
        <row r="122">
          <cell r="A122" t="str">
            <v>A121</v>
          </cell>
          <cell r="B122" t="str">
            <v>ACME LOCKS LIMITED</v>
          </cell>
        </row>
        <row r="123">
          <cell r="A123" t="str">
            <v>A122</v>
          </cell>
          <cell r="B123" t="str">
            <v>AGGARWAL MARBLE HOUSE</v>
          </cell>
        </row>
        <row r="124">
          <cell r="A124" t="str">
            <v>A123</v>
          </cell>
          <cell r="B124" t="str">
            <v>A &amp; R ASSOCIATE</v>
          </cell>
        </row>
        <row r="125">
          <cell r="A125" t="str">
            <v>A124</v>
          </cell>
          <cell r="B125" t="str">
            <v>ABM ENGINEERING &amp; SURVEYORS</v>
          </cell>
        </row>
        <row r="126">
          <cell r="A126" t="str">
            <v>A125</v>
          </cell>
          <cell r="B126" t="str">
            <v>ASHOKA INDUSTRIES</v>
          </cell>
        </row>
        <row r="127">
          <cell r="A127" t="str">
            <v>A126</v>
          </cell>
          <cell r="B127" t="str">
            <v>AVINASH GOKHLE &amp; ASSOCIATES</v>
          </cell>
        </row>
        <row r="128">
          <cell r="A128" t="str">
            <v>A127</v>
          </cell>
          <cell r="B128" t="str">
            <v>ANJAN LALL RENDERING</v>
          </cell>
        </row>
        <row r="129">
          <cell r="A129" t="str">
            <v>A128</v>
          </cell>
          <cell r="B129" t="str">
            <v>ACCESS FORMWORK &amp; SCAFFOLDING (P) LTD.</v>
          </cell>
        </row>
        <row r="130">
          <cell r="A130" t="str">
            <v>A129</v>
          </cell>
          <cell r="B130" t="str">
            <v>ASSOCIATED INDUSTRIES</v>
          </cell>
        </row>
        <row r="131">
          <cell r="A131" t="str">
            <v>A130</v>
          </cell>
          <cell r="B131" t="str">
            <v>ALAKNANDA ADVERTISING PRIVATE LIMITED</v>
          </cell>
        </row>
        <row r="132">
          <cell r="A132" t="str">
            <v>A131</v>
          </cell>
          <cell r="B132" t="str">
            <v>ANIL SETH</v>
          </cell>
        </row>
        <row r="133">
          <cell r="A133" t="str">
            <v>A132</v>
          </cell>
          <cell r="B133" t="str">
            <v>ACTUAL STRUCTURE</v>
          </cell>
        </row>
        <row r="134">
          <cell r="A134" t="str">
            <v>A133</v>
          </cell>
          <cell r="B134" t="str">
            <v>ATIAR NURSERY</v>
          </cell>
        </row>
        <row r="135">
          <cell r="A135" t="str">
            <v>A134</v>
          </cell>
          <cell r="B135" t="str">
            <v>A G SUPPLY CO.</v>
          </cell>
        </row>
        <row r="136">
          <cell r="A136" t="str">
            <v>A135</v>
          </cell>
          <cell r="B136" t="str">
            <v>ACCEL AUTOMATION LTD.</v>
          </cell>
        </row>
        <row r="137">
          <cell r="A137" t="str">
            <v>A136</v>
          </cell>
          <cell r="B137" t="str">
            <v>M/S ACROLUX INTERIORS</v>
          </cell>
        </row>
        <row r="138">
          <cell r="A138" t="str">
            <v>A137</v>
          </cell>
          <cell r="B138" t="str">
            <v>ANGELS SOLUTIONS (P) LTD.</v>
          </cell>
        </row>
        <row r="139">
          <cell r="A139" t="str">
            <v>A138</v>
          </cell>
          <cell r="B139" t="str">
            <v>ADI ENTERPRISES</v>
          </cell>
        </row>
        <row r="140">
          <cell r="A140" t="str">
            <v>A139</v>
          </cell>
          <cell r="B140" t="str">
            <v>A K ENTERPRISES</v>
          </cell>
        </row>
        <row r="141">
          <cell r="A141" t="str">
            <v>A140</v>
          </cell>
          <cell r="B141" t="str">
            <v>ALTERNATIVE SYSTEMS</v>
          </cell>
        </row>
        <row r="142">
          <cell r="A142" t="str">
            <v>A162</v>
          </cell>
          <cell r="B142" t="str">
            <v>AQUAGRUP</v>
          </cell>
        </row>
        <row r="143">
          <cell r="A143" t="str">
            <v>A163</v>
          </cell>
          <cell r="B143" t="str">
            <v>ANVA CORPORATION</v>
          </cell>
        </row>
        <row r="144">
          <cell r="A144" t="str">
            <v>A164</v>
          </cell>
          <cell r="B144" t="str">
            <v>AVIATION &amp; AVIONIC CONSULTANTS</v>
          </cell>
        </row>
        <row r="145">
          <cell r="A145" t="str">
            <v>A165</v>
          </cell>
          <cell r="B145" t="str">
            <v>ANURAG STEEL CORPORATION</v>
          </cell>
        </row>
        <row r="146">
          <cell r="A146" t="str">
            <v>A166</v>
          </cell>
          <cell r="B146" t="str">
            <v>ANCHOR ELECTRONICS &amp; ELECTRICALS LTD.</v>
          </cell>
        </row>
        <row r="147">
          <cell r="A147" t="str">
            <v>A167</v>
          </cell>
          <cell r="B147" t="str">
            <v>ASSOCIATED TRADING CO.</v>
          </cell>
        </row>
        <row r="148">
          <cell r="A148" t="str">
            <v>A168</v>
          </cell>
          <cell r="B148" t="str">
            <v>AN-TECH TRAVEL HOUSE</v>
          </cell>
        </row>
        <row r="149">
          <cell r="A149" t="str">
            <v>A169</v>
          </cell>
          <cell r="B149" t="str">
            <v>ASIA ENGINEERING COMPANY</v>
          </cell>
        </row>
        <row r="150">
          <cell r="A150" t="str">
            <v>A170</v>
          </cell>
          <cell r="B150" t="str">
            <v>AHUJA ELECTRICAL AND SALES AGENCIES</v>
          </cell>
        </row>
        <row r="151">
          <cell r="A151" t="str">
            <v>A171</v>
          </cell>
          <cell r="B151" t="str">
            <v>ANAND MACHINERY STORE</v>
          </cell>
        </row>
        <row r="152">
          <cell r="A152" t="str">
            <v>A172</v>
          </cell>
          <cell r="B152" t="str">
            <v>ASIA LMI PVT LTD.</v>
          </cell>
        </row>
        <row r="153">
          <cell r="A153" t="str">
            <v>A173</v>
          </cell>
          <cell r="B153" t="str">
            <v>AMAN SCALES (P) LTD.</v>
          </cell>
        </row>
        <row r="154">
          <cell r="A154" t="str">
            <v>A174</v>
          </cell>
          <cell r="B154" t="str">
            <v>ARAVALI GRIT UDYOG</v>
          </cell>
        </row>
        <row r="155">
          <cell r="A155" t="str">
            <v>A175</v>
          </cell>
          <cell r="B155" t="str">
            <v>AWADESH RAI</v>
          </cell>
        </row>
        <row r="156">
          <cell r="A156" t="str">
            <v>A176</v>
          </cell>
          <cell r="B156" t="str">
            <v>AMAR SINGH (TRANSPORT CONTRACTOR)</v>
          </cell>
        </row>
        <row r="157">
          <cell r="A157" t="str">
            <v>A177</v>
          </cell>
          <cell r="B157" t="str">
            <v>ASHATA ELECTRICAL &amp; ENGINEERS</v>
          </cell>
        </row>
        <row r="158">
          <cell r="A158" t="str">
            <v>A178</v>
          </cell>
          <cell r="B158" t="str">
            <v>ATO (I) LTD</v>
          </cell>
        </row>
        <row r="159">
          <cell r="A159" t="str">
            <v>A179</v>
          </cell>
          <cell r="B159" t="str">
            <v>ARCHINTEX</v>
          </cell>
        </row>
        <row r="160">
          <cell r="A160" t="str">
            <v>A180</v>
          </cell>
          <cell r="B160" t="str">
            <v>ALPHABETICS PVT. LTD.</v>
          </cell>
        </row>
        <row r="161">
          <cell r="A161" t="str">
            <v>A181</v>
          </cell>
          <cell r="B161" t="str">
            <v>ATCO PRODUCTS LTD.</v>
          </cell>
        </row>
        <row r="162">
          <cell r="A162" t="str">
            <v>A182</v>
          </cell>
          <cell r="B162" t="str">
            <v>ANKUR</v>
          </cell>
        </row>
        <row r="163">
          <cell r="A163" t="str">
            <v>A183</v>
          </cell>
          <cell r="B163" t="str">
            <v>A.K. TRANSPORT</v>
          </cell>
        </row>
        <row r="164">
          <cell r="A164" t="str">
            <v>A184</v>
          </cell>
          <cell r="B164" t="str">
            <v>AHUJA AIRCONDITIONERS</v>
          </cell>
        </row>
        <row r="165">
          <cell r="A165" t="str">
            <v>A185</v>
          </cell>
          <cell r="B165" t="str">
            <v>AVERY INDIA LIMITED</v>
          </cell>
        </row>
        <row r="166">
          <cell r="A166" t="str">
            <v>A186</v>
          </cell>
          <cell r="B166" t="str">
            <v>ADEQUATE STEEL FABRICATORS</v>
          </cell>
        </row>
        <row r="167">
          <cell r="A167" t="str">
            <v>A187</v>
          </cell>
          <cell r="B167" t="str">
            <v>ABACUS ENGINEERING COMPANY</v>
          </cell>
        </row>
        <row r="168">
          <cell r="A168" t="str">
            <v>A188</v>
          </cell>
          <cell r="B168" t="str">
            <v>AKINCO</v>
          </cell>
        </row>
        <row r="169">
          <cell r="A169" t="str">
            <v>A189</v>
          </cell>
          <cell r="B169" t="str">
            <v>DR ANJNA SHARMA</v>
          </cell>
        </row>
        <row r="170">
          <cell r="A170" t="str">
            <v>A190</v>
          </cell>
          <cell r="B170" t="str">
            <v>DR. ANJANA SHARMA</v>
          </cell>
        </row>
        <row r="171">
          <cell r="A171" t="str">
            <v>A191</v>
          </cell>
          <cell r="B171" t="str">
            <v>ASHOK KASHYPAL</v>
          </cell>
        </row>
        <row r="172">
          <cell r="A172" t="str">
            <v>A192</v>
          </cell>
          <cell r="B172" t="str">
            <v>ATCO INDUSTRIES LTD.</v>
          </cell>
        </row>
        <row r="173">
          <cell r="A173" t="str">
            <v>A193</v>
          </cell>
          <cell r="B173" t="str">
            <v>AGARWAL MARBLES &amp; INDUSTRIES LTD</v>
          </cell>
        </row>
        <row r="174">
          <cell r="A174" t="str">
            <v>A194</v>
          </cell>
          <cell r="B174" t="str">
            <v>ARAVALI GRIT SUPPLIER</v>
          </cell>
        </row>
        <row r="175">
          <cell r="A175" t="str">
            <v>A195</v>
          </cell>
          <cell r="B175" t="str">
            <v>ANIL KUMAR</v>
          </cell>
        </row>
        <row r="176">
          <cell r="A176" t="str">
            <v>A196</v>
          </cell>
          <cell r="B176" t="str">
            <v>AJANTA  RUBBER COMPANY</v>
          </cell>
        </row>
        <row r="177">
          <cell r="A177" t="str">
            <v>A197</v>
          </cell>
          <cell r="B177" t="str">
            <v>ARISTO BUILDING MATERIALS (P) LTD.</v>
          </cell>
        </row>
        <row r="178">
          <cell r="A178" t="str">
            <v>A198</v>
          </cell>
          <cell r="B178" t="str">
            <v>AUTOMATION TECHNOLOGIES</v>
          </cell>
        </row>
        <row r="179">
          <cell r="A179" t="str">
            <v>A199</v>
          </cell>
          <cell r="B179" t="str">
            <v>ANDREW YULE &amp; CO LTD</v>
          </cell>
        </row>
        <row r="180">
          <cell r="A180" t="str">
            <v>A200</v>
          </cell>
          <cell r="B180" t="str">
            <v>ARCAP ASSOCIATES PVT. LTD.</v>
          </cell>
        </row>
        <row r="181">
          <cell r="A181" t="str">
            <v>A201</v>
          </cell>
          <cell r="B181" t="str">
            <v>ARCOP ASSOCIATES PVT. LTD.</v>
          </cell>
        </row>
        <row r="182">
          <cell r="A182" t="str">
            <v>A202</v>
          </cell>
          <cell r="B182" t="str">
            <v>AKT COMMUNICATION</v>
          </cell>
        </row>
        <row r="183">
          <cell r="A183" t="str">
            <v>A203</v>
          </cell>
          <cell r="B183" t="str">
            <v>ANKUR ELECTRICAL</v>
          </cell>
        </row>
        <row r="184">
          <cell r="A184" t="str">
            <v>A204</v>
          </cell>
          <cell r="B184" t="str">
            <v>ASSOCIATED STEELS</v>
          </cell>
        </row>
        <row r="185">
          <cell r="A185" t="str">
            <v>A205</v>
          </cell>
          <cell r="B185" t="str">
            <v>ADITYA CHEMICALS</v>
          </cell>
        </row>
        <row r="186">
          <cell r="A186" t="str">
            <v>A206</v>
          </cell>
          <cell r="B186" t="str">
            <v>ASHA STONE CRUSHING CO.</v>
          </cell>
        </row>
        <row r="187">
          <cell r="A187" t="str">
            <v>A207</v>
          </cell>
          <cell r="B187" t="str">
            <v>ARJUN SINGH</v>
          </cell>
        </row>
        <row r="188">
          <cell r="A188" t="str">
            <v>A208</v>
          </cell>
          <cell r="B188" t="str">
            <v>ANIS AHMED</v>
          </cell>
        </row>
        <row r="189">
          <cell r="A189" t="str">
            <v>A209</v>
          </cell>
          <cell r="B189" t="str">
            <v>ARVIND SINGH(SCRAP WALA)</v>
          </cell>
        </row>
        <row r="190">
          <cell r="A190" t="str">
            <v>A210</v>
          </cell>
          <cell r="B190" t="str">
            <v>AEC ENTERPRICES LTD.</v>
          </cell>
        </row>
        <row r="191">
          <cell r="A191" t="str">
            <v>A211</v>
          </cell>
          <cell r="B191" t="str">
            <v>AQUA FAUCETS PVT. LTD.</v>
          </cell>
        </row>
        <row r="192">
          <cell r="A192" t="str">
            <v>A212</v>
          </cell>
          <cell r="B192" t="str">
            <v>AMIT TRADING CO.</v>
          </cell>
        </row>
        <row r="193">
          <cell r="A193" t="str">
            <v>A213</v>
          </cell>
          <cell r="B193" t="str">
            <v>ALPHA TECH INDIA</v>
          </cell>
        </row>
        <row r="194">
          <cell r="A194" t="str">
            <v>A214</v>
          </cell>
          <cell r="B194" t="str">
            <v>A B CONSULTANTS</v>
          </cell>
        </row>
        <row r="195">
          <cell r="A195" t="str">
            <v>A215</v>
          </cell>
          <cell r="B195" t="str">
            <v>ASHOK KUMAR CHHABRA &amp; CO.</v>
          </cell>
        </row>
        <row r="196">
          <cell r="A196" t="str">
            <v>A216</v>
          </cell>
          <cell r="B196" t="str">
            <v>ANKAN DESIGNING AND PRINING</v>
          </cell>
        </row>
        <row r="197">
          <cell r="A197" t="str">
            <v>A217</v>
          </cell>
          <cell r="B197" t="str">
            <v>ADHUNIC CONSTRUCTIONS</v>
          </cell>
        </row>
        <row r="198">
          <cell r="A198" t="str">
            <v>A218</v>
          </cell>
          <cell r="B198" t="str">
            <v>AHIRWAL TYRES</v>
          </cell>
        </row>
        <row r="199">
          <cell r="A199" t="str">
            <v>A219</v>
          </cell>
          <cell r="B199" t="str">
            <v>ANAND HOSPITAL</v>
          </cell>
        </row>
        <row r="200">
          <cell r="A200" t="str">
            <v>A220</v>
          </cell>
          <cell r="B200" t="str">
            <v>ANIL KUMAR</v>
          </cell>
        </row>
        <row r="201">
          <cell r="A201" t="str">
            <v>A221</v>
          </cell>
          <cell r="B201" t="str">
            <v>AARGEE ENGINEERING &amp; CO.</v>
          </cell>
        </row>
        <row r="202">
          <cell r="A202" t="str">
            <v>A222</v>
          </cell>
          <cell r="B202" t="str">
            <v>AUTO NEEDS INDIA PVT. LTD.</v>
          </cell>
        </row>
        <row r="203">
          <cell r="A203" t="str">
            <v>A223</v>
          </cell>
          <cell r="B203" t="str">
            <v>AIMIL LTD.</v>
          </cell>
        </row>
        <row r="204">
          <cell r="A204" t="str">
            <v>A224</v>
          </cell>
          <cell r="B204" t="str">
            <v>ASHA CHANDRA</v>
          </cell>
        </row>
        <row r="205">
          <cell r="A205" t="str">
            <v>A225</v>
          </cell>
          <cell r="B205" t="str">
            <v>AGRWAL SALES CORPORATION</v>
          </cell>
        </row>
        <row r="206">
          <cell r="A206" t="str">
            <v>A226</v>
          </cell>
          <cell r="B206" t="str">
            <v>ASHOK MANUFACTURING CO. PVT. LTD.(WORKS)</v>
          </cell>
        </row>
        <row r="207">
          <cell r="A207" t="str">
            <v>A227</v>
          </cell>
          <cell r="B207" t="str">
            <v>A B PAL ELECTRICALS (P) LTD.</v>
          </cell>
        </row>
        <row r="208">
          <cell r="A208" t="str">
            <v>A228</v>
          </cell>
          <cell r="B208" t="str">
            <v>A A CONSTRUCTION</v>
          </cell>
        </row>
        <row r="209">
          <cell r="A209" t="str">
            <v>A229</v>
          </cell>
          <cell r="B209" t="str">
            <v>AMANDEEP ENGINEERING WORKS</v>
          </cell>
        </row>
        <row r="210">
          <cell r="A210" t="str">
            <v>A230</v>
          </cell>
          <cell r="B210" t="str">
            <v>ASTRA CONSTRUCTION (P) LTD.</v>
          </cell>
        </row>
        <row r="211">
          <cell r="A211" t="str">
            <v>A231</v>
          </cell>
          <cell r="B211" t="str">
            <v>ALLTEK COATING PRODUCTS LTD.</v>
          </cell>
        </row>
        <row r="212">
          <cell r="A212" t="str">
            <v>A232</v>
          </cell>
          <cell r="B212" t="str">
            <v>A.K.BOSE</v>
          </cell>
        </row>
        <row r="213">
          <cell r="A213" t="str">
            <v>A233</v>
          </cell>
          <cell r="B213" t="str">
            <v>ANIL ASSOCIATES</v>
          </cell>
        </row>
        <row r="214">
          <cell r="A214" t="str">
            <v>A234</v>
          </cell>
          <cell r="B214" t="str">
            <v>ANOOP CARRIER</v>
          </cell>
        </row>
        <row r="215">
          <cell r="A215" t="str">
            <v>A235</v>
          </cell>
          <cell r="B215" t="str">
            <v>AHLUWALIA CONTRACTS (I) LTD.</v>
          </cell>
        </row>
        <row r="216">
          <cell r="A216" t="str">
            <v>A236</v>
          </cell>
          <cell r="B216" t="str">
            <v>AADHUNIC TECHNOLOGY  PVT. LTD.</v>
          </cell>
        </row>
        <row r="217">
          <cell r="A217" t="str">
            <v>A237</v>
          </cell>
          <cell r="B217" t="str">
            <v>ANSHUL KAPOOR</v>
          </cell>
        </row>
        <row r="218">
          <cell r="A218" t="str">
            <v>A238</v>
          </cell>
          <cell r="B218" t="str">
            <v>ASHOKA BUILDING MATERIAL CARRIER(INOP.)</v>
          </cell>
        </row>
        <row r="219">
          <cell r="A219" t="str">
            <v>A239</v>
          </cell>
          <cell r="B219" t="str">
            <v>AQUA BATHS PVT. LTD.</v>
          </cell>
        </row>
        <row r="220">
          <cell r="A220" t="str">
            <v>A240</v>
          </cell>
          <cell r="B220" t="str">
            <v>AQUA PROCESS CONSULTANTS &amp; ENGINEERS</v>
          </cell>
        </row>
        <row r="221">
          <cell r="A221" t="str">
            <v>A241</v>
          </cell>
          <cell r="B221" t="str">
            <v>A K BUILDER</v>
          </cell>
        </row>
        <row r="222">
          <cell r="A222" t="str">
            <v>A242</v>
          </cell>
          <cell r="B222" t="str">
            <v>ARTHI ENGINEERING WORKS</v>
          </cell>
        </row>
        <row r="223">
          <cell r="A223" t="str">
            <v>A243</v>
          </cell>
          <cell r="B223" t="str">
            <v>ANIL KUMAR</v>
          </cell>
        </row>
        <row r="224">
          <cell r="A224" t="str">
            <v>A244</v>
          </cell>
          <cell r="B224" t="str">
            <v>ANITA SHARMA</v>
          </cell>
        </row>
        <row r="225">
          <cell r="A225" t="str">
            <v>A245</v>
          </cell>
          <cell r="B225" t="str">
            <v>ANWAR KAMIL</v>
          </cell>
        </row>
        <row r="226">
          <cell r="A226" t="str">
            <v>A246</v>
          </cell>
          <cell r="B226" t="str">
            <v>A.G.KALE</v>
          </cell>
        </row>
        <row r="227">
          <cell r="A227" t="str">
            <v>A247</v>
          </cell>
          <cell r="B227" t="str">
            <v>ADITI MARKETING INCORPORATED</v>
          </cell>
        </row>
        <row r="228">
          <cell r="A228" t="str">
            <v>A248</v>
          </cell>
          <cell r="B228" t="str">
            <v>AARTI ASSOCIATES</v>
          </cell>
        </row>
        <row r="229">
          <cell r="A229" t="str">
            <v>A249</v>
          </cell>
          <cell r="B229" t="str">
            <v>AMAR NATH CHARNJI LAL &amp; CO.</v>
          </cell>
        </row>
        <row r="230">
          <cell r="A230" t="str">
            <v>A250</v>
          </cell>
          <cell r="B230" t="str">
            <v>LT. COL A SHARMA</v>
          </cell>
        </row>
        <row r="231">
          <cell r="A231" t="str">
            <v>A251</v>
          </cell>
          <cell r="B231" t="str">
            <v>ANIL K KHER</v>
          </cell>
        </row>
        <row r="232">
          <cell r="A232" t="str">
            <v>A252</v>
          </cell>
          <cell r="B232" t="str">
            <v>APS ELECTRONICS (INDIA) PVT. LTD.</v>
          </cell>
        </row>
        <row r="233">
          <cell r="A233" t="str">
            <v>A253</v>
          </cell>
          <cell r="B233" t="str">
            <v>A N TRADING CO.</v>
          </cell>
        </row>
        <row r="234">
          <cell r="A234" t="str">
            <v>A254</v>
          </cell>
          <cell r="B234" t="str">
            <v>ASHOKA INDUSTRIES GEARS</v>
          </cell>
        </row>
        <row r="235">
          <cell r="A235" t="str">
            <v>A255</v>
          </cell>
          <cell r="B235" t="str">
            <v>ALBA CONTROL SYSTEM LIMITED</v>
          </cell>
        </row>
        <row r="236">
          <cell r="A236" t="str">
            <v>A256</v>
          </cell>
          <cell r="B236" t="str">
            <v>ALLIED AGENCIES</v>
          </cell>
        </row>
        <row r="237">
          <cell r="A237" t="str">
            <v>A257</v>
          </cell>
          <cell r="B237" t="str">
            <v>ASSOCIATED ENGINEERS</v>
          </cell>
        </row>
        <row r="238">
          <cell r="A238" t="str">
            <v>A258</v>
          </cell>
          <cell r="B238" t="str">
            <v>ASTRAL MARKETING</v>
          </cell>
        </row>
        <row r="239">
          <cell r="A239" t="str">
            <v>A259</v>
          </cell>
          <cell r="B239" t="str">
            <v>APOORVA VALVES</v>
          </cell>
        </row>
        <row r="240">
          <cell r="A240" t="str">
            <v>A260</v>
          </cell>
          <cell r="B240" t="str">
            <v>ANTI FIRE SYSTEMS</v>
          </cell>
        </row>
        <row r="241">
          <cell r="A241" t="str">
            <v>A261</v>
          </cell>
          <cell r="B241" t="str">
            <v>AMTECH ENG. &amp; CONSULTANTS</v>
          </cell>
        </row>
        <row r="242">
          <cell r="A242" t="str">
            <v>A262</v>
          </cell>
          <cell r="B242" t="str">
            <v>ANKSAMA INTERNATIONAL</v>
          </cell>
        </row>
        <row r="243">
          <cell r="A243" t="str">
            <v>A263</v>
          </cell>
          <cell r="B243" t="str">
            <v>AQUA TREAT PVT.LTD.</v>
          </cell>
        </row>
        <row r="244">
          <cell r="A244" t="str">
            <v>A264</v>
          </cell>
          <cell r="B244" t="str">
            <v>ARTCRAFTS SALES (RETAIL)</v>
          </cell>
        </row>
        <row r="245">
          <cell r="A245" t="str">
            <v>A265</v>
          </cell>
          <cell r="B245" t="str">
            <v>AEROLUX INTERIORS</v>
          </cell>
        </row>
        <row r="246">
          <cell r="A246" t="str">
            <v>A266</v>
          </cell>
          <cell r="B246" t="str">
            <v>AMIT MARBLES PVT.LTD.</v>
          </cell>
        </row>
        <row r="247">
          <cell r="A247" t="str">
            <v>A267</v>
          </cell>
          <cell r="B247" t="str">
            <v>AOS SYSTEMS</v>
          </cell>
        </row>
        <row r="248">
          <cell r="A248" t="str">
            <v>A268</v>
          </cell>
          <cell r="B248" t="str">
            <v>AJAY GUPTA &amp; ASSOCIATE</v>
          </cell>
        </row>
        <row r="249">
          <cell r="A249" t="str">
            <v>A269</v>
          </cell>
          <cell r="B249" t="str">
            <v>ALPHA TECHNICAL SERVICES (P) LTD.</v>
          </cell>
        </row>
        <row r="250">
          <cell r="A250" t="str">
            <v>A270</v>
          </cell>
          <cell r="B250" t="str">
            <v>AARTI SILVERWARE PVT LTD.</v>
          </cell>
        </row>
        <row r="251">
          <cell r="A251" t="str">
            <v>A271</v>
          </cell>
          <cell r="B251" t="str">
            <v>ATTITUDE FOUNTAIN</v>
          </cell>
        </row>
        <row r="252">
          <cell r="A252" t="str">
            <v>A272</v>
          </cell>
          <cell r="B252" t="str">
            <v>ALUMINIUM FABRICATORS</v>
          </cell>
        </row>
        <row r="253">
          <cell r="A253" t="str">
            <v>A273</v>
          </cell>
          <cell r="B253" t="str">
            <v>LT COL (RETD) ASHOK MEHRA</v>
          </cell>
        </row>
        <row r="254">
          <cell r="A254" t="str">
            <v>A274</v>
          </cell>
          <cell r="B254" t="str">
            <v>APPLIANCES EMPORIUM</v>
          </cell>
        </row>
        <row r="255">
          <cell r="A255" t="str">
            <v>A275</v>
          </cell>
          <cell r="B255" t="str">
            <v>AQUAPLUS SANITAR</v>
          </cell>
        </row>
        <row r="256">
          <cell r="A256" t="str">
            <v>A276</v>
          </cell>
          <cell r="B256" t="str">
            <v>ASHOKA &amp; BROS.</v>
          </cell>
        </row>
        <row r="257">
          <cell r="A257" t="str">
            <v>A277</v>
          </cell>
          <cell r="B257" t="str">
            <v>AZTEK PVT. LTD</v>
          </cell>
        </row>
        <row r="258">
          <cell r="A258" t="str">
            <v>A278</v>
          </cell>
          <cell r="B258" t="str">
            <v>ARTEFOLIO</v>
          </cell>
        </row>
        <row r="259">
          <cell r="A259" t="str">
            <v>A279</v>
          </cell>
          <cell r="B259" t="str">
            <v>ASSOCIATED SWITCHGEARS &amp; PROJECTS LTD.,</v>
          </cell>
        </row>
        <row r="260">
          <cell r="A260" t="str">
            <v>A280</v>
          </cell>
          <cell r="B260" t="str">
            <v>ABDUL AHAD</v>
          </cell>
        </row>
        <row r="261">
          <cell r="A261" t="str">
            <v>A281</v>
          </cell>
          <cell r="B261" t="str">
            <v>AUTOMOBILE STERLING</v>
          </cell>
        </row>
        <row r="262">
          <cell r="A262" t="str">
            <v>A282</v>
          </cell>
          <cell r="B262" t="str">
            <v>ACCRO-TECH SCIENTIFIC INDUSTRIES</v>
          </cell>
        </row>
        <row r="263">
          <cell r="A263" t="str">
            <v>A283</v>
          </cell>
          <cell r="B263" t="str">
            <v>AEROLUX INDIA PVT LTD</v>
          </cell>
        </row>
        <row r="264">
          <cell r="A264" t="str">
            <v>A284</v>
          </cell>
          <cell r="B264" t="str">
            <v>A E C MARKETING PVT LTD</v>
          </cell>
        </row>
        <row r="265">
          <cell r="A265" t="str">
            <v>A285</v>
          </cell>
          <cell r="B265" t="str">
            <v>AONE SLOTEX (INDIA)</v>
          </cell>
        </row>
        <row r="266">
          <cell r="A266" t="str">
            <v>A286</v>
          </cell>
          <cell r="B266" t="str">
            <v>APS CONSULTANTS</v>
          </cell>
        </row>
        <row r="267">
          <cell r="A267" t="str">
            <v>A287</v>
          </cell>
          <cell r="B267" t="str">
            <v>ASHOK DALAL</v>
          </cell>
        </row>
        <row r="268">
          <cell r="A268" t="str">
            <v>A288</v>
          </cell>
          <cell r="B268" t="str">
            <v>ASTRAL INDIA</v>
          </cell>
        </row>
        <row r="269">
          <cell r="A269" t="str">
            <v>A289</v>
          </cell>
          <cell r="B269" t="str">
            <v>ATCO HEALTHCARE LIMITED</v>
          </cell>
        </row>
        <row r="270">
          <cell r="A270" t="str">
            <v>A290</v>
          </cell>
          <cell r="B270" t="str">
            <v>ARIHANT ENTERPRISES</v>
          </cell>
        </row>
        <row r="271">
          <cell r="A271" t="str">
            <v>A291</v>
          </cell>
          <cell r="B271" t="str">
            <v>AMAR EMPORIUM</v>
          </cell>
        </row>
        <row r="272">
          <cell r="A272" t="str">
            <v>A292</v>
          </cell>
          <cell r="B272" t="str">
            <v>ASHOK K GOYAL</v>
          </cell>
        </row>
        <row r="273">
          <cell r="A273" t="str">
            <v>A293</v>
          </cell>
          <cell r="B273" t="str">
            <v>AGGARWAL TRADERS</v>
          </cell>
        </row>
        <row r="274">
          <cell r="A274" t="str">
            <v>A294</v>
          </cell>
          <cell r="B274" t="str">
            <v>ASHOK ARYA</v>
          </cell>
        </row>
        <row r="275">
          <cell r="A275" t="str">
            <v>A295</v>
          </cell>
          <cell r="B275" t="str">
            <v>ANSHU FIRE PROTECTION</v>
          </cell>
        </row>
        <row r="276">
          <cell r="A276" t="str">
            <v>A801</v>
          </cell>
          <cell r="B276" t="str">
            <v>A C KALRA</v>
          </cell>
        </row>
        <row r="277">
          <cell r="A277" t="str">
            <v>A802</v>
          </cell>
          <cell r="B277" t="str">
            <v>ASLAM BANO</v>
          </cell>
        </row>
        <row r="278">
          <cell r="A278" t="str">
            <v>A803</v>
          </cell>
          <cell r="B278" t="str">
            <v>ALKA VASHISTHA</v>
          </cell>
        </row>
        <row r="279">
          <cell r="A279" t="str">
            <v>A805</v>
          </cell>
          <cell r="B279" t="str">
            <v>MRS AKHTAR PARVEEN</v>
          </cell>
        </row>
        <row r="280">
          <cell r="A280" t="str">
            <v>A815</v>
          </cell>
          <cell r="B280" t="str">
            <v>A. K. PANDEY (RENT)</v>
          </cell>
        </row>
        <row r="281">
          <cell r="A281" t="str">
            <v>A816</v>
          </cell>
          <cell r="B281" t="str">
            <v>ANITA BANSAL</v>
          </cell>
        </row>
        <row r="282">
          <cell r="A282" t="str">
            <v>A817</v>
          </cell>
          <cell r="B282" t="str">
            <v>ARCHITECT HAFEEZ CONTRACTOR</v>
          </cell>
        </row>
        <row r="283">
          <cell r="A283" t="str">
            <v>A818</v>
          </cell>
          <cell r="B283" t="str">
            <v>AMIT YADAV S/O JAI BHAGWAN</v>
          </cell>
        </row>
        <row r="284">
          <cell r="A284" t="str">
            <v>A819</v>
          </cell>
          <cell r="B284" t="str">
            <v>DR. AMIT BISWAS</v>
          </cell>
        </row>
        <row r="285">
          <cell r="A285" t="str">
            <v>A820</v>
          </cell>
          <cell r="B285" t="str">
            <v>ANJULI SURI</v>
          </cell>
        </row>
        <row r="286">
          <cell r="A286" t="str">
            <v>A821</v>
          </cell>
          <cell r="B286" t="str">
            <v>AJAY GROVER</v>
          </cell>
        </row>
        <row r="287">
          <cell r="A287" t="str">
            <v>A822</v>
          </cell>
          <cell r="B287" t="str">
            <v>DR. ASHWANI TRAHANS</v>
          </cell>
        </row>
        <row r="288">
          <cell r="A288" t="str">
            <v>A823</v>
          </cell>
          <cell r="B288" t="str">
            <v>ASHOK BAMBONI</v>
          </cell>
        </row>
        <row r="289">
          <cell r="A289" t="str">
            <v>A824</v>
          </cell>
          <cell r="B289" t="str">
            <v>ARUN RAMA KRISHAN</v>
          </cell>
        </row>
        <row r="290">
          <cell r="A290" t="str">
            <v>A901</v>
          </cell>
          <cell r="B290" t="str">
            <v>ANIL GOEL(INOP.)</v>
          </cell>
        </row>
        <row r="291">
          <cell r="A291" t="str">
            <v>A902</v>
          </cell>
          <cell r="B291" t="str">
            <v>AHMED BROTHERS(INOP.)</v>
          </cell>
        </row>
        <row r="292">
          <cell r="A292" t="str">
            <v>A991</v>
          </cell>
          <cell r="B292" t="str">
            <v>A.N. KHANNA</v>
          </cell>
        </row>
        <row r="293">
          <cell r="A293" t="str">
            <v>B001</v>
          </cell>
          <cell r="B293" t="str">
            <v>BUILDAIDS TIMBER (P) LTD.</v>
          </cell>
        </row>
        <row r="294">
          <cell r="A294" t="str">
            <v>B002</v>
          </cell>
          <cell r="B294" t="str">
            <v>BERGER PAINTS (INDIA) LTD.</v>
          </cell>
        </row>
        <row r="295">
          <cell r="A295" t="str">
            <v>B003</v>
          </cell>
          <cell r="B295" t="str">
            <v>B.L.M &amp; ASSOCIATES</v>
          </cell>
        </row>
        <row r="296">
          <cell r="A296" t="str">
            <v>B004</v>
          </cell>
          <cell r="B296" t="str">
            <v>BANSAL TRADING CO.</v>
          </cell>
        </row>
        <row r="297">
          <cell r="A297" t="str">
            <v>B005</v>
          </cell>
          <cell r="B297" t="str">
            <v>B.E.C INDUSTRIES</v>
          </cell>
        </row>
        <row r="298">
          <cell r="A298" t="str">
            <v>B006</v>
          </cell>
          <cell r="B298" t="str">
            <v>BANSO-PLAST</v>
          </cell>
        </row>
        <row r="299">
          <cell r="A299" t="str">
            <v>B007</v>
          </cell>
          <cell r="B299" t="str">
            <v>BUSINESS LINKERS</v>
          </cell>
        </row>
        <row r="300">
          <cell r="A300" t="str">
            <v>B008</v>
          </cell>
          <cell r="B300" t="str">
            <v>BHARAT STEEL SALES CORPORATION</v>
          </cell>
        </row>
        <row r="301">
          <cell r="A301" t="str">
            <v>B009</v>
          </cell>
          <cell r="B301" t="str">
            <v>BHAGWAN DASS &amp; SONS(I) PVT.LTD</v>
          </cell>
        </row>
        <row r="302">
          <cell r="A302" t="str">
            <v>B010</v>
          </cell>
          <cell r="B302" t="str">
            <v>BHAJAN AUTO ELECTRIC WORKS</v>
          </cell>
        </row>
        <row r="303">
          <cell r="A303" t="str">
            <v>B011</v>
          </cell>
          <cell r="B303" t="str">
            <v>BAJAJ ELECTRICALS LTD.</v>
          </cell>
        </row>
        <row r="304">
          <cell r="A304" t="str">
            <v>B012</v>
          </cell>
          <cell r="B304" t="str">
            <v>BHASKAR POWER PROJECTS (P) LTD.</v>
          </cell>
        </row>
        <row r="305">
          <cell r="A305" t="str">
            <v>B013</v>
          </cell>
          <cell r="B305" t="str">
            <v>BALLARPUR INDUSTRIES LTD.</v>
          </cell>
        </row>
        <row r="306">
          <cell r="A306" t="str">
            <v>B014</v>
          </cell>
          <cell r="B306" t="str">
            <v>BABAJI STONE CRUSHING COMPANY</v>
          </cell>
        </row>
        <row r="307">
          <cell r="A307" t="str">
            <v>B015</v>
          </cell>
          <cell r="B307" t="str">
            <v>BELL CERAMIC LTD.</v>
          </cell>
        </row>
        <row r="308">
          <cell r="A308" t="str">
            <v>B016</v>
          </cell>
          <cell r="B308" t="str">
            <v>BHARAT TRANSPORT</v>
          </cell>
        </row>
        <row r="309">
          <cell r="A309" t="str">
            <v>B017</v>
          </cell>
          <cell r="B309" t="str">
            <v>BHARAT BIJLEE LIMITED</v>
          </cell>
        </row>
        <row r="310">
          <cell r="A310" t="str">
            <v>B018</v>
          </cell>
          <cell r="B310" t="str">
            <v>BALBIR SINGH &amp; SONS,</v>
          </cell>
        </row>
        <row r="311">
          <cell r="A311" t="str">
            <v>B019</v>
          </cell>
          <cell r="B311" t="str">
            <v>BLUE CHIP TECHNLOGIES (P) LTD.</v>
          </cell>
        </row>
        <row r="312">
          <cell r="A312" t="str">
            <v>B020</v>
          </cell>
          <cell r="B312" t="str">
            <v>BHAI SUNDAR DASS &amp; SONS CO. PVT. LTD.</v>
          </cell>
        </row>
        <row r="313">
          <cell r="A313" t="str">
            <v>B021</v>
          </cell>
          <cell r="B313" t="str">
            <v>BACHAN SINGH &amp; SONS</v>
          </cell>
        </row>
        <row r="314">
          <cell r="A314" t="str">
            <v>B022</v>
          </cell>
          <cell r="B314" t="str">
            <v>BRITISH SCAFFOLDING (INDIA) LTD.</v>
          </cell>
        </row>
        <row r="315">
          <cell r="A315" t="str">
            <v>B023</v>
          </cell>
          <cell r="B315" t="str">
            <v>BHATNAGAR BROS.</v>
          </cell>
        </row>
        <row r="316">
          <cell r="A316" t="str">
            <v>B024</v>
          </cell>
          <cell r="B316" t="str">
            <v>BAJAJ MACHINERY CORPORATION</v>
          </cell>
        </row>
        <row r="317">
          <cell r="A317" t="str">
            <v>B025</v>
          </cell>
          <cell r="B317" t="str">
            <v>BHOLA RAM</v>
          </cell>
        </row>
        <row r="318">
          <cell r="A318" t="str">
            <v>B026</v>
          </cell>
          <cell r="B318" t="str">
            <v>BIJENDER SINGH</v>
          </cell>
        </row>
        <row r="319">
          <cell r="A319" t="str">
            <v>B027</v>
          </cell>
          <cell r="B319" t="str">
            <v>BIR PRAKASH</v>
          </cell>
        </row>
        <row r="320">
          <cell r="A320" t="str">
            <v>B028</v>
          </cell>
          <cell r="B320" t="str">
            <v>BOMBAY ASSOCIATES</v>
          </cell>
        </row>
        <row r="321">
          <cell r="A321" t="str">
            <v>B029</v>
          </cell>
          <cell r="B321" t="str">
            <v>BALESHWAR YADEV</v>
          </cell>
        </row>
        <row r="322">
          <cell r="A322" t="str">
            <v>B030</v>
          </cell>
          <cell r="B322" t="str">
            <v>BHARAT SHARMA</v>
          </cell>
        </row>
        <row r="323">
          <cell r="A323" t="str">
            <v>B031</v>
          </cell>
          <cell r="B323" t="str">
            <v>BELLEVIE SECURITY SERVICES</v>
          </cell>
        </row>
        <row r="324">
          <cell r="A324" t="str">
            <v>B032</v>
          </cell>
          <cell r="B324" t="str">
            <v>BANSI LAL &amp; SONS</v>
          </cell>
        </row>
        <row r="325">
          <cell r="A325" t="str">
            <v>B033</v>
          </cell>
          <cell r="B325" t="str">
            <v>B.K.DALAI</v>
          </cell>
        </row>
        <row r="326">
          <cell r="A326" t="str">
            <v>B034</v>
          </cell>
          <cell r="B326" t="str">
            <v>BADRI NARAYAN</v>
          </cell>
        </row>
        <row r="327">
          <cell r="A327" t="str">
            <v>B035</v>
          </cell>
          <cell r="B327" t="str">
            <v>BANSAL ELECTRICAL</v>
          </cell>
        </row>
        <row r="328">
          <cell r="A328" t="str">
            <v>B036</v>
          </cell>
          <cell r="B328" t="str">
            <v>B D YADAV</v>
          </cell>
        </row>
        <row r="329">
          <cell r="A329" t="str">
            <v>B037</v>
          </cell>
          <cell r="B329" t="str">
            <v>BIPIN MANDAL</v>
          </cell>
        </row>
        <row r="330">
          <cell r="A330" t="str">
            <v>B038</v>
          </cell>
          <cell r="B330" t="str">
            <v>B G FEBS</v>
          </cell>
        </row>
        <row r="331">
          <cell r="A331" t="str">
            <v>B039</v>
          </cell>
          <cell r="B331" t="str">
            <v>BHASIN &amp; BHASIN</v>
          </cell>
        </row>
        <row r="332">
          <cell r="A332" t="str">
            <v>B040</v>
          </cell>
          <cell r="B332" t="str">
            <v>BISHAMBIR SINGH</v>
          </cell>
        </row>
        <row r="333">
          <cell r="A333" t="str">
            <v>B041</v>
          </cell>
          <cell r="B333" t="str">
            <v>B &amp; T ELECTRICAL</v>
          </cell>
        </row>
        <row r="334">
          <cell r="A334" t="str">
            <v>B042</v>
          </cell>
          <cell r="B334" t="str">
            <v>BJS ENGINEERS</v>
          </cell>
        </row>
        <row r="335">
          <cell r="A335" t="str">
            <v>B043</v>
          </cell>
          <cell r="B335" t="str">
            <v>BEE YEE CONTRACTORS</v>
          </cell>
        </row>
        <row r="336">
          <cell r="A336" t="str">
            <v>B044</v>
          </cell>
          <cell r="B336" t="str">
            <v>BRAJESH KUMAR</v>
          </cell>
        </row>
        <row r="337">
          <cell r="A337" t="str">
            <v>B045</v>
          </cell>
          <cell r="B337" t="str">
            <v>BHUSHAN INDUSTRIES LTD.</v>
          </cell>
        </row>
        <row r="338">
          <cell r="A338" t="str">
            <v>B046</v>
          </cell>
          <cell r="B338" t="str">
            <v>BHARAT GRIT UDYOG</v>
          </cell>
        </row>
        <row r="339">
          <cell r="A339" t="str">
            <v>B047</v>
          </cell>
          <cell r="B339" t="str">
            <v>BHAGWAN SINGH</v>
          </cell>
        </row>
        <row r="340">
          <cell r="A340" t="str">
            <v>B048</v>
          </cell>
          <cell r="B340" t="str">
            <v>BADARPUR THERMAL POWER STATION</v>
          </cell>
        </row>
        <row r="341">
          <cell r="A341" t="str">
            <v>B049</v>
          </cell>
          <cell r="B341" t="str">
            <v>BEHNIWAL BUILDING MATERIAL SUPPLIER</v>
          </cell>
        </row>
        <row r="342">
          <cell r="A342" t="str">
            <v>B050</v>
          </cell>
          <cell r="B342" t="str">
            <v>BUILD TECH PRODUCTS</v>
          </cell>
        </row>
        <row r="343">
          <cell r="A343" t="str">
            <v>B051</v>
          </cell>
          <cell r="B343" t="str">
            <v>BHASKAR PROJECTS</v>
          </cell>
        </row>
        <row r="344">
          <cell r="A344" t="str">
            <v>B052</v>
          </cell>
          <cell r="B344" t="str">
            <v>BYFORD (WORKSHOPS) LTD.</v>
          </cell>
        </row>
        <row r="345">
          <cell r="A345" t="str">
            <v>B053</v>
          </cell>
          <cell r="B345" t="str">
            <v>BHANSALI UDYOG</v>
          </cell>
        </row>
        <row r="346">
          <cell r="A346" t="str">
            <v>B054</v>
          </cell>
          <cell r="B346" t="str">
            <v>BHARAT EARTH MOVERS</v>
          </cell>
        </row>
        <row r="347">
          <cell r="A347" t="str">
            <v>B055</v>
          </cell>
          <cell r="B347" t="str">
            <v>BACHU RAI</v>
          </cell>
        </row>
        <row r="348">
          <cell r="A348" t="str">
            <v>B056</v>
          </cell>
          <cell r="B348" t="str">
            <v>BABLA</v>
          </cell>
        </row>
        <row r="349">
          <cell r="A349" t="str">
            <v>B057</v>
          </cell>
          <cell r="B349" t="str">
            <v>BINDESHWARI YADAV</v>
          </cell>
        </row>
        <row r="350">
          <cell r="A350" t="str">
            <v>B058</v>
          </cell>
          <cell r="B350" t="str">
            <v>B &amp; D CONSTRUCTION</v>
          </cell>
        </row>
        <row r="351">
          <cell r="A351" t="str">
            <v>B059</v>
          </cell>
          <cell r="B351" t="str">
            <v>BANSIDHAR CHIRANJI LAL (ELECTRICALS)</v>
          </cell>
        </row>
        <row r="352">
          <cell r="A352" t="str">
            <v>B060</v>
          </cell>
          <cell r="B352" t="str">
            <v>BABA CABLE HOUSE</v>
          </cell>
        </row>
        <row r="353">
          <cell r="A353" t="str">
            <v>B061</v>
          </cell>
          <cell r="B353" t="str">
            <v>B. N. SEHGAL (RETAINERS)</v>
          </cell>
        </row>
        <row r="354">
          <cell r="A354" t="str">
            <v>B062</v>
          </cell>
          <cell r="B354" t="str">
            <v>B N SINGH</v>
          </cell>
        </row>
        <row r="355">
          <cell r="A355" t="str">
            <v>B063</v>
          </cell>
          <cell r="B355" t="str">
            <v>BIRHAM DUTT</v>
          </cell>
        </row>
        <row r="356">
          <cell r="A356" t="str">
            <v>B064</v>
          </cell>
          <cell r="B356" t="str">
            <v>BHAROSI</v>
          </cell>
        </row>
        <row r="357">
          <cell r="A357" t="str">
            <v>B065</v>
          </cell>
          <cell r="B357" t="str">
            <v>B B N AUTO AIDS</v>
          </cell>
        </row>
        <row r="358">
          <cell r="A358" t="str">
            <v>B066</v>
          </cell>
          <cell r="B358" t="str">
            <v>B K SRIKANTH</v>
          </cell>
        </row>
        <row r="359">
          <cell r="A359" t="str">
            <v>B067</v>
          </cell>
          <cell r="B359" t="str">
            <v>BHAWANI INDUSTRIAL CORPORATION</v>
          </cell>
        </row>
        <row r="360">
          <cell r="A360" t="str">
            <v>B068</v>
          </cell>
          <cell r="B360" t="str">
            <v>B N GUPTA &amp; ASSOCIATES</v>
          </cell>
        </row>
        <row r="361">
          <cell r="A361" t="str">
            <v>B069</v>
          </cell>
          <cell r="B361" t="str">
            <v>BHAGWATI CONSTRUCTION</v>
          </cell>
        </row>
        <row r="362">
          <cell r="A362" t="str">
            <v>B070</v>
          </cell>
          <cell r="B362" t="str">
            <v>B D IMPEX CORPORATION</v>
          </cell>
        </row>
        <row r="363">
          <cell r="A363" t="str">
            <v>B071</v>
          </cell>
          <cell r="B363" t="str">
            <v>BHARAT PETROLEUM CO.</v>
          </cell>
        </row>
        <row r="364">
          <cell r="A364" t="str">
            <v>B072</v>
          </cell>
          <cell r="B364" t="str">
            <v>B S CARRIER</v>
          </cell>
        </row>
        <row r="365">
          <cell r="A365" t="str">
            <v>B073</v>
          </cell>
          <cell r="B365" t="str">
            <v>B R PATIL</v>
          </cell>
        </row>
        <row r="366">
          <cell r="A366" t="str">
            <v>B074</v>
          </cell>
          <cell r="B366" t="str">
            <v>BEE KAY ASSOCIATES</v>
          </cell>
        </row>
        <row r="367">
          <cell r="A367" t="str">
            <v>B075</v>
          </cell>
          <cell r="B367" t="str">
            <v>BALAJI VIKAS SANITATION</v>
          </cell>
        </row>
        <row r="368">
          <cell r="A368" t="str">
            <v>B076</v>
          </cell>
          <cell r="B368" t="str">
            <v>BABU LAL</v>
          </cell>
        </row>
        <row r="369">
          <cell r="A369" t="str">
            <v>B077</v>
          </cell>
          <cell r="B369" t="str">
            <v>BIRENDER BROTHERS</v>
          </cell>
        </row>
        <row r="370">
          <cell r="A370" t="str">
            <v>B078</v>
          </cell>
          <cell r="B370" t="str">
            <v>BHUNDU KHAN</v>
          </cell>
        </row>
        <row r="371">
          <cell r="A371" t="str">
            <v>B079</v>
          </cell>
          <cell r="B371" t="str">
            <v>B B CARRIERS</v>
          </cell>
        </row>
        <row r="372">
          <cell r="A372" t="str">
            <v>B080</v>
          </cell>
          <cell r="B372" t="str">
            <v>BISUMALO</v>
          </cell>
        </row>
        <row r="373">
          <cell r="A373" t="str">
            <v>B081</v>
          </cell>
          <cell r="B373" t="str">
            <v>BADRI PRASAD</v>
          </cell>
        </row>
        <row r="374">
          <cell r="A374" t="str">
            <v>B082</v>
          </cell>
          <cell r="B374" t="str">
            <v>BACHCHU SINGH</v>
          </cell>
        </row>
        <row r="375">
          <cell r="A375" t="str">
            <v>B083</v>
          </cell>
          <cell r="B375" t="str">
            <v>BAL KISHAN</v>
          </cell>
        </row>
        <row r="376">
          <cell r="A376" t="str">
            <v>B084</v>
          </cell>
          <cell r="B376" t="str">
            <v>BUSSI ENTERPRISES</v>
          </cell>
        </row>
        <row r="377">
          <cell r="A377" t="str">
            <v>B085</v>
          </cell>
          <cell r="B377" t="str">
            <v>BAJRANG GLASS HOUSE</v>
          </cell>
        </row>
        <row r="378">
          <cell r="A378" t="str">
            <v>B086</v>
          </cell>
          <cell r="B378" t="str">
            <v>BALU RAM KUNDRA</v>
          </cell>
        </row>
        <row r="379">
          <cell r="A379" t="str">
            <v>B087</v>
          </cell>
          <cell r="B379" t="str">
            <v>BRIGHTON</v>
          </cell>
        </row>
        <row r="380">
          <cell r="A380" t="str">
            <v>B088</v>
          </cell>
          <cell r="B380" t="str">
            <v>BALWANT RAI</v>
          </cell>
        </row>
        <row r="381">
          <cell r="A381" t="str">
            <v>B089</v>
          </cell>
          <cell r="B381" t="str">
            <v>BHATNAGAR BROTHERS</v>
          </cell>
        </row>
        <row r="382">
          <cell r="A382" t="str">
            <v>B090</v>
          </cell>
          <cell r="B382" t="str">
            <v>BHARAT HEAVY ELECTRICALS LTD(INOP.)</v>
          </cell>
        </row>
        <row r="383">
          <cell r="A383" t="str">
            <v>B091</v>
          </cell>
          <cell r="B383" t="str">
            <v>BHUBNESHWAR</v>
          </cell>
        </row>
        <row r="384">
          <cell r="A384" t="str">
            <v>B092</v>
          </cell>
          <cell r="B384" t="str">
            <v>BHAKTI MITRA</v>
          </cell>
        </row>
        <row r="385">
          <cell r="A385" t="str">
            <v>B093</v>
          </cell>
          <cell r="B385" t="str">
            <v>BAJRANG KUMAR</v>
          </cell>
        </row>
        <row r="386">
          <cell r="A386" t="str">
            <v>B094</v>
          </cell>
          <cell r="B386" t="str">
            <v>BHUPINDER(INOP.)</v>
          </cell>
        </row>
        <row r="387">
          <cell r="A387" t="str">
            <v>B095</v>
          </cell>
          <cell r="B387" t="str">
            <v>B.P.SHARMA(INOP.)</v>
          </cell>
        </row>
        <row r="388">
          <cell r="A388" t="str">
            <v>B096</v>
          </cell>
          <cell r="B388" t="str">
            <v>BALINDER PRASAD(INOP.)</v>
          </cell>
        </row>
        <row r="389">
          <cell r="A389" t="str">
            <v>B097</v>
          </cell>
          <cell r="B389" t="str">
            <v>BINNY LIMITED(INOP.)</v>
          </cell>
        </row>
        <row r="390">
          <cell r="A390" t="str">
            <v>B098</v>
          </cell>
          <cell r="B390" t="str">
            <v>BALAJI STEEL SCRAP</v>
          </cell>
        </row>
        <row r="391">
          <cell r="A391" t="str">
            <v>B099</v>
          </cell>
          <cell r="B391" t="str">
            <v>BLUE STAR LTD.</v>
          </cell>
        </row>
        <row r="392">
          <cell r="A392" t="str">
            <v>B101</v>
          </cell>
          <cell r="B392" t="str">
            <v>BHARAT MOTORS CO.</v>
          </cell>
        </row>
        <row r="393">
          <cell r="A393" t="str">
            <v>B102</v>
          </cell>
          <cell r="B393" t="str">
            <v>BUDHI RAM</v>
          </cell>
        </row>
        <row r="394">
          <cell r="A394" t="str">
            <v>B103</v>
          </cell>
          <cell r="B394" t="str">
            <v>BISHEMBER SINGH YADAV</v>
          </cell>
        </row>
        <row r="395">
          <cell r="A395" t="str">
            <v>B104</v>
          </cell>
          <cell r="B395" t="str">
            <v>BALKISHAN DASS ASHOK KUMAR</v>
          </cell>
        </row>
        <row r="396">
          <cell r="A396" t="str">
            <v>B105</v>
          </cell>
          <cell r="B396" t="str">
            <v>B L BUILDING MATERIAL CARRIER</v>
          </cell>
        </row>
        <row r="397">
          <cell r="A397" t="str">
            <v>B106</v>
          </cell>
          <cell r="B397" t="str">
            <v>BHUPENDRA BUILDERS</v>
          </cell>
        </row>
        <row r="398">
          <cell r="A398" t="str">
            <v>B107</v>
          </cell>
          <cell r="B398" t="str">
            <v>BALBIR SINGH</v>
          </cell>
        </row>
        <row r="399">
          <cell r="A399" t="str">
            <v>B108</v>
          </cell>
          <cell r="B399" t="str">
            <v>BHARAT PARIVAHAN</v>
          </cell>
        </row>
        <row r="400">
          <cell r="A400" t="str">
            <v>B109</v>
          </cell>
          <cell r="B400" t="str">
            <v>BRIGHT STAR BUILDERS</v>
          </cell>
        </row>
        <row r="401">
          <cell r="A401" t="str">
            <v>B110</v>
          </cell>
          <cell r="B401" t="str">
            <v>BHARAT STEELS</v>
          </cell>
        </row>
        <row r="402">
          <cell r="A402" t="str">
            <v>B111</v>
          </cell>
          <cell r="B402" t="str">
            <v>B &amp; T ELECTRICALS</v>
          </cell>
        </row>
        <row r="403">
          <cell r="A403" t="str">
            <v>B112</v>
          </cell>
          <cell r="B403" t="str">
            <v>B N GUPTA</v>
          </cell>
        </row>
        <row r="404">
          <cell r="A404" t="str">
            <v>B113</v>
          </cell>
          <cell r="B404" t="str">
            <v>BRIJENDER SINGH &amp; CO.</v>
          </cell>
        </row>
        <row r="405">
          <cell r="A405" t="str">
            <v>B114</v>
          </cell>
          <cell r="B405" t="str">
            <v>BAJAJ MILLSTORE CONSULTANT &amp; ENGINEERS</v>
          </cell>
        </row>
        <row r="406">
          <cell r="A406" t="str">
            <v>B115</v>
          </cell>
          <cell r="B406" t="str">
            <v>BONSAI MODELLER</v>
          </cell>
        </row>
        <row r="407">
          <cell r="A407" t="str">
            <v>B116</v>
          </cell>
          <cell r="B407" t="str">
            <v>BELA SETHI</v>
          </cell>
        </row>
        <row r="408">
          <cell r="A408" t="str">
            <v>B117</v>
          </cell>
          <cell r="B408" t="str">
            <v>BELCOM SERVICES (P) LTD.</v>
          </cell>
        </row>
        <row r="409">
          <cell r="A409" t="str">
            <v>B118</v>
          </cell>
          <cell r="B409" t="str">
            <v>BHARTIYA - TECHNOCRAFTS</v>
          </cell>
        </row>
        <row r="410">
          <cell r="A410" t="str">
            <v>B119</v>
          </cell>
          <cell r="B410" t="str">
            <v>BABUL CONSTRUCTION &amp; CO.</v>
          </cell>
        </row>
        <row r="411">
          <cell r="A411" t="str">
            <v>B120</v>
          </cell>
          <cell r="B411" t="str">
            <v>BOMBAY GROUP</v>
          </cell>
        </row>
        <row r="412">
          <cell r="A412" t="str">
            <v>B121</v>
          </cell>
          <cell r="B412" t="str">
            <v>BHARAT ADHESIVE</v>
          </cell>
        </row>
        <row r="413">
          <cell r="A413" t="str">
            <v>B122</v>
          </cell>
          <cell r="B413" t="str">
            <v>BATRA HENLAY CABLES</v>
          </cell>
        </row>
        <row r="414">
          <cell r="A414" t="str">
            <v>B123</v>
          </cell>
          <cell r="B414" t="str">
            <v>BUSINESS MACHINES LTD.</v>
          </cell>
        </row>
        <row r="415">
          <cell r="A415" t="str">
            <v>B124</v>
          </cell>
          <cell r="B415" t="str">
            <v>BHUSHAN ALLOYS &amp; STEELS</v>
          </cell>
        </row>
        <row r="416">
          <cell r="A416" t="str">
            <v>B125</v>
          </cell>
          <cell r="B416" t="str">
            <v>ASSAM TIMBER PRODUCTS LTD.</v>
          </cell>
        </row>
        <row r="417">
          <cell r="A417" t="str">
            <v>B126</v>
          </cell>
          <cell r="B417" t="str">
            <v>BALENDER PRASAD</v>
          </cell>
        </row>
        <row r="418">
          <cell r="A418" t="str">
            <v>B127</v>
          </cell>
          <cell r="B418" t="str">
            <v>BHAWNA BUILDERS</v>
          </cell>
        </row>
        <row r="419">
          <cell r="A419" t="str">
            <v>B128</v>
          </cell>
          <cell r="B419" t="str">
            <v>B.K. INDUSTRIES</v>
          </cell>
        </row>
        <row r="420">
          <cell r="A420" t="str">
            <v>B129</v>
          </cell>
          <cell r="B420" t="str">
            <v>B.M HARDWARE INDUSTRIES</v>
          </cell>
        </row>
        <row r="421">
          <cell r="A421" t="str">
            <v>B130</v>
          </cell>
          <cell r="B421" t="str">
            <v>BASANT BUILDING MATERIAL CARRIER</v>
          </cell>
        </row>
        <row r="422">
          <cell r="A422" t="str">
            <v>B131</v>
          </cell>
          <cell r="B422" t="str">
            <v>BHARAT STEEL&amp;WOODEN FURNITURE INDUSTRIAL</v>
          </cell>
        </row>
        <row r="423">
          <cell r="A423" t="str">
            <v>B132</v>
          </cell>
          <cell r="B423" t="str">
            <v>BAISHALI CONST &amp; ENGG.</v>
          </cell>
        </row>
        <row r="424">
          <cell r="A424" t="str">
            <v>B133</v>
          </cell>
          <cell r="B424" t="str">
            <v>BHAGWATI ENTERPRISES</v>
          </cell>
        </row>
        <row r="425">
          <cell r="A425" t="str">
            <v>B134</v>
          </cell>
          <cell r="B425" t="str">
            <v>BISHAMBER DAS</v>
          </cell>
        </row>
        <row r="426">
          <cell r="A426" t="str">
            <v>B135</v>
          </cell>
          <cell r="B426" t="str">
            <v>BHUSHAN INDUSTRIES LTD. (BRANCH OFFICE)</v>
          </cell>
        </row>
        <row r="427">
          <cell r="A427" t="str">
            <v>B136</v>
          </cell>
          <cell r="B427" t="str">
            <v>BHOVNESH KUMAR</v>
          </cell>
        </row>
        <row r="428">
          <cell r="A428" t="str">
            <v>B137</v>
          </cell>
          <cell r="B428" t="str">
            <v>PT. BRIJ BHUSHAN KISHORI LAL</v>
          </cell>
        </row>
        <row r="429">
          <cell r="A429" t="str">
            <v>B138</v>
          </cell>
          <cell r="B429" t="str">
            <v>BALRAM YADAV</v>
          </cell>
        </row>
        <row r="430">
          <cell r="A430" t="str">
            <v>B139</v>
          </cell>
          <cell r="B430" t="str">
            <v>B.M.DEWAN</v>
          </cell>
        </row>
        <row r="431">
          <cell r="A431" t="str">
            <v>B140</v>
          </cell>
          <cell r="B431" t="str">
            <v>BALAJI MARBLE</v>
          </cell>
        </row>
        <row r="432">
          <cell r="A432" t="str">
            <v>B141</v>
          </cell>
          <cell r="B432" t="str">
            <v>BHARAT SPARE PARTS COMPANY</v>
          </cell>
        </row>
        <row r="433">
          <cell r="A433" t="str">
            <v>B142</v>
          </cell>
          <cell r="B433" t="str">
            <v>BALAJEE SALES CORPORATION</v>
          </cell>
        </row>
        <row r="434">
          <cell r="A434" t="str">
            <v>B143</v>
          </cell>
          <cell r="B434" t="str">
            <v>BRITISH MOTOR CAR COMPANY LTD.</v>
          </cell>
        </row>
        <row r="435">
          <cell r="A435" t="str">
            <v>B144</v>
          </cell>
          <cell r="B435" t="str">
            <v>BABU LAL</v>
          </cell>
        </row>
        <row r="436">
          <cell r="A436" t="str">
            <v>B145</v>
          </cell>
          <cell r="B436" t="str">
            <v>BRITISH COUNCIL DIVISION</v>
          </cell>
        </row>
        <row r="437">
          <cell r="A437" t="str">
            <v>B146</v>
          </cell>
          <cell r="B437" t="str">
            <v>BIR SINGH &amp; CO.</v>
          </cell>
        </row>
        <row r="438">
          <cell r="A438" t="str">
            <v>B147</v>
          </cell>
          <cell r="B438" t="str">
            <v>BUILD AIDS</v>
          </cell>
        </row>
        <row r="439">
          <cell r="A439" t="str">
            <v>B148</v>
          </cell>
          <cell r="B439" t="str">
            <v>BANARSI BABU</v>
          </cell>
        </row>
        <row r="440">
          <cell r="A440" t="str">
            <v>B149</v>
          </cell>
          <cell r="B440" t="str">
            <v>BHARAT PETROLEUM CORPORATION LTD.</v>
          </cell>
        </row>
        <row r="441">
          <cell r="A441" t="str">
            <v>B150</v>
          </cell>
          <cell r="B441" t="str">
            <v>BAKSHI TRANSPORT SERVICE</v>
          </cell>
        </row>
        <row r="442">
          <cell r="A442" t="str">
            <v>B151</v>
          </cell>
          <cell r="B442" t="str">
            <v>BABU RAM</v>
          </cell>
        </row>
        <row r="443">
          <cell r="A443" t="str">
            <v>B152</v>
          </cell>
          <cell r="B443" t="str">
            <v>B L CONTRACTORS</v>
          </cell>
        </row>
        <row r="444">
          <cell r="A444" t="str">
            <v>B153</v>
          </cell>
          <cell r="B444" t="str">
            <v>BISHAN BUILDING CONTRACTOR</v>
          </cell>
        </row>
        <row r="445">
          <cell r="A445" t="str">
            <v>B154</v>
          </cell>
          <cell r="B445" t="str">
            <v>BITTO BATTERY &amp; REPAIR</v>
          </cell>
        </row>
        <row r="446">
          <cell r="A446" t="str">
            <v>B155</v>
          </cell>
          <cell r="B446" t="str">
            <v>BAKSHI PAINT &amp; SHOPEE</v>
          </cell>
        </row>
        <row r="447">
          <cell r="A447" t="str">
            <v>B156</v>
          </cell>
          <cell r="B447" t="str">
            <v>BAL KRISHNA &amp; COMPANY</v>
          </cell>
        </row>
        <row r="448">
          <cell r="A448" t="str">
            <v>B157</v>
          </cell>
          <cell r="B448" t="str">
            <v>B S &amp; CO.</v>
          </cell>
        </row>
        <row r="449">
          <cell r="A449" t="str">
            <v>B158</v>
          </cell>
          <cell r="B449" t="str">
            <v>BALAJEE INTERIOR &amp; CONTRACTORS</v>
          </cell>
        </row>
        <row r="450">
          <cell r="A450" t="str">
            <v>B159</v>
          </cell>
          <cell r="B450" t="str">
            <v>BONEZO ENGG. &amp; CHEMICALS P. LTD.</v>
          </cell>
        </row>
        <row r="451">
          <cell r="A451" t="str">
            <v>B160</v>
          </cell>
          <cell r="B451" t="str">
            <v>BRITE ROADWAYS PVT. LTD.</v>
          </cell>
        </row>
        <row r="452">
          <cell r="A452" t="str">
            <v>B161</v>
          </cell>
          <cell r="B452" t="str">
            <v>BONANZO ENGG. &amp; CHEMICALS PVT. LTD.</v>
          </cell>
        </row>
        <row r="453">
          <cell r="A453" t="str">
            <v>B162</v>
          </cell>
          <cell r="B453" t="str">
            <v>B K BUILDERS</v>
          </cell>
        </row>
        <row r="454">
          <cell r="A454" t="str">
            <v>B163</v>
          </cell>
          <cell r="B454" t="str">
            <v>BUSHAN BUILDERS</v>
          </cell>
        </row>
        <row r="455">
          <cell r="A455" t="str">
            <v>B164</v>
          </cell>
          <cell r="B455" t="str">
            <v>BRIGHT STAR HOTELS PVT LTD</v>
          </cell>
        </row>
        <row r="456">
          <cell r="A456" t="str">
            <v>B165</v>
          </cell>
          <cell r="B456" t="str">
            <v>BANARSI DASS</v>
          </cell>
        </row>
        <row r="457">
          <cell r="A457" t="str">
            <v>B166</v>
          </cell>
          <cell r="B457" t="str">
            <v>BALAJI NUSERY &amp; GARDEN</v>
          </cell>
        </row>
        <row r="458">
          <cell r="A458" t="str">
            <v>B167</v>
          </cell>
          <cell r="B458" t="str">
            <v>B.M.CONSTRUCTION</v>
          </cell>
        </row>
        <row r="459">
          <cell r="A459" t="str">
            <v>B168</v>
          </cell>
          <cell r="B459" t="str">
            <v>BASANT BETONS</v>
          </cell>
        </row>
        <row r="460">
          <cell r="A460" t="str">
            <v>B169</v>
          </cell>
          <cell r="B460" t="str">
            <v>BANSAL ELECTROSTAT</v>
          </cell>
        </row>
        <row r="461">
          <cell r="A461" t="str">
            <v>B170</v>
          </cell>
          <cell r="B461" t="str">
            <v>BACHHIL &amp; SONS</v>
          </cell>
        </row>
        <row r="462">
          <cell r="A462" t="str">
            <v>B171</v>
          </cell>
          <cell r="B462" t="str">
            <v>BHASIN &amp; BHASIN ASSOCIATES</v>
          </cell>
        </row>
        <row r="463">
          <cell r="A463" t="str">
            <v>B172</v>
          </cell>
          <cell r="B463" t="str">
            <v>BIRHAM SINGH</v>
          </cell>
        </row>
        <row r="464">
          <cell r="A464" t="str">
            <v>B173</v>
          </cell>
          <cell r="B464" t="str">
            <v>BAKSHI PAINTS &amp; ELCTRICAL TRADERS</v>
          </cell>
        </row>
        <row r="465">
          <cell r="A465" t="str">
            <v>B174</v>
          </cell>
          <cell r="B465" t="str">
            <v>BHARTI UDYOG</v>
          </cell>
        </row>
        <row r="466">
          <cell r="A466" t="str">
            <v>B175</v>
          </cell>
          <cell r="B466" t="str">
            <v>BAJAJ EQUIPMENTS LTD.</v>
          </cell>
        </row>
        <row r="467">
          <cell r="A467" t="str">
            <v>B176</v>
          </cell>
          <cell r="B467" t="str">
            <v>BESLA BHATTA CO.</v>
          </cell>
        </row>
        <row r="468">
          <cell r="A468" t="str">
            <v>B177</v>
          </cell>
          <cell r="B468" t="str">
            <v>BEC POLYPLAST INDUSTRIES</v>
          </cell>
        </row>
        <row r="469">
          <cell r="A469" t="str">
            <v>B178</v>
          </cell>
          <cell r="B469" t="str">
            <v>BYGGING INDIA LTD.</v>
          </cell>
        </row>
        <row r="470">
          <cell r="A470" t="str">
            <v>B179</v>
          </cell>
          <cell r="B470" t="str">
            <v>B L GUPTA CONSTUCTION LTD</v>
          </cell>
        </row>
        <row r="471">
          <cell r="A471" t="str">
            <v>B801</v>
          </cell>
          <cell r="B471" t="str">
            <v>BALVIR KAUR</v>
          </cell>
        </row>
        <row r="472">
          <cell r="A472" t="str">
            <v>B802</v>
          </cell>
          <cell r="B472" t="str">
            <v>BAL MOHAN SAWHNEY</v>
          </cell>
        </row>
        <row r="473">
          <cell r="A473" t="str">
            <v>B803</v>
          </cell>
          <cell r="B473" t="str">
            <v>BHAWANA M BHOJWANI</v>
          </cell>
        </row>
        <row r="474">
          <cell r="A474" t="str">
            <v>B804</v>
          </cell>
          <cell r="B474" t="str">
            <v>BANSI LAL</v>
          </cell>
        </row>
        <row r="475">
          <cell r="A475" t="str">
            <v>B805</v>
          </cell>
          <cell r="B475" t="str">
            <v>BABU SINGH YADAV</v>
          </cell>
        </row>
        <row r="476">
          <cell r="A476" t="str">
            <v>B806</v>
          </cell>
          <cell r="B476" t="str">
            <v>BHAJAN SINGH RIAR (RETAINER)</v>
          </cell>
        </row>
        <row r="477">
          <cell r="A477" t="str">
            <v>B807</v>
          </cell>
          <cell r="B477" t="str">
            <v>BHIM KAUR</v>
          </cell>
        </row>
        <row r="478">
          <cell r="A478" t="str">
            <v>B991</v>
          </cell>
          <cell r="B478" t="str">
            <v>B CHOWDHURY</v>
          </cell>
        </row>
        <row r="479">
          <cell r="A479" t="str">
            <v>C001</v>
          </cell>
          <cell r="B479" t="str">
            <v>CONSTRUCTION &amp; ALLIED EQUIPMNT</v>
          </cell>
        </row>
        <row r="480">
          <cell r="A480" t="str">
            <v>C002</v>
          </cell>
          <cell r="B480" t="str">
            <v>CONTINENTAL MACHINERY CO.</v>
          </cell>
        </row>
        <row r="481">
          <cell r="A481" t="str">
            <v>C003</v>
          </cell>
          <cell r="B481" t="str">
            <v>CAPRICORN MARBLES</v>
          </cell>
        </row>
        <row r="482">
          <cell r="A482" t="str">
            <v>C004</v>
          </cell>
          <cell r="B482" t="str">
            <v>COMT TILES</v>
          </cell>
        </row>
        <row r="483">
          <cell r="A483" t="str">
            <v>C005</v>
          </cell>
          <cell r="B483" t="str">
            <v>CLASSIC BRICKS</v>
          </cell>
        </row>
        <row r="484">
          <cell r="A484" t="str">
            <v>C006</v>
          </cell>
          <cell r="B484" t="str">
            <v>CHICAGO PNEUMATIC INDIA LTD.</v>
          </cell>
        </row>
        <row r="485">
          <cell r="A485" t="str">
            <v>C007</v>
          </cell>
          <cell r="B485" t="str">
            <v>CARRIER AIRCON LTD.</v>
          </cell>
        </row>
        <row r="486">
          <cell r="A486" t="str">
            <v>C008</v>
          </cell>
          <cell r="B486" t="str">
            <v>CONELEC ENGG.PVT.LTD.</v>
          </cell>
        </row>
        <row r="487">
          <cell r="A487" t="str">
            <v>C009</v>
          </cell>
          <cell r="B487" t="str">
            <v>CH. RAM KISHAN TANWAR</v>
          </cell>
        </row>
        <row r="488">
          <cell r="A488" t="str">
            <v>C010</v>
          </cell>
          <cell r="B488" t="str">
            <v>CHHATAR SINGH</v>
          </cell>
        </row>
        <row r="489">
          <cell r="A489" t="str">
            <v>C011</v>
          </cell>
          <cell r="B489" t="str">
            <v>COMT CONSTRUCTIONS</v>
          </cell>
        </row>
        <row r="490">
          <cell r="A490" t="str">
            <v>C012</v>
          </cell>
          <cell r="B490" t="str">
            <v>CHADHA CONSTRUCTION</v>
          </cell>
        </row>
        <row r="491">
          <cell r="A491" t="str">
            <v>C013</v>
          </cell>
          <cell r="B491" t="str">
            <v>CHAUDHARY AZAD</v>
          </cell>
        </row>
        <row r="492">
          <cell r="A492" t="str">
            <v>C014</v>
          </cell>
          <cell r="B492" t="str">
            <v>COOL PALACE</v>
          </cell>
        </row>
        <row r="493">
          <cell r="A493" t="str">
            <v>C015</v>
          </cell>
          <cell r="B493" t="str">
            <v>COLOR LANDS</v>
          </cell>
        </row>
        <row r="494">
          <cell r="A494" t="str">
            <v>C016</v>
          </cell>
          <cell r="B494" t="str">
            <v>CHIB GRAPHICS</v>
          </cell>
        </row>
        <row r="495">
          <cell r="A495" t="str">
            <v>C017</v>
          </cell>
          <cell r="B495" t="str">
            <v>CHAUDHARY BUILDERS &amp; DEVELOPERS</v>
          </cell>
        </row>
        <row r="496">
          <cell r="A496" t="str">
            <v>C018</v>
          </cell>
          <cell r="B496" t="str">
            <v>CAPITAL DECORATORS</v>
          </cell>
        </row>
        <row r="497">
          <cell r="A497" t="str">
            <v>C019</v>
          </cell>
          <cell r="B497" t="str">
            <v>CHAJJU RAM</v>
          </cell>
        </row>
        <row r="498">
          <cell r="A498" t="str">
            <v>C020</v>
          </cell>
          <cell r="B498" t="str">
            <v>CHHOTE LAL</v>
          </cell>
        </row>
        <row r="499">
          <cell r="A499" t="str">
            <v>C021</v>
          </cell>
          <cell r="B499" t="str">
            <v>CHHABRA STEEL INDUSTRIES</v>
          </cell>
        </row>
        <row r="500">
          <cell r="A500" t="str">
            <v>C022</v>
          </cell>
          <cell r="B500" t="str">
            <v>CHIRANJI LAL SHARMA</v>
          </cell>
        </row>
        <row r="501">
          <cell r="A501" t="str">
            <v>C023</v>
          </cell>
          <cell r="B501" t="str">
            <v>CEMCO WATER SEAL CONTRACTORS</v>
          </cell>
        </row>
        <row r="502">
          <cell r="A502" t="str">
            <v>C024</v>
          </cell>
          <cell r="B502" t="str">
            <v>CHANDRA TRANSPORT</v>
          </cell>
        </row>
        <row r="503">
          <cell r="A503" t="str">
            <v>C025</v>
          </cell>
          <cell r="B503" t="str">
            <v>CONSTECHS</v>
          </cell>
        </row>
        <row r="504">
          <cell r="A504" t="str">
            <v>C026</v>
          </cell>
          <cell r="B504" t="str">
            <v>COM SYS. INC/</v>
          </cell>
        </row>
        <row r="505">
          <cell r="A505" t="str">
            <v>C027</v>
          </cell>
          <cell r="B505" t="str">
            <v>CHARU STEEL TRADERS</v>
          </cell>
        </row>
        <row r="506">
          <cell r="A506" t="str">
            <v>C028</v>
          </cell>
          <cell r="B506" t="str">
            <v>CHAND BUILDING MATERIAL CARRIER</v>
          </cell>
        </row>
        <row r="507">
          <cell r="A507" t="str">
            <v>C029</v>
          </cell>
          <cell r="B507" t="str">
            <v>COSMIC GRANITES</v>
          </cell>
        </row>
        <row r="508">
          <cell r="A508" t="str">
            <v>C030</v>
          </cell>
          <cell r="B508" t="str">
            <v>C R MAITHAN</v>
          </cell>
        </row>
        <row r="509">
          <cell r="A509" t="str">
            <v>C031</v>
          </cell>
          <cell r="B509" t="str">
            <v>CHAUDHARY STEEL WORKS</v>
          </cell>
        </row>
        <row r="510">
          <cell r="A510" t="str">
            <v>C032</v>
          </cell>
          <cell r="B510" t="str">
            <v>C L BHATTA &amp; CO.</v>
          </cell>
        </row>
        <row r="511">
          <cell r="A511" t="str">
            <v>C033</v>
          </cell>
          <cell r="B511" t="str">
            <v>COSMIC BUILDERS</v>
          </cell>
        </row>
        <row r="512">
          <cell r="A512" t="str">
            <v>C034</v>
          </cell>
          <cell r="B512" t="str">
            <v>COMPRO SERVICES INDIA (P) LTD.</v>
          </cell>
        </row>
        <row r="513">
          <cell r="A513" t="str">
            <v>C035</v>
          </cell>
          <cell r="B513" t="str">
            <v>COROTECT</v>
          </cell>
        </row>
        <row r="514">
          <cell r="A514" t="str">
            <v>C036</v>
          </cell>
          <cell r="B514" t="str">
            <v>C B MISHRA</v>
          </cell>
        </row>
        <row r="515">
          <cell r="A515" t="str">
            <v>C037</v>
          </cell>
          <cell r="B515" t="str">
            <v>CHAMAN LAL</v>
          </cell>
        </row>
        <row r="516">
          <cell r="A516" t="str">
            <v>C038</v>
          </cell>
          <cell r="B516" t="str">
            <v>CHECK WATER PROOFING PVT. LTD.</v>
          </cell>
        </row>
        <row r="517">
          <cell r="A517" t="str">
            <v>C039</v>
          </cell>
          <cell r="B517" t="str">
            <v>CITY CONSTRUCTIONS</v>
          </cell>
        </row>
        <row r="518">
          <cell r="A518" t="str">
            <v>C040</v>
          </cell>
          <cell r="B518" t="str">
            <v>CHANDA CONSTRUCTION CO.</v>
          </cell>
        </row>
        <row r="519">
          <cell r="A519" t="str">
            <v>C041</v>
          </cell>
          <cell r="B519" t="str">
            <v>CHADHARY BUILDING MATERIAL CARRIER</v>
          </cell>
        </row>
        <row r="520">
          <cell r="A520" t="str">
            <v>C042</v>
          </cell>
          <cell r="B520" t="str">
            <v>CLASSIC FINANCIAL SERV. &amp; ENT. LTD.</v>
          </cell>
        </row>
        <row r="521">
          <cell r="A521" t="str">
            <v>C043</v>
          </cell>
          <cell r="B521" t="str">
            <v>COMMSYS INC (COMM.&amp; MDERNISATION SYSTEM)</v>
          </cell>
        </row>
        <row r="522">
          <cell r="A522" t="str">
            <v>C044</v>
          </cell>
          <cell r="B522" t="str">
            <v>CHEMI TECH ENGG. LTD.</v>
          </cell>
        </row>
        <row r="523">
          <cell r="A523" t="str">
            <v>C045</v>
          </cell>
          <cell r="B523" t="str">
            <v>CHAND SINGH</v>
          </cell>
        </row>
        <row r="524">
          <cell r="A524" t="str">
            <v>C046</v>
          </cell>
          <cell r="B524" t="str">
            <v>C K MARKETING (P) LTD.</v>
          </cell>
        </row>
        <row r="525">
          <cell r="A525" t="str">
            <v>C047</v>
          </cell>
          <cell r="B525" t="str">
            <v>CHANDER PAL(INOP.)</v>
          </cell>
        </row>
        <row r="526">
          <cell r="A526" t="str">
            <v>C048</v>
          </cell>
          <cell r="B526" t="str">
            <v>CONSOLIDATED ENGG.CO.</v>
          </cell>
        </row>
        <row r="527">
          <cell r="A527" t="str">
            <v>C049</v>
          </cell>
          <cell r="B527" t="str">
            <v>CHANDRIKA PRASAD(INOP.)</v>
          </cell>
        </row>
        <row r="528">
          <cell r="A528" t="str">
            <v>C050</v>
          </cell>
          <cell r="B528" t="str">
            <v>CHAUDHARY STEEL FABRICATION(INOP.)</v>
          </cell>
        </row>
        <row r="529">
          <cell r="A529" t="str">
            <v>C051</v>
          </cell>
          <cell r="B529" t="str">
            <v>COMPRREHENSIVE TECH SERVICES</v>
          </cell>
        </row>
        <row r="530">
          <cell r="A530" t="str">
            <v>C052</v>
          </cell>
          <cell r="B530" t="str">
            <v>CHANDER KUMAR(INOP.)</v>
          </cell>
        </row>
        <row r="531">
          <cell r="A531" t="str">
            <v>C053</v>
          </cell>
          <cell r="B531" t="str">
            <v>COOPERS &amp; LYBRAND PVT LTD</v>
          </cell>
        </row>
        <row r="532">
          <cell r="A532" t="str">
            <v>C054</v>
          </cell>
          <cell r="B532" t="str">
            <v>CINELINKS</v>
          </cell>
        </row>
        <row r="533">
          <cell r="A533" t="str">
            <v>C055</v>
          </cell>
          <cell r="B533" t="str">
            <v>CIVCON BUILDERS</v>
          </cell>
        </row>
        <row r="534">
          <cell r="A534" t="str">
            <v>C056</v>
          </cell>
          <cell r="B534" t="str">
            <v>CHANDER PRAKASH BDG. MATERIAL CARRIER</v>
          </cell>
        </row>
        <row r="535">
          <cell r="A535" t="str">
            <v>C057</v>
          </cell>
          <cell r="B535" t="str">
            <v>CAPITAL CONSTRUCTION &amp; DECORATORS</v>
          </cell>
        </row>
        <row r="536">
          <cell r="A536" t="str">
            <v>C058</v>
          </cell>
          <cell r="B536" t="str">
            <v>CONTRADE INTERNATIONAL PVT. LTD.</v>
          </cell>
        </row>
        <row r="537">
          <cell r="A537" t="str">
            <v>C059</v>
          </cell>
          <cell r="B537" t="str">
            <v>CONTINENTAL ENGG. CO.</v>
          </cell>
        </row>
        <row r="538">
          <cell r="A538" t="str">
            <v>C060</v>
          </cell>
          <cell r="B538" t="str">
            <v>M/S COMPUTER STATIONERS</v>
          </cell>
        </row>
        <row r="539">
          <cell r="A539" t="str">
            <v>C061</v>
          </cell>
          <cell r="B539" t="str">
            <v>CAD STUDIO</v>
          </cell>
        </row>
        <row r="540">
          <cell r="A540" t="str">
            <v>C062</v>
          </cell>
          <cell r="B540" t="str">
            <v>CITI BANK DINERS CLUB</v>
          </cell>
        </row>
        <row r="541">
          <cell r="A541" t="str">
            <v>C063</v>
          </cell>
          <cell r="B541" t="str">
            <v>CHADHA PROJECT SERVICES</v>
          </cell>
        </row>
        <row r="542">
          <cell r="A542" t="str">
            <v>C064</v>
          </cell>
          <cell r="B542" t="str">
            <v>M/S CASTROL INDIA LTD.</v>
          </cell>
        </row>
        <row r="543">
          <cell r="A543" t="str">
            <v>C065</v>
          </cell>
          <cell r="B543" t="str">
            <v>CHEMOLIT AGENCIES</v>
          </cell>
        </row>
        <row r="544">
          <cell r="A544" t="str">
            <v>C066</v>
          </cell>
          <cell r="B544" t="str">
            <v>COMMERCIAL EQUIPMENTS</v>
          </cell>
        </row>
        <row r="545">
          <cell r="A545" t="str">
            <v>C067</v>
          </cell>
          <cell r="B545" t="str">
            <v>CAPITAL BUILDING &amp; FURNISHING CO.</v>
          </cell>
        </row>
        <row r="546">
          <cell r="A546" t="str">
            <v>C068</v>
          </cell>
          <cell r="B546" t="str">
            <v>CLASSIC INTERIORS</v>
          </cell>
        </row>
        <row r="547">
          <cell r="A547" t="str">
            <v>C069</v>
          </cell>
          <cell r="B547" t="str">
            <v>CHAUDHARY &amp; SEHGAL ASSOCIATES</v>
          </cell>
        </row>
        <row r="548">
          <cell r="A548" t="str">
            <v>C070</v>
          </cell>
          <cell r="B548" t="str">
            <v>CHEMPRO CONSTRUCTION SPECIALITIES</v>
          </cell>
        </row>
        <row r="549">
          <cell r="A549" t="str">
            <v>C071</v>
          </cell>
          <cell r="B549" t="str">
            <v>CSP TECHNO CONSTRUCTION</v>
          </cell>
        </row>
        <row r="550">
          <cell r="A550" t="str">
            <v>C072</v>
          </cell>
          <cell r="B550" t="str">
            <v>CHINTAMANI METAL UDYOG (P) LTD.</v>
          </cell>
        </row>
        <row r="551">
          <cell r="A551" t="str">
            <v>C073</v>
          </cell>
          <cell r="B551" t="str">
            <v>CENTURY PLYBOARDS (I) LTD.</v>
          </cell>
        </row>
        <row r="552">
          <cell r="A552" t="str">
            <v>C074</v>
          </cell>
          <cell r="B552" t="str">
            <v>CHAMPA LAL JAIN &amp; CO.</v>
          </cell>
        </row>
        <row r="553">
          <cell r="A553" t="str">
            <v>C075</v>
          </cell>
          <cell r="B553" t="str">
            <v>C M PARKASH</v>
          </cell>
        </row>
        <row r="554">
          <cell r="A554" t="str">
            <v>C076</v>
          </cell>
          <cell r="B554" t="str">
            <v>COMT CONSTRUCTION (P) LTD.</v>
          </cell>
        </row>
        <row r="555">
          <cell r="A555" t="str">
            <v>C077</v>
          </cell>
          <cell r="B555" t="str">
            <v>CHHIGAN SINGH CHOUDHARI &amp; CO.</v>
          </cell>
        </row>
        <row r="556">
          <cell r="A556" t="str">
            <v>C078</v>
          </cell>
          <cell r="B556" t="str">
            <v>CHOUDHARY AZAD</v>
          </cell>
        </row>
        <row r="557">
          <cell r="A557" t="str">
            <v>C079</v>
          </cell>
          <cell r="B557" t="str">
            <v>COMBINE ENGINEERING ENTERPRISES</v>
          </cell>
        </row>
        <row r="558">
          <cell r="A558" t="str">
            <v>C080</v>
          </cell>
          <cell r="B558" t="str">
            <v>CHAWLA TECHNO CONSTRUCT LIMITED</v>
          </cell>
        </row>
        <row r="559">
          <cell r="A559" t="str">
            <v>C081</v>
          </cell>
          <cell r="B559" t="str">
            <v>CHHIRAKLOT BUILDING MATERIAL STORE</v>
          </cell>
        </row>
        <row r="560">
          <cell r="A560" t="str">
            <v>C082</v>
          </cell>
          <cell r="B560" t="str">
            <v>CHIRANGI LAL</v>
          </cell>
        </row>
        <row r="561">
          <cell r="A561" t="str">
            <v>C083</v>
          </cell>
          <cell r="B561" t="str">
            <v>CHAND KISHORE</v>
          </cell>
        </row>
        <row r="562">
          <cell r="A562" t="str">
            <v>C085</v>
          </cell>
          <cell r="B562" t="str">
            <v>CLASSIC CONTRACTOR</v>
          </cell>
        </row>
        <row r="563">
          <cell r="A563" t="str">
            <v>C086</v>
          </cell>
          <cell r="B563" t="str">
            <v>CARDINAL ENTERPRENEURS</v>
          </cell>
        </row>
        <row r="564">
          <cell r="A564" t="str">
            <v>C087</v>
          </cell>
          <cell r="B564" t="str">
            <v>CHIRAG ASSOCIATES</v>
          </cell>
        </row>
        <row r="565">
          <cell r="A565" t="str">
            <v>C088</v>
          </cell>
          <cell r="B565" t="str">
            <v>CYBER WORLD</v>
          </cell>
        </row>
        <row r="566">
          <cell r="A566" t="str">
            <v>C089</v>
          </cell>
          <cell r="B566" t="str">
            <v>CHAWLA TRUCK &amp; TRAILOR TRANSPORT</v>
          </cell>
        </row>
        <row r="567">
          <cell r="A567" t="str">
            <v>C090</v>
          </cell>
          <cell r="B567" t="str">
            <v>CONCEPT ILLUMINATION</v>
          </cell>
        </row>
        <row r="568">
          <cell r="A568" t="str">
            <v>C091</v>
          </cell>
          <cell r="B568" t="str">
            <v>C P RASTOGI</v>
          </cell>
        </row>
        <row r="569">
          <cell r="A569" t="str">
            <v>C092</v>
          </cell>
          <cell r="B569" t="str">
            <v>CIVIL ENGG. &amp; CONSTRUCTION REVIEW</v>
          </cell>
        </row>
        <row r="570">
          <cell r="A570" t="str">
            <v>C093</v>
          </cell>
          <cell r="B570" t="str">
            <v>CHOUDHARY &amp; SEGHAL ASSOCIATES</v>
          </cell>
        </row>
        <row r="571">
          <cell r="A571" t="str">
            <v>C094</v>
          </cell>
          <cell r="B571" t="str">
            <v>CROSS ROAD SUPER MARKET</v>
          </cell>
        </row>
        <row r="572">
          <cell r="A572" t="str">
            <v>C095</v>
          </cell>
          <cell r="B572" t="str">
            <v>CONTAINER CORP. OF INDIA</v>
          </cell>
        </row>
        <row r="573">
          <cell r="A573" t="str">
            <v>C096</v>
          </cell>
          <cell r="B573" t="str">
            <v>CHINTAMANI</v>
          </cell>
        </row>
        <row r="574">
          <cell r="A574" t="str">
            <v>C097</v>
          </cell>
          <cell r="B574" t="str">
            <v>CONSTRUCTION MACHINERY</v>
          </cell>
        </row>
        <row r="575">
          <cell r="A575" t="str">
            <v>C098</v>
          </cell>
          <cell r="B575" t="str">
            <v>CORPORATION BANK</v>
          </cell>
        </row>
        <row r="576">
          <cell r="A576" t="str">
            <v>C099</v>
          </cell>
          <cell r="B576" t="str">
            <v>CENTRAL WARE HOUSING CORP.</v>
          </cell>
        </row>
        <row r="577">
          <cell r="A577" t="str">
            <v>C100</v>
          </cell>
          <cell r="B577" t="str">
            <v>CHOUDHARY WATER SUPPLIER</v>
          </cell>
        </row>
        <row r="578">
          <cell r="A578" t="str">
            <v>C101</v>
          </cell>
          <cell r="B578" t="str">
            <v>CONSTRUCTION EQUIPMENT</v>
          </cell>
        </row>
        <row r="579">
          <cell r="A579" t="str">
            <v>C102</v>
          </cell>
          <cell r="B579" t="str">
            <v>COMBINED AGENCIES</v>
          </cell>
        </row>
        <row r="580">
          <cell r="A580" t="str">
            <v>C103</v>
          </cell>
          <cell r="B580" t="str">
            <v>CYBEX POWER SYSTEM</v>
          </cell>
        </row>
        <row r="581">
          <cell r="A581" t="str">
            <v>C104</v>
          </cell>
          <cell r="B581" t="str">
            <v>CHHIGAN SINGH CHOUDHARY &amp; CO.</v>
          </cell>
        </row>
        <row r="582">
          <cell r="A582" t="str">
            <v>C105</v>
          </cell>
          <cell r="B582" t="str">
            <v>CHAUDHARY GLASS</v>
          </cell>
        </row>
        <row r="583">
          <cell r="A583" t="str">
            <v>C106</v>
          </cell>
          <cell r="B583" t="str">
            <v>CRYSTAL CORPORATION</v>
          </cell>
        </row>
        <row r="584">
          <cell r="A584" t="str">
            <v>C107</v>
          </cell>
          <cell r="B584" t="str">
            <v>CELCRETE INDIA</v>
          </cell>
        </row>
        <row r="585">
          <cell r="A585" t="str">
            <v>C108</v>
          </cell>
          <cell r="B585" t="str">
            <v>CHINTAMANI PRADHAN &amp; MANJIT ENGG. CORPOR</v>
          </cell>
        </row>
        <row r="586">
          <cell r="A586" t="str">
            <v>C109</v>
          </cell>
          <cell r="B586" t="str">
            <v>COSMOS CONSTRUCTION CO.</v>
          </cell>
        </row>
        <row r="587">
          <cell r="A587" t="str">
            <v>C110</v>
          </cell>
          <cell r="B587" t="str">
            <v>COMPETENT ENGINEERS</v>
          </cell>
        </row>
        <row r="588">
          <cell r="A588" t="str">
            <v>C111</v>
          </cell>
          <cell r="B588" t="str">
            <v>CALCUTTA BATTERY SUPPLU CO. PVT. LTD.</v>
          </cell>
        </row>
        <row r="589">
          <cell r="A589" t="str">
            <v>C112</v>
          </cell>
          <cell r="B589" t="str">
            <v>C TRIBHOVAN DAS &amp; CO.</v>
          </cell>
        </row>
        <row r="590">
          <cell r="A590" t="str">
            <v>C113</v>
          </cell>
          <cell r="B590" t="str">
            <v>CHANDAN SINGH &amp; LAXMI CHAND</v>
          </cell>
        </row>
        <row r="591">
          <cell r="A591" t="str">
            <v>C114</v>
          </cell>
          <cell r="B591" t="str">
            <v>CLIPS QUALITY OFFICE SUPPLIES (P) LTD.</v>
          </cell>
        </row>
        <row r="592">
          <cell r="A592" t="str">
            <v>C115</v>
          </cell>
          <cell r="B592" t="str">
            <v>CITY GEARS</v>
          </cell>
        </row>
        <row r="593">
          <cell r="A593" t="str">
            <v>C116</v>
          </cell>
          <cell r="B593" t="str">
            <v>CICO ENGINEERING SERVICES(P) LTD.</v>
          </cell>
        </row>
        <row r="594">
          <cell r="A594" t="str">
            <v>C117</v>
          </cell>
          <cell r="B594" t="str">
            <v>CABLE COMMUNICATIONS</v>
          </cell>
        </row>
        <row r="595">
          <cell r="A595" t="str">
            <v>C118</v>
          </cell>
          <cell r="B595" t="str">
            <v>CARDIO FITNESS (I) PVT. LTD.</v>
          </cell>
        </row>
        <row r="596">
          <cell r="A596" t="str">
            <v>C119</v>
          </cell>
          <cell r="B596" t="str">
            <v>COMPOSIL INDIA PVT.LTD.</v>
          </cell>
        </row>
        <row r="597">
          <cell r="A597" t="str">
            <v>C120</v>
          </cell>
          <cell r="B597" t="str">
            <v>CENTRAL ARCADE TAXI SERVICE</v>
          </cell>
        </row>
        <row r="598">
          <cell r="A598" t="str">
            <v>C121</v>
          </cell>
          <cell r="B598" t="str">
            <v>CONTINENTAL EQUIPMENT INDIA PVT LTD</v>
          </cell>
        </row>
        <row r="599">
          <cell r="A599" t="str">
            <v>C122</v>
          </cell>
          <cell r="B599" t="str">
            <v>CAPITAL REFRIGERATION CO. PVT. LTD.</v>
          </cell>
        </row>
        <row r="600">
          <cell r="A600" t="str">
            <v>C123</v>
          </cell>
          <cell r="B600" t="str">
            <v>CHINTAMANI ENTERPRISES</v>
          </cell>
        </row>
        <row r="601">
          <cell r="A601" t="str">
            <v>C124</v>
          </cell>
          <cell r="B601" t="str">
            <v>CORPORATE RISK INDIA PVT LTD</v>
          </cell>
        </row>
        <row r="602">
          <cell r="A602" t="str">
            <v>C125</v>
          </cell>
          <cell r="B602" t="str">
            <v>CREATIVE LIGHTS</v>
          </cell>
        </row>
        <row r="603">
          <cell r="A603" t="str">
            <v>C126</v>
          </cell>
          <cell r="B603" t="str">
            <v>CLASSIC INTERIOR'S</v>
          </cell>
        </row>
        <row r="604">
          <cell r="A604" t="str">
            <v>C127</v>
          </cell>
          <cell r="B604" t="str">
            <v>CARYAIRE</v>
          </cell>
        </row>
        <row r="605">
          <cell r="A605" t="str">
            <v>C128</v>
          </cell>
          <cell r="B605" t="str">
            <v>COIR BOARD</v>
          </cell>
        </row>
        <row r="606">
          <cell r="A606" t="str">
            <v>C129</v>
          </cell>
          <cell r="B606" t="str">
            <v>CASTROL INDIA LIMITED</v>
          </cell>
        </row>
        <row r="607">
          <cell r="A607" t="str">
            <v>C130</v>
          </cell>
          <cell r="B607" t="str">
            <v>CONT FREIGHT SHIPPING AGENCY (I) P LTD</v>
          </cell>
        </row>
        <row r="608">
          <cell r="A608" t="str">
            <v>C131</v>
          </cell>
          <cell r="B608" t="str">
            <v>C-NET COMMUNICATION INDIA PVT. LTD.</v>
          </cell>
        </row>
        <row r="609">
          <cell r="A609" t="str">
            <v>C132</v>
          </cell>
          <cell r="B609" t="str">
            <v>CANCO INDUSTRIES (P) LTD.</v>
          </cell>
        </row>
        <row r="610">
          <cell r="A610" t="str">
            <v>C801</v>
          </cell>
          <cell r="B610" t="str">
            <v>CHANDRA KR KAPOOR</v>
          </cell>
        </row>
        <row r="611">
          <cell r="A611" t="str">
            <v>C802</v>
          </cell>
          <cell r="B611" t="str">
            <v>CHANDER PURI</v>
          </cell>
        </row>
        <row r="612">
          <cell r="A612" t="str">
            <v>C803</v>
          </cell>
          <cell r="B612" t="str">
            <v>CHAND KHANNA</v>
          </cell>
        </row>
        <row r="613">
          <cell r="A613" t="str">
            <v>C804</v>
          </cell>
          <cell r="B613" t="str">
            <v>CIVITECH CONSULTANTS (P) LTD</v>
          </cell>
        </row>
        <row r="614">
          <cell r="A614" t="str">
            <v>D001</v>
          </cell>
          <cell r="B614" t="str">
            <v>DURGA ASSOCIATES</v>
          </cell>
        </row>
        <row r="615">
          <cell r="A615" t="str">
            <v>D002</v>
          </cell>
          <cell r="B615" t="str">
            <v>DELHI AUTOMOBILES LTD.</v>
          </cell>
        </row>
        <row r="616">
          <cell r="A616" t="str">
            <v>D003</v>
          </cell>
          <cell r="B616" t="str">
            <v>DELHI MERCANTILE CO.</v>
          </cell>
        </row>
        <row r="617">
          <cell r="A617" t="str">
            <v>D004</v>
          </cell>
          <cell r="B617" t="str">
            <v>DELTA MARKETING</v>
          </cell>
        </row>
        <row r="618">
          <cell r="A618" t="str">
            <v>D005</v>
          </cell>
          <cell r="B618" t="str">
            <v>DAYA RAM</v>
          </cell>
        </row>
        <row r="619">
          <cell r="A619" t="str">
            <v>D006</v>
          </cell>
          <cell r="B619" t="str">
            <v>DILIP KR. GUPTA</v>
          </cell>
        </row>
        <row r="620">
          <cell r="A620" t="str">
            <v>D007</v>
          </cell>
          <cell r="B620" t="str">
            <v>D.S.VERMA &amp; SONS</v>
          </cell>
        </row>
        <row r="621">
          <cell r="A621" t="str">
            <v>D008</v>
          </cell>
          <cell r="B621" t="str">
            <v>DARLING PUMPS PVT. LTD.</v>
          </cell>
        </row>
        <row r="622">
          <cell r="A622" t="str">
            <v>D009</v>
          </cell>
          <cell r="B622" t="str">
            <v>DEVRAJ</v>
          </cell>
        </row>
        <row r="623">
          <cell r="A623" t="str">
            <v>D010</v>
          </cell>
          <cell r="B623" t="str">
            <v>DEVI SINGH</v>
          </cell>
        </row>
        <row r="624">
          <cell r="A624" t="str">
            <v>D011</v>
          </cell>
          <cell r="B624" t="str">
            <v>DAYA NATH</v>
          </cell>
        </row>
        <row r="625">
          <cell r="A625" t="str">
            <v>D012</v>
          </cell>
          <cell r="B625" t="str">
            <v>DLF UNIVERSAL LTD.</v>
          </cell>
        </row>
        <row r="626">
          <cell r="A626" t="str">
            <v>D013</v>
          </cell>
          <cell r="B626" t="str">
            <v>DLF RECREATIONAL FOUNDATION PVT. LTD.</v>
          </cell>
        </row>
        <row r="627">
          <cell r="A627" t="str">
            <v>D014</v>
          </cell>
          <cell r="B627" t="str">
            <v>D K DHIR</v>
          </cell>
        </row>
        <row r="628">
          <cell r="A628" t="str">
            <v>D015</v>
          </cell>
          <cell r="B628" t="str">
            <v>DEEPAK CONSTRUCTION</v>
          </cell>
        </row>
        <row r="629">
          <cell r="A629" t="str">
            <v>D016</v>
          </cell>
          <cell r="B629" t="str">
            <v>DECOLINKERS</v>
          </cell>
        </row>
        <row r="630">
          <cell r="A630" t="str">
            <v>D017</v>
          </cell>
          <cell r="B630" t="str">
            <v>CREATION</v>
          </cell>
        </row>
        <row r="631">
          <cell r="A631" t="str">
            <v>D018</v>
          </cell>
          <cell r="B631" t="str">
            <v>DRAIL BUILDING MATERIAL SUPPLIER</v>
          </cell>
        </row>
        <row r="632">
          <cell r="A632" t="str">
            <v>D019</v>
          </cell>
          <cell r="B632" t="str">
            <v>DIPAK ADHIKARY</v>
          </cell>
        </row>
        <row r="633">
          <cell r="A633" t="str">
            <v>D020</v>
          </cell>
          <cell r="B633" t="str">
            <v>DMT - FARIDABAD</v>
          </cell>
        </row>
        <row r="634">
          <cell r="A634" t="str">
            <v>D021</v>
          </cell>
          <cell r="B634" t="str">
            <v>D.E.S.U</v>
          </cell>
        </row>
        <row r="635">
          <cell r="A635" t="str">
            <v>D022</v>
          </cell>
          <cell r="B635" t="str">
            <v>DIL CONSTRUCTION DIVISION</v>
          </cell>
        </row>
        <row r="636">
          <cell r="A636" t="str">
            <v>D023</v>
          </cell>
          <cell r="B636" t="str">
            <v>DLIP SINGH</v>
          </cell>
        </row>
        <row r="637">
          <cell r="A637" t="str">
            <v>D024</v>
          </cell>
          <cell r="B637" t="str">
            <v>DASH CREATIVES</v>
          </cell>
        </row>
        <row r="638">
          <cell r="A638" t="str">
            <v>D025</v>
          </cell>
          <cell r="B638" t="str">
            <v>DRILL TECH ENGINEERS</v>
          </cell>
        </row>
        <row r="639">
          <cell r="A639" t="str">
            <v>D026</v>
          </cell>
          <cell r="B639" t="str">
            <v>DIALOG</v>
          </cell>
        </row>
        <row r="640">
          <cell r="A640" t="str">
            <v>D027</v>
          </cell>
          <cell r="B640" t="str">
            <v>DAWAR CARRIER</v>
          </cell>
        </row>
        <row r="641">
          <cell r="A641" t="str">
            <v>D028</v>
          </cell>
          <cell r="B641" t="str">
            <v>DEVI LAL</v>
          </cell>
        </row>
        <row r="642">
          <cell r="A642" t="str">
            <v>D029</v>
          </cell>
          <cell r="B642" t="str">
            <v>D P SABHARWAL</v>
          </cell>
        </row>
        <row r="643">
          <cell r="A643" t="str">
            <v>D030</v>
          </cell>
          <cell r="B643" t="str">
            <v>DIZZY PRINTERS</v>
          </cell>
        </row>
        <row r="644">
          <cell r="A644" t="str">
            <v>D031</v>
          </cell>
          <cell r="B644" t="str">
            <v>DEEPAK MARBLES</v>
          </cell>
        </row>
        <row r="645">
          <cell r="A645" t="str">
            <v>D032</v>
          </cell>
          <cell r="B645" t="str">
            <v>DEEPAK BUILDERS</v>
          </cell>
        </row>
        <row r="646">
          <cell r="A646" t="str">
            <v>D033</v>
          </cell>
          <cell r="B646" t="str">
            <v>DHARAM VIR</v>
          </cell>
        </row>
        <row r="647">
          <cell r="A647" t="str">
            <v>D034</v>
          </cell>
          <cell r="B647" t="str">
            <v>DAVINDER SACHDEVA</v>
          </cell>
        </row>
        <row r="648">
          <cell r="A648" t="str">
            <v>D035</v>
          </cell>
          <cell r="B648" t="str">
            <v>DINESH KUMAR GUPTA</v>
          </cell>
        </row>
        <row r="649">
          <cell r="A649" t="str">
            <v>D036</v>
          </cell>
          <cell r="B649" t="str">
            <v>DINESH SINGH</v>
          </cell>
        </row>
        <row r="650">
          <cell r="A650" t="str">
            <v>D037</v>
          </cell>
          <cell r="B650" t="str">
            <v>DURYODHAN MANDAL</v>
          </cell>
        </row>
        <row r="651">
          <cell r="A651" t="str">
            <v>D038</v>
          </cell>
          <cell r="B651" t="str">
            <v>DAYAL CHAND</v>
          </cell>
        </row>
        <row r="652">
          <cell r="A652" t="str">
            <v>D039</v>
          </cell>
          <cell r="B652" t="str">
            <v>DEEPAK ENTERPRISES</v>
          </cell>
        </row>
        <row r="653">
          <cell r="A653" t="str">
            <v>D040</v>
          </cell>
          <cell r="B653" t="str">
            <v>DOCTOR SINGH</v>
          </cell>
        </row>
        <row r="654">
          <cell r="A654" t="str">
            <v>D041</v>
          </cell>
          <cell r="B654" t="str">
            <v>DEV RAJ GUPTA &amp; CO.</v>
          </cell>
        </row>
        <row r="655">
          <cell r="A655" t="str">
            <v>D042</v>
          </cell>
          <cell r="B655" t="str">
            <v>DAGAR BUILDING MATERIAL CARRIER</v>
          </cell>
        </row>
        <row r="656">
          <cell r="A656" t="str">
            <v>D043</v>
          </cell>
          <cell r="B656" t="str">
            <v>DEBONAIR SECURITY &amp; ALLIED SERVICES</v>
          </cell>
        </row>
        <row r="657">
          <cell r="A657" t="str">
            <v>D044</v>
          </cell>
          <cell r="B657" t="str">
            <v>D N SHUKLA</v>
          </cell>
        </row>
        <row r="658">
          <cell r="A658" t="str">
            <v>D045</v>
          </cell>
          <cell r="B658" t="str">
            <v>DELHI DOORS</v>
          </cell>
        </row>
        <row r="659">
          <cell r="A659" t="str">
            <v>D046</v>
          </cell>
          <cell r="B659" t="str">
            <v>DEEP CHAND</v>
          </cell>
        </row>
        <row r="660">
          <cell r="A660" t="str">
            <v>D047</v>
          </cell>
          <cell r="B660" t="str">
            <v>DAULAT RAM</v>
          </cell>
        </row>
        <row r="661">
          <cell r="A661" t="str">
            <v>D048</v>
          </cell>
          <cell r="B661" t="str">
            <v>DLF BUILDERS &amp; DEVELOPERS LTD.</v>
          </cell>
        </row>
        <row r="662">
          <cell r="A662" t="str">
            <v>D049</v>
          </cell>
          <cell r="B662" t="str">
            <v>DLF UNIVERSAL LTD. (MISC. A)</v>
          </cell>
        </row>
        <row r="663">
          <cell r="A663" t="str">
            <v>D050</v>
          </cell>
          <cell r="B663" t="str">
            <v>DLF UNIVERSAL LTD. (TOWN SERB.)</v>
          </cell>
        </row>
        <row r="664">
          <cell r="A664" t="str">
            <v>D051</v>
          </cell>
          <cell r="B664" t="str">
            <v>D.R.SUMANT SINGHAR</v>
          </cell>
        </row>
        <row r="665">
          <cell r="A665" t="str">
            <v>D052</v>
          </cell>
          <cell r="B665" t="str">
            <v>DEVISAHA(INOP.)</v>
          </cell>
        </row>
        <row r="666">
          <cell r="A666" t="str">
            <v>D053</v>
          </cell>
          <cell r="B666" t="str">
            <v>DESH RAJ GUPTA &amp; CO.(INOP.)</v>
          </cell>
        </row>
        <row r="667">
          <cell r="A667" t="str">
            <v>D054</v>
          </cell>
          <cell r="B667" t="str">
            <v>DHARAM DEV</v>
          </cell>
        </row>
        <row r="668">
          <cell r="A668" t="str">
            <v>D055</v>
          </cell>
          <cell r="B668" t="str">
            <v>D.P.MISHRA</v>
          </cell>
        </row>
        <row r="669">
          <cell r="A669" t="str">
            <v>D056</v>
          </cell>
          <cell r="B669" t="str">
            <v>DESTINATION INTERNATIONAL COR.(INOP.)</v>
          </cell>
        </row>
        <row r="670">
          <cell r="A670" t="str">
            <v>D057</v>
          </cell>
          <cell r="B670" t="str">
            <v>DEE PEE SHARMA &amp; ASSOCIATES</v>
          </cell>
        </row>
        <row r="671">
          <cell r="A671" t="str">
            <v>D058</v>
          </cell>
          <cell r="B671" t="str">
            <v>DELHI ALUMINIUM (P) LTD(INOP.)</v>
          </cell>
        </row>
        <row r="672">
          <cell r="A672" t="str">
            <v>D059</v>
          </cell>
          <cell r="B672" t="str">
            <v>DHAN SINGH(INOP.)</v>
          </cell>
        </row>
        <row r="673">
          <cell r="A673" t="str">
            <v>D060</v>
          </cell>
          <cell r="B673" t="str">
            <v>DELCON (INDIA)</v>
          </cell>
        </row>
        <row r="674">
          <cell r="A674" t="str">
            <v>D061</v>
          </cell>
          <cell r="B674" t="str">
            <v>DHARAM PAL &amp; SONS</v>
          </cell>
        </row>
        <row r="675">
          <cell r="A675" t="str">
            <v>D062</v>
          </cell>
          <cell r="B675" t="str">
            <v>DE STEELWAYS</v>
          </cell>
        </row>
        <row r="676">
          <cell r="A676" t="str">
            <v>D063</v>
          </cell>
          <cell r="B676" t="str">
            <v>DEOLALIKAR CONSULTANT PRIVATE LIMITED</v>
          </cell>
        </row>
        <row r="677">
          <cell r="A677" t="str">
            <v>D064</v>
          </cell>
          <cell r="B677" t="str">
            <v>DAGAR BUILDING MATERIAL SUPPLIER</v>
          </cell>
        </row>
        <row r="678">
          <cell r="A678" t="str">
            <v>D065</v>
          </cell>
          <cell r="B678" t="str">
            <v>DEE PEE ENGINEERING WORKS</v>
          </cell>
        </row>
        <row r="679">
          <cell r="A679" t="str">
            <v>D066</v>
          </cell>
          <cell r="B679" t="str">
            <v>D P GUPTA &amp; CO. (PVT.) LTD.</v>
          </cell>
        </row>
        <row r="680">
          <cell r="A680" t="str">
            <v>D067</v>
          </cell>
          <cell r="B680" t="str">
            <v>D.J. DHAR</v>
          </cell>
        </row>
        <row r="681">
          <cell r="A681" t="str">
            <v>D068</v>
          </cell>
          <cell r="B681" t="str">
            <v>DHARAM PAL</v>
          </cell>
        </row>
        <row r="682">
          <cell r="A682" t="str">
            <v>D069</v>
          </cell>
          <cell r="B682" t="str">
            <v>DHARAMBIR BUILDING MATERIAL CARRIER</v>
          </cell>
        </row>
        <row r="683">
          <cell r="A683" t="str">
            <v>D070</v>
          </cell>
          <cell r="B683" t="str">
            <v>D S HYDRAULICS</v>
          </cell>
        </row>
        <row r="684">
          <cell r="A684" t="str">
            <v>D071</v>
          </cell>
          <cell r="B684" t="str">
            <v>DARAIL BUILDING MATERIAL SUPPLIER</v>
          </cell>
        </row>
        <row r="685">
          <cell r="A685" t="str">
            <v>D072</v>
          </cell>
          <cell r="B685" t="str">
            <v>D.K.TRAVEL AGENCY</v>
          </cell>
        </row>
        <row r="686">
          <cell r="A686" t="str">
            <v>D073</v>
          </cell>
          <cell r="B686" t="str">
            <v>DILIP KUMAR</v>
          </cell>
        </row>
        <row r="687">
          <cell r="A687" t="str">
            <v>D074</v>
          </cell>
          <cell r="B687" t="str">
            <v>DOON NURSERIES</v>
          </cell>
        </row>
        <row r="688">
          <cell r="A688" t="str">
            <v>D075</v>
          </cell>
          <cell r="B688" t="str">
            <v>DELHI LOHA BHANDAR</v>
          </cell>
        </row>
        <row r="689">
          <cell r="A689" t="str">
            <v>D076</v>
          </cell>
          <cell r="B689" t="str">
            <v>DURALITE ALUMINIUM PVT. LTD.</v>
          </cell>
        </row>
        <row r="690">
          <cell r="A690" t="str">
            <v>D077</v>
          </cell>
          <cell r="B690" t="str">
            <v>DUDEJA TRANSPORT COMPANY</v>
          </cell>
        </row>
        <row r="691">
          <cell r="A691" t="str">
            <v>D078</v>
          </cell>
          <cell r="B691" t="str">
            <v>SH DALBIR SINGH DHIMAN</v>
          </cell>
        </row>
        <row r="692">
          <cell r="A692" t="str">
            <v>D079</v>
          </cell>
          <cell r="B692" t="str">
            <v>DIVINE ENGINEERS</v>
          </cell>
        </row>
        <row r="693">
          <cell r="A693" t="str">
            <v>D080</v>
          </cell>
          <cell r="B693" t="str">
            <v>D.K. CONSTRUCTIONS</v>
          </cell>
        </row>
        <row r="694">
          <cell r="A694" t="str">
            <v>D081</v>
          </cell>
          <cell r="B694" t="str">
            <v>DADA RAIL CARRIER</v>
          </cell>
        </row>
        <row r="695">
          <cell r="A695" t="str">
            <v>D082</v>
          </cell>
          <cell r="B695" t="str">
            <v>DATAR SWITCH GEAR LIMITED</v>
          </cell>
        </row>
        <row r="696">
          <cell r="A696" t="str">
            <v>D083</v>
          </cell>
          <cell r="B696" t="str">
            <v>DYNAVOX ELECTRONIC LIMITED</v>
          </cell>
        </row>
        <row r="697">
          <cell r="A697" t="str">
            <v>D084</v>
          </cell>
          <cell r="B697" t="str">
            <v>DURGA PRINTERS</v>
          </cell>
        </row>
        <row r="698">
          <cell r="A698" t="str">
            <v>D085</v>
          </cell>
          <cell r="B698" t="str">
            <v>DINESH KUMAR</v>
          </cell>
        </row>
        <row r="699">
          <cell r="A699" t="str">
            <v>D086</v>
          </cell>
          <cell r="B699" t="str">
            <v>DEV ASHISH TRADING COMPANY</v>
          </cell>
        </row>
        <row r="700">
          <cell r="A700" t="str">
            <v>D087</v>
          </cell>
          <cell r="B700" t="str">
            <v>DAGAR CARRIER</v>
          </cell>
        </row>
        <row r="701">
          <cell r="A701" t="str">
            <v>D088</v>
          </cell>
          <cell r="B701" t="str">
            <v>DRS TRANSPORT (P) LIMITED</v>
          </cell>
        </row>
        <row r="702">
          <cell r="A702" t="str">
            <v>D089</v>
          </cell>
          <cell r="B702" t="str">
            <v>D P BUILDERS</v>
          </cell>
        </row>
        <row r="703">
          <cell r="A703" t="str">
            <v>D090</v>
          </cell>
          <cell r="B703" t="str">
            <v>DECORATES PVT. LTD.</v>
          </cell>
        </row>
        <row r="704">
          <cell r="A704" t="str">
            <v>D091</v>
          </cell>
          <cell r="B704" t="str">
            <v>D SARDANA (CONSULTANT)</v>
          </cell>
        </row>
        <row r="705">
          <cell r="A705" t="str">
            <v>D092</v>
          </cell>
          <cell r="B705" t="str">
            <v>DEEPAK CARRIER</v>
          </cell>
        </row>
        <row r="706">
          <cell r="A706" t="str">
            <v>D093</v>
          </cell>
          <cell r="B706" t="str">
            <v>D.R. ASSOCIATES</v>
          </cell>
        </row>
        <row r="707">
          <cell r="A707" t="str">
            <v>D094</v>
          </cell>
          <cell r="B707" t="str">
            <v>DAMANI DYESTUFF LTD.</v>
          </cell>
        </row>
        <row r="708">
          <cell r="A708" t="str">
            <v>D095</v>
          </cell>
          <cell r="B708" t="str">
            <v>DEE PEARLS INDIA PVT. LTD.</v>
          </cell>
        </row>
        <row r="709">
          <cell r="A709" t="str">
            <v>D096</v>
          </cell>
          <cell r="B709" t="str">
            <v>DLF CEMENT LIMITED</v>
          </cell>
        </row>
        <row r="710">
          <cell r="A710" t="str">
            <v>D097</v>
          </cell>
          <cell r="B710" t="str">
            <v>DIVANSU CONSTRUCTION CO.</v>
          </cell>
        </row>
        <row r="711">
          <cell r="A711" t="str">
            <v>D098</v>
          </cell>
          <cell r="B711" t="str">
            <v>DHANIRAM</v>
          </cell>
        </row>
        <row r="712">
          <cell r="A712" t="str">
            <v>D099</v>
          </cell>
          <cell r="B712" t="str">
            <v>DLF MOTORS INDIA LTD</v>
          </cell>
        </row>
        <row r="713">
          <cell r="A713" t="str">
            <v>D100</v>
          </cell>
          <cell r="B713" t="str">
            <v>DELTA FACTORS INDIA  PVT. LTD.</v>
          </cell>
        </row>
        <row r="714">
          <cell r="A714" t="str">
            <v>D101</v>
          </cell>
          <cell r="B714" t="str">
            <v>DHILLON ELECTRICALS</v>
          </cell>
        </row>
        <row r="715">
          <cell r="A715" t="str">
            <v>D102</v>
          </cell>
          <cell r="B715" t="str">
            <v>DIMENSION ENGINEERING CONSULTANT PVT.LTD</v>
          </cell>
        </row>
        <row r="716">
          <cell r="A716" t="str">
            <v>D103</v>
          </cell>
          <cell r="B716" t="str">
            <v>DURLABH SONS</v>
          </cell>
        </row>
        <row r="717">
          <cell r="A717" t="str">
            <v>D104</v>
          </cell>
          <cell r="B717" t="str">
            <v>DELHI EARTH MOVERS</v>
          </cell>
        </row>
        <row r="718">
          <cell r="A718" t="str">
            <v>D105</v>
          </cell>
          <cell r="B718" t="str">
            <v>DHIR PNEUMATIC EQUIPMENTS PRIVATE LTD.</v>
          </cell>
        </row>
        <row r="719">
          <cell r="A719" t="str">
            <v>D106</v>
          </cell>
          <cell r="B719" t="str">
            <v>DEEPAK MER &amp; ASSOCIATES</v>
          </cell>
        </row>
        <row r="720">
          <cell r="A720" t="str">
            <v>D107</v>
          </cell>
          <cell r="B720" t="str">
            <v>DILIP GUPTA</v>
          </cell>
        </row>
        <row r="721">
          <cell r="A721" t="str">
            <v>D108</v>
          </cell>
          <cell r="B721" t="str">
            <v>D B S DECOR</v>
          </cell>
        </row>
        <row r="722">
          <cell r="A722" t="str">
            <v>D109</v>
          </cell>
          <cell r="B722" t="str">
            <v>D S GUPTA CONTRACTS PVT LTD</v>
          </cell>
        </row>
        <row r="723">
          <cell r="A723" t="str">
            <v>D110</v>
          </cell>
          <cell r="B723" t="str">
            <v>DOON CATERING</v>
          </cell>
        </row>
        <row r="724">
          <cell r="A724" t="str">
            <v>D111</v>
          </cell>
          <cell r="B724" t="str">
            <v>DESHRAJ GUPTA &amp; COMPANY PVT. LTD.</v>
          </cell>
        </row>
        <row r="725">
          <cell r="A725" t="str">
            <v>D112</v>
          </cell>
          <cell r="B725" t="str">
            <v>D R SHARMA</v>
          </cell>
        </row>
        <row r="726">
          <cell r="A726" t="str">
            <v>D113</v>
          </cell>
          <cell r="B726" t="str">
            <v>DAGA TRADING COMPANY</v>
          </cell>
        </row>
        <row r="727">
          <cell r="A727" t="str">
            <v>D114</v>
          </cell>
          <cell r="B727" t="str">
            <v>DEEP PRINTERS</v>
          </cell>
        </row>
        <row r="728">
          <cell r="A728" t="str">
            <v>D115</v>
          </cell>
          <cell r="B728" t="str">
            <v>DLF INDUSTRIES LTD.</v>
          </cell>
        </row>
        <row r="729">
          <cell r="A729" t="str">
            <v>D116</v>
          </cell>
          <cell r="B729" t="str">
            <v>DYANA BRICK (I) PVT. LTD.</v>
          </cell>
        </row>
        <row r="730">
          <cell r="A730" t="str">
            <v>D117</v>
          </cell>
          <cell r="B730" t="str">
            <v>D.V.SONI</v>
          </cell>
        </row>
        <row r="731">
          <cell r="A731" t="str">
            <v>D118</v>
          </cell>
          <cell r="B731" t="str">
            <v>DBR COOLING TOWER PVT. LTD.</v>
          </cell>
        </row>
        <row r="732">
          <cell r="A732" t="str">
            <v>D119</v>
          </cell>
          <cell r="B732" t="str">
            <v>DIAMOND ENTERPRISES &amp; CONSTRUCTION</v>
          </cell>
        </row>
        <row r="733">
          <cell r="A733" t="str">
            <v>D120</v>
          </cell>
          <cell r="B733" t="str">
            <v>DIL GRATUTITY TRUST</v>
          </cell>
        </row>
        <row r="734">
          <cell r="A734" t="str">
            <v>D121</v>
          </cell>
          <cell r="B734" t="str">
            <v>DESIGN SHOP</v>
          </cell>
        </row>
        <row r="735">
          <cell r="A735" t="str">
            <v>D122</v>
          </cell>
          <cell r="B735" t="str">
            <v>D R THANDANI</v>
          </cell>
        </row>
        <row r="736">
          <cell r="A736" t="str">
            <v>D123</v>
          </cell>
          <cell r="B736" t="str">
            <v>DANTAL ENGINEERING (P) LTD.</v>
          </cell>
        </row>
        <row r="737">
          <cell r="A737" t="str">
            <v>D124</v>
          </cell>
          <cell r="B737" t="str">
            <v>DIPEN ENTERPRISE</v>
          </cell>
        </row>
        <row r="738">
          <cell r="A738" t="str">
            <v>D125</v>
          </cell>
          <cell r="B738" t="str">
            <v>DENTAL ENGINEERING PVT. LTD.</v>
          </cell>
        </row>
        <row r="739">
          <cell r="A739" t="str">
            <v>D126</v>
          </cell>
          <cell r="B739" t="str">
            <v>D.P.S. ENGINEERING &amp; CONSTRUCTION CO.</v>
          </cell>
        </row>
        <row r="740">
          <cell r="A740" t="str">
            <v>D127</v>
          </cell>
          <cell r="B740" t="str">
            <v>DIDCOFAB ENGINEERS</v>
          </cell>
        </row>
        <row r="741">
          <cell r="A741" t="str">
            <v>D128</v>
          </cell>
          <cell r="B741" t="str">
            <v>DOOR CRAFT (INDIA) PVT. LTD.</v>
          </cell>
        </row>
        <row r="742">
          <cell r="A742" t="str">
            <v>D129</v>
          </cell>
          <cell r="B742" t="str">
            <v>DAMANI DYE CHEM</v>
          </cell>
        </row>
        <row r="743">
          <cell r="A743" t="str">
            <v>D130</v>
          </cell>
          <cell r="B743" t="str">
            <v>DYNATECH INSULATION &amp; TECHNICAL SERVICE</v>
          </cell>
        </row>
        <row r="744">
          <cell r="A744" t="str">
            <v>D131</v>
          </cell>
          <cell r="B744" t="str">
            <v>D.H.BUILDING MATERIAL CARRIER</v>
          </cell>
        </row>
        <row r="745">
          <cell r="A745" t="str">
            <v>D132</v>
          </cell>
          <cell r="B745" t="str">
            <v>DEEPAK EXIM COMPANY</v>
          </cell>
        </row>
        <row r="746">
          <cell r="A746" t="str">
            <v>D133</v>
          </cell>
          <cell r="B746" t="str">
            <v>DIMOND NURSERY</v>
          </cell>
        </row>
        <row r="747">
          <cell r="A747" t="str">
            <v>D134</v>
          </cell>
          <cell r="B747" t="str">
            <v>DIKSHA ENTERPRISES</v>
          </cell>
        </row>
        <row r="748">
          <cell r="A748" t="str">
            <v>D135</v>
          </cell>
          <cell r="B748" t="str">
            <v>DLF PROPERTY MANAGEMENT SERVICES P LTD</v>
          </cell>
        </row>
        <row r="749">
          <cell r="A749" t="str">
            <v>D136</v>
          </cell>
          <cell r="B749" t="str">
            <v>DIMENSION</v>
          </cell>
        </row>
        <row r="750">
          <cell r="A750" t="str">
            <v>D137</v>
          </cell>
          <cell r="B750" t="str">
            <v>DAWAR INTERNATIONAL</v>
          </cell>
        </row>
        <row r="751">
          <cell r="A751" t="str">
            <v>D138</v>
          </cell>
          <cell r="B751" t="str">
            <v>D.K.VISION</v>
          </cell>
        </row>
        <row r="752">
          <cell r="A752" t="str">
            <v>D139</v>
          </cell>
          <cell r="B752" t="str">
            <v>DLF QUTAB PLAZA TAXI SERVICE</v>
          </cell>
        </row>
        <row r="753">
          <cell r="A753" t="str">
            <v>D140</v>
          </cell>
          <cell r="B753" t="str">
            <v>DELHI ELEVATORS PVT. LTD.</v>
          </cell>
        </row>
        <row r="754">
          <cell r="A754" t="str">
            <v>D141</v>
          </cell>
          <cell r="B754" t="str">
            <v>D. K. SALES CORPORATION</v>
          </cell>
        </row>
        <row r="755">
          <cell r="A755" t="str">
            <v>D142</v>
          </cell>
          <cell r="B755" t="str">
            <v>DLF OFFICE DEVELOPERS</v>
          </cell>
        </row>
        <row r="756">
          <cell r="A756" t="str">
            <v>D143</v>
          </cell>
          <cell r="B756" t="str">
            <v>DLF COMMERCIAL DEVELOPERS</v>
          </cell>
        </row>
        <row r="757">
          <cell r="A757" t="str">
            <v>D144</v>
          </cell>
          <cell r="B757" t="str">
            <v>DEE PEE INDUSTRIES</v>
          </cell>
        </row>
        <row r="758">
          <cell r="A758" t="str">
            <v>D145</v>
          </cell>
          <cell r="B758" t="str">
            <v>DELITE FURNITURE 2000</v>
          </cell>
        </row>
        <row r="759">
          <cell r="A759" t="str">
            <v>D146</v>
          </cell>
          <cell r="B759" t="str">
            <v>DHV ENGINEERING &amp; CONSULTANTS</v>
          </cell>
        </row>
        <row r="760">
          <cell r="A760" t="str">
            <v>D147</v>
          </cell>
          <cell r="B760" t="str">
            <v>DOLPHIN TRAVELS PVT LTD</v>
          </cell>
        </row>
        <row r="761">
          <cell r="A761" t="str">
            <v>D148</v>
          </cell>
          <cell r="B761" t="str">
            <v>DEEPAK SHERAWAT</v>
          </cell>
        </row>
        <row r="762">
          <cell r="A762" t="str">
            <v>D149</v>
          </cell>
          <cell r="B762" t="str">
            <v>DOORS &amp; DOORS</v>
          </cell>
        </row>
        <row r="763">
          <cell r="A763" t="str">
            <v>D150</v>
          </cell>
          <cell r="B763" t="str">
            <v>DECORETA</v>
          </cell>
        </row>
        <row r="764">
          <cell r="A764" t="str">
            <v>D151</v>
          </cell>
          <cell r="B764" t="str">
            <v>DRK ENGINEERS (P) LTD.</v>
          </cell>
        </row>
        <row r="765">
          <cell r="A765" t="str">
            <v>D152</v>
          </cell>
          <cell r="B765" t="str">
            <v>DINESH TAXI SERVICE</v>
          </cell>
        </row>
        <row r="766">
          <cell r="A766" t="str">
            <v>D801</v>
          </cell>
          <cell r="B766" t="str">
            <v>D J SINGH</v>
          </cell>
        </row>
        <row r="767">
          <cell r="A767" t="str">
            <v>D802</v>
          </cell>
          <cell r="B767" t="str">
            <v>DEEPAK AGRAWAL</v>
          </cell>
        </row>
        <row r="768">
          <cell r="A768" t="str">
            <v>D803</v>
          </cell>
          <cell r="B768" t="str">
            <v>DLF QE EDUCATIONAL CHARITABLE TRUST</v>
          </cell>
        </row>
        <row r="769">
          <cell r="A769" t="str">
            <v>D804</v>
          </cell>
          <cell r="B769" t="str">
            <v>DEEPAK SANSON</v>
          </cell>
        </row>
        <row r="770">
          <cell r="A770" t="str">
            <v>D805</v>
          </cell>
          <cell r="B770" t="str">
            <v>DAROPADA DEVI MEHTA</v>
          </cell>
        </row>
        <row r="771">
          <cell r="A771" t="str">
            <v>D806</v>
          </cell>
          <cell r="B771" t="str">
            <v>DADA RAIL CARRIER</v>
          </cell>
        </row>
        <row r="772">
          <cell r="A772" t="str">
            <v>D807</v>
          </cell>
          <cell r="B772" t="str">
            <v>DLF TOURIST SERVICE</v>
          </cell>
        </row>
        <row r="773">
          <cell r="A773" t="str">
            <v>D808</v>
          </cell>
          <cell r="B773" t="str">
            <v>DLF Q.E. COMPLEX MEDICAL CHARITABLE TRUS</v>
          </cell>
        </row>
        <row r="774">
          <cell r="A774" t="str">
            <v>D809</v>
          </cell>
          <cell r="B774" t="str">
            <v>DEEPAK ATUL</v>
          </cell>
        </row>
        <row r="775">
          <cell r="A775" t="str">
            <v>D810</v>
          </cell>
          <cell r="B775" t="str">
            <v>DIPTI DAS GUPTA</v>
          </cell>
        </row>
        <row r="776">
          <cell r="A776" t="str">
            <v>D811</v>
          </cell>
          <cell r="B776" t="str">
            <v>DEEPAK AHUJA</v>
          </cell>
        </row>
        <row r="777">
          <cell r="A777" t="str">
            <v>E001</v>
          </cell>
          <cell r="B777" t="str">
            <v>ESS ESS KAY ENGINEERING CO. ( P ) LTD.</v>
          </cell>
        </row>
        <row r="778">
          <cell r="A778" t="str">
            <v>E002</v>
          </cell>
          <cell r="B778" t="str">
            <v>EMCO GENERAL PLASTIC INDUSTRIES (P) LTD.</v>
          </cell>
        </row>
        <row r="779">
          <cell r="A779" t="str">
            <v>E003</v>
          </cell>
          <cell r="B779" t="str">
            <v>EMPIRE ELECTRICALS</v>
          </cell>
        </row>
        <row r="780">
          <cell r="A780" t="str">
            <v>E004</v>
          </cell>
          <cell r="B780" t="str">
            <v>ESCORTS LTD.</v>
          </cell>
        </row>
        <row r="781">
          <cell r="A781" t="str">
            <v>E005</v>
          </cell>
          <cell r="B781" t="str">
            <v>EKLINGI CONSTRUCTION</v>
          </cell>
        </row>
        <row r="782">
          <cell r="A782" t="str">
            <v>E006</v>
          </cell>
          <cell r="B782" t="str">
            <v>ESS ESS KAY MARKETING CO. PVT. LTD.</v>
          </cell>
        </row>
        <row r="783">
          <cell r="A783" t="str">
            <v>E007</v>
          </cell>
          <cell r="B783" t="str">
            <v>EMPIRE PACKAGES</v>
          </cell>
        </row>
        <row r="784">
          <cell r="A784" t="str">
            <v>E008</v>
          </cell>
          <cell r="B784" t="str">
            <v>EMGEE INDUSTRIAL FEEDING</v>
          </cell>
        </row>
        <row r="785">
          <cell r="A785" t="str">
            <v>E009</v>
          </cell>
          <cell r="B785" t="str">
            <v>EMGEE INDUSTRIAL</v>
          </cell>
        </row>
        <row r="786">
          <cell r="A786" t="str">
            <v>E010</v>
          </cell>
          <cell r="B786" t="str">
            <v>EMGEE CONSTRUCTION</v>
          </cell>
        </row>
        <row r="787">
          <cell r="A787" t="str">
            <v>E011</v>
          </cell>
          <cell r="B787" t="str">
            <v>EUREKA FORBES LIMITED</v>
          </cell>
        </row>
        <row r="788">
          <cell r="A788" t="str">
            <v>E012</v>
          </cell>
          <cell r="B788" t="str">
            <v>ESS EMM ENTERPRISES</v>
          </cell>
        </row>
        <row r="789">
          <cell r="A789" t="str">
            <v>E013</v>
          </cell>
          <cell r="B789" t="str">
            <v>EKO BROTHERS</v>
          </cell>
        </row>
        <row r="790">
          <cell r="A790" t="str">
            <v>E014</v>
          </cell>
          <cell r="B790" t="str">
            <v>ESS VEE ENTERPRISES</v>
          </cell>
        </row>
        <row r="791">
          <cell r="A791" t="str">
            <v>E015</v>
          </cell>
          <cell r="B791" t="str">
            <v>ELECTRICAL PANELS MANUFACTURING CO.</v>
          </cell>
        </row>
        <row r="792">
          <cell r="A792" t="str">
            <v>E016</v>
          </cell>
          <cell r="B792" t="str">
            <v>ENGINEERING SYSTEMS &amp; SERVICES</v>
          </cell>
        </row>
        <row r="793">
          <cell r="A793" t="str">
            <v>E017</v>
          </cell>
          <cell r="B793" t="str">
            <v>EVEREST MAKETING PVT. LTD.</v>
          </cell>
        </row>
        <row r="794">
          <cell r="A794" t="str">
            <v>E018</v>
          </cell>
          <cell r="B794" t="str">
            <v>EAST INDIA CERAMICS</v>
          </cell>
        </row>
        <row r="795">
          <cell r="A795" t="str">
            <v>E019</v>
          </cell>
          <cell r="B795" t="str">
            <v>EMM EMM TRADERS</v>
          </cell>
        </row>
        <row r="796">
          <cell r="A796" t="str">
            <v>E020</v>
          </cell>
          <cell r="B796" t="str">
            <v>ESS CONSTRUCTION SQAURE(INOP.)</v>
          </cell>
        </row>
        <row r="797">
          <cell r="A797" t="str">
            <v>E021</v>
          </cell>
          <cell r="B797" t="str">
            <v>ESS CEE CORPORATION</v>
          </cell>
        </row>
        <row r="798">
          <cell r="A798" t="str">
            <v>E022</v>
          </cell>
          <cell r="B798" t="str">
            <v>EUREKA MARKETING GROUP INTL.(INOP.)</v>
          </cell>
        </row>
        <row r="799">
          <cell r="A799" t="str">
            <v>E023</v>
          </cell>
          <cell r="B799" t="str">
            <v>ENGINEERING &amp; DEVELOPMENT CONSULTANTS</v>
          </cell>
        </row>
        <row r="800">
          <cell r="A800" t="str">
            <v>E024</v>
          </cell>
          <cell r="B800" t="str">
            <v>ESS ESS TRAVELS</v>
          </cell>
        </row>
        <row r="801">
          <cell r="A801" t="str">
            <v>E025</v>
          </cell>
          <cell r="B801" t="str">
            <v>ELECTRICAL CONSULTING ENGINEERS</v>
          </cell>
        </row>
        <row r="802">
          <cell r="A802" t="str">
            <v>E026</v>
          </cell>
          <cell r="B802" t="str">
            <v>EVEREST BLOWERS</v>
          </cell>
        </row>
        <row r="803">
          <cell r="A803" t="str">
            <v>E027</v>
          </cell>
          <cell r="B803" t="str">
            <v>ECE INDUSTRIES LTD.</v>
          </cell>
        </row>
        <row r="804">
          <cell r="A804" t="str">
            <v>E028</v>
          </cell>
          <cell r="B804" t="str">
            <v>EXCELLENT FIRE SERVICE</v>
          </cell>
        </row>
        <row r="805">
          <cell r="A805" t="str">
            <v>E029</v>
          </cell>
          <cell r="B805" t="str">
            <v>ELECTROTECH ENGINEERS</v>
          </cell>
        </row>
        <row r="806">
          <cell r="A806" t="str">
            <v>E030</v>
          </cell>
          <cell r="B806" t="str">
            <v>ENGINEERING ASSOCIATES</v>
          </cell>
        </row>
        <row r="807">
          <cell r="A807" t="str">
            <v>E031</v>
          </cell>
          <cell r="B807" t="str">
            <v>EXPERT CARD DESIGNERS</v>
          </cell>
        </row>
        <row r="808">
          <cell r="A808" t="str">
            <v>E032</v>
          </cell>
          <cell r="B808" t="str">
            <v>ELTECH SWITCHGEAR PVT. LTD.</v>
          </cell>
        </row>
        <row r="809">
          <cell r="A809" t="str">
            <v>E033</v>
          </cell>
          <cell r="B809" t="str">
            <v>ESS EMM TRADING COMPANY</v>
          </cell>
        </row>
        <row r="810">
          <cell r="A810" t="str">
            <v>E034</v>
          </cell>
          <cell r="B810" t="str">
            <v>ELECTRICAL CONTROL SYSTEMS</v>
          </cell>
        </row>
        <row r="811">
          <cell r="A811" t="str">
            <v>E035</v>
          </cell>
          <cell r="B811" t="str">
            <v>EASA TECHNICS (P) LTD.</v>
          </cell>
        </row>
        <row r="812">
          <cell r="A812" t="str">
            <v>E036</v>
          </cell>
          <cell r="B812" t="str">
            <v>EMBASSY TYRES</v>
          </cell>
        </row>
        <row r="813">
          <cell r="A813" t="str">
            <v>E037</v>
          </cell>
          <cell r="B813" t="str">
            <v>EID PARRY (INDIA LTD.)</v>
          </cell>
        </row>
        <row r="814">
          <cell r="A814" t="str">
            <v>E038</v>
          </cell>
          <cell r="B814" t="str">
            <v>ENGINEERS SYNDICATE</v>
          </cell>
        </row>
        <row r="815">
          <cell r="A815" t="str">
            <v>E039</v>
          </cell>
          <cell r="B815" t="str">
            <v>ENER SAVE CONSULTANTS PVT. LTD.</v>
          </cell>
        </row>
        <row r="816">
          <cell r="A816" t="str">
            <v>E040</v>
          </cell>
          <cell r="B816" t="str">
            <v>ENGINEERS SERVICES CONSULTANTS</v>
          </cell>
        </row>
        <row r="817">
          <cell r="A817" t="str">
            <v>E041</v>
          </cell>
          <cell r="B817" t="str">
            <v>EAST WEST FIRE ENGG. CO. PVT. LTD.</v>
          </cell>
        </row>
        <row r="818">
          <cell r="A818" t="str">
            <v>E042</v>
          </cell>
          <cell r="B818" t="str">
            <v>ELECTROQUIP</v>
          </cell>
        </row>
        <row r="819">
          <cell r="A819" t="str">
            <v>E043</v>
          </cell>
          <cell r="B819" t="str">
            <v>ELECTRONICS &amp; CONTROLS</v>
          </cell>
        </row>
        <row r="820">
          <cell r="A820" t="str">
            <v>E044</v>
          </cell>
          <cell r="B820" t="str">
            <v>ELECTROGROUP</v>
          </cell>
        </row>
        <row r="821">
          <cell r="A821" t="str">
            <v>E045</v>
          </cell>
          <cell r="B821" t="str">
            <v>ENTETSU SHAKTHI</v>
          </cell>
        </row>
        <row r="822">
          <cell r="A822" t="str">
            <v>E046</v>
          </cell>
          <cell r="B822" t="str">
            <v>EMM KAY LANDSCAPE CONSULTANT</v>
          </cell>
        </row>
        <row r="823">
          <cell r="A823" t="str">
            <v>E047</v>
          </cell>
          <cell r="B823" t="str">
            <v>ENVIRONS</v>
          </cell>
        </row>
        <row r="824">
          <cell r="A824" t="str">
            <v>E048</v>
          </cell>
          <cell r="B824" t="str">
            <v>ELECON ENGINEERS</v>
          </cell>
        </row>
        <row r="825">
          <cell r="A825" t="str">
            <v>E049</v>
          </cell>
          <cell r="B825" t="str">
            <v>ENGINEERING &amp; PLANNING CONSULTANTS</v>
          </cell>
        </row>
        <row r="826">
          <cell r="A826" t="str">
            <v>E050</v>
          </cell>
          <cell r="B826" t="str">
            <v>ESS ESS INTERNATIONAL</v>
          </cell>
        </row>
        <row r="827">
          <cell r="A827" t="str">
            <v>E051</v>
          </cell>
          <cell r="B827" t="str">
            <v>ESS ESS BATHROOM PRODUCTS (P) LTD.</v>
          </cell>
        </row>
        <row r="828">
          <cell r="A828" t="str">
            <v>E052</v>
          </cell>
          <cell r="B828" t="str">
            <v>E-Z-ZO TEXTRON</v>
          </cell>
        </row>
        <row r="829">
          <cell r="A829" t="str">
            <v>E053</v>
          </cell>
          <cell r="B829" t="str">
            <v>ESKAY INTERNATIONAL</v>
          </cell>
        </row>
        <row r="830">
          <cell r="A830" t="str">
            <v>E054</v>
          </cell>
          <cell r="B830" t="str">
            <v>EMPIRE SAFE CO.</v>
          </cell>
        </row>
        <row r="831">
          <cell r="A831" t="str">
            <v>E055</v>
          </cell>
          <cell r="B831" t="str">
            <v>EVERGREEN CHEMICALS INDIA</v>
          </cell>
        </row>
        <row r="832">
          <cell r="A832" t="str">
            <v>E056</v>
          </cell>
          <cell r="B832" t="str">
            <v>ELECTRIC &amp; MACHINERY TRADERS</v>
          </cell>
        </row>
        <row r="833">
          <cell r="A833" t="str">
            <v>E057</v>
          </cell>
          <cell r="B833" t="str">
            <v>EXPORT INSPECTION &amp; MANAGEMENT SRVICES</v>
          </cell>
        </row>
        <row r="834">
          <cell r="A834" t="str">
            <v>E058</v>
          </cell>
          <cell r="B834" t="str">
            <v>ELEGENT ELECTRICALS</v>
          </cell>
        </row>
        <row r="835">
          <cell r="A835" t="str">
            <v>E059</v>
          </cell>
          <cell r="B835" t="str">
            <v>ENGICON SYSTEMS (P) LTD.</v>
          </cell>
        </row>
        <row r="836">
          <cell r="A836" t="str">
            <v>F001</v>
          </cell>
          <cell r="B836" t="str">
            <v>FINISHING TOUCH</v>
          </cell>
        </row>
        <row r="837">
          <cell r="A837" t="str">
            <v>F002</v>
          </cell>
          <cell r="B837" t="str">
            <v>FORD SERVICE CENTRE</v>
          </cell>
        </row>
        <row r="838">
          <cell r="A838" t="str">
            <v>F003</v>
          </cell>
          <cell r="B838" t="str">
            <v>FRIENDS CONDUIT MFG. CO.</v>
          </cell>
        </row>
        <row r="839">
          <cell r="A839" t="str">
            <v>F004</v>
          </cell>
          <cell r="B839" t="str">
            <v>FOAMCRETE INSULATOR ENGINEERS &amp; CONT.</v>
          </cell>
        </row>
        <row r="840">
          <cell r="A840" t="str">
            <v>F005</v>
          </cell>
          <cell r="B840" t="str">
            <v>FLASH LAMP SHADES</v>
          </cell>
        </row>
        <row r="841">
          <cell r="A841" t="str">
            <v>F006</v>
          </cell>
          <cell r="B841" t="str">
            <v>FRIENDS GLOBE TRAVELS</v>
          </cell>
        </row>
        <row r="842">
          <cell r="A842" t="str">
            <v>F007</v>
          </cell>
          <cell r="B842" t="str">
            <v>FRANK AIR CONDITIONING SERVICE</v>
          </cell>
        </row>
        <row r="843">
          <cell r="A843" t="str">
            <v>F008</v>
          </cell>
          <cell r="B843" t="str">
            <v>FRONTLINE SOLUTIONS (BOMBAY) LTD.</v>
          </cell>
        </row>
        <row r="844">
          <cell r="A844" t="str">
            <v>F009</v>
          </cell>
          <cell r="B844" t="str">
            <v>FRIENDS GURGAON</v>
          </cell>
        </row>
        <row r="845">
          <cell r="A845" t="str">
            <v>F010</v>
          </cell>
          <cell r="B845" t="str">
            <v>FABRIQUE STEEL</v>
          </cell>
        </row>
        <row r="846">
          <cell r="A846" t="str">
            <v>F011</v>
          </cell>
          <cell r="B846" t="str">
            <v>FAZLOO</v>
          </cell>
        </row>
        <row r="847">
          <cell r="A847" t="str">
            <v>F012</v>
          </cell>
          <cell r="B847" t="str">
            <v>FAIR CONSTRUCTIONS</v>
          </cell>
        </row>
        <row r="848">
          <cell r="A848" t="str">
            <v>F013</v>
          </cell>
          <cell r="B848" t="str">
            <v>FALCON BUILDERS</v>
          </cell>
        </row>
        <row r="849">
          <cell r="A849" t="str">
            <v>F014</v>
          </cell>
          <cell r="B849" t="str">
            <v>FIXOPAN ENGINEERS PVT LTD</v>
          </cell>
        </row>
        <row r="850">
          <cell r="A850" t="str">
            <v>F015</v>
          </cell>
          <cell r="B850" t="str">
            <v>FRONTLINE SOLUTION (BOMBAY) LTD.</v>
          </cell>
        </row>
        <row r="851">
          <cell r="A851" t="str">
            <v>F016</v>
          </cell>
          <cell r="B851" t="str">
            <v>FAST TRACK INFORMATION SOLUTIONS</v>
          </cell>
        </row>
        <row r="852">
          <cell r="A852" t="str">
            <v>F017</v>
          </cell>
          <cell r="B852" t="str">
            <v>FAIR DEAL ENTERPRISES</v>
          </cell>
        </row>
        <row r="853">
          <cell r="A853" t="str">
            <v>F018</v>
          </cell>
          <cell r="B853" t="str">
            <v>FABRO ENGINEERS</v>
          </cell>
        </row>
        <row r="854">
          <cell r="A854" t="str">
            <v>F019</v>
          </cell>
          <cell r="B854" t="str">
            <v>FRIENDS MANUFACTURING CO.</v>
          </cell>
        </row>
        <row r="855">
          <cell r="A855" t="str">
            <v>F020</v>
          </cell>
          <cell r="B855" t="str">
            <v>FLOOR INDIA TILES</v>
          </cell>
        </row>
        <row r="856">
          <cell r="A856" t="str">
            <v>F021</v>
          </cell>
          <cell r="B856" t="str">
            <v>FREIGHT SYSTEMS (INDIA) PVT. LTD.</v>
          </cell>
        </row>
        <row r="857">
          <cell r="A857" t="str">
            <v>F022</v>
          </cell>
          <cell r="B857" t="str">
            <v>FIRST COMPUTERS</v>
          </cell>
        </row>
        <row r="858">
          <cell r="A858" t="str">
            <v>F023</v>
          </cell>
          <cell r="B858" t="str">
            <v>FITWELL ENGINEERS</v>
          </cell>
        </row>
        <row r="859">
          <cell r="A859" t="str">
            <v>F024</v>
          </cell>
          <cell r="B859" t="str">
            <v>FOURSOME AGENCIES</v>
          </cell>
        </row>
        <row r="860">
          <cell r="A860" t="str">
            <v>F025</v>
          </cell>
          <cell r="B860" t="str">
            <v>FATEH SHREE SALES CORPN.</v>
          </cell>
        </row>
        <row r="861">
          <cell r="A861" t="str">
            <v>F026</v>
          </cell>
          <cell r="B861" t="str">
            <v>FOOD HUT</v>
          </cell>
        </row>
        <row r="862">
          <cell r="A862" t="str">
            <v>F027</v>
          </cell>
          <cell r="B862" t="str">
            <v>FRONTIER BRICK KILN</v>
          </cell>
        </row>
        <row r="863">
          <cell r="A863" t="str">
            <v>F028</v>
          </cell>
          <cell r="B863" t="str">
            <v>FIRE SUIT ENTERPRISES</v>
          </cell>
        </row>
        <row r="864">
          <cell r="A864" t="str">
            <v>F029</v>
          </cell>
          <cell r="B864" t="str">
            <v>FOSROC CHEMICAL INDIA LTD.</v>
          </cell>
        </row>
        <row r="865">
          <cell r="A865" t="str">
            <v>F030</v>
          </cell>
          <cell r="B865" t="str">
            <v>FRIENDS TYPEWRITER CO.</v>
          </cell>
        </row>
        <row r="866">
          <cell r="A866" t="str">
            <v>F031</v>
          </cell>
          <cell r="B866" t="str">
            <v>FAX EXPRESS TELECOMMUNICATION</v>
          </cell>
        </row>
        <row r="867">
          <cell r="A867" t="str">
            <v>F032</v>
          </cell>
          <cell r="B867" t="str">
            <v>FRIENDS CHEMICAL WORKS(INDIA)</v>
          </cell>
        </row>
        <row r="868">
          <cell r="A868" t="str">
            <v>F033</v>
          </cell>
          <cell r="B868" t="str">
            <v>FIBRE GLASS SALES CORPORATION</v>
          </cell>
        </row>
        <row r="869">
          <cell r="A869" t="str">
            <v>F034</v>
          </cell>
          <cell r="B869" t="str">
            <v>FOAMCRETE INSULATORS</v>
          </cell>
        </row>
        <row r="870">
          <cell r="A870" t="str">
            <v>F035</v>
          </cell>
          <cell r="B870" t="str">
            <v>FLOOR &amp; FURNISHING (INDIA) PVT.LTD.</v>
          </cell>
        </row>
        <row r="871">
          <cell r="A871" t="str">
            <v>F036</v>
          </cell>
          <cell r="B871" t="str">
            <v>FEATHER TOUCH CERAMICS (P) LTD.</v>
          </cell>
        </row>
        <row r="872">
          <cell r="A872" t="str">
            <v>F037</v>
          </cell>
          <cell r="B872" t="str">
            <v>FRONTIER TECHNOLOGIES PVT. LTD.</v>
          </cell>
        </row>
        <row r="873">
          <cell r="A873" t="str">
            <v>F038</v>
          </cell>
          <cell r="B873" t="str">
            <v>FCML PROJECTS</v>
          </cell>
        </row>
        <row r="874">
          <cell r="A874" t="str">
            <v>F039</v>
          </cell>
          <cell r="B874" t="str">
            <v>FALCON ENTERPRISES</v>
          </cell>
        </row>
        <row r="875">
          <cell r="A875" t="str">
            <v>F040</v>
          </cell>
          <cell r="B875" t="str">
            <v>THE FABRICS</v>
          </cell>
        </row>
        <row r="876">
          <cell r="A876" t="str">
            <v>F801</v>
          </cell>
          <cell r="B876" t="str">
            <v>FARZANA NUZHAT</v>
          </cell>
        </row>
        <row r="877">
          <cell r="A877" t="str">
            <v>G001</v>
          </cell>
          <cell r="B877" t="str">
            <v>GANGA AUTOMOBILES</v>
          </cell>
        </row>
        <row r="878">
          <cell r="A878" t="str">
            <v>G002</v>
          </cell>
          <cell r="B878" t="str">
            <v>GLOW ELECTRIC CO. PVT. LTD.</v>
          </cell>
        </row>
        <row r="879">
          <cell r="A879" t="str">
            <v>G003</v>
          </cell>
          <cell r="B879" t="str">
            <v>GOPI RAM GOBIND RAM</v>
          </cell>
        </row>
        <row r="880">
          <cell r="A880" t="str">
            <v>G004</v>
          </cell>
          <cell r="B880" t="str">
            <v>GEM TILES</v>
          </cell>
        </row>
        <row r="881">
          <cell r="A881" t="str">
            <v>G005</v>
          </cell>
          <cell r="B881" t="str">
            <v>GEM MARBLES</v>
          </cell>
        </row>
        <row r="882">
          <cell r="A882" t="str">
            <v>G006</v>
          </cell>
          <cell r="B882" t="str">
            <v>G.S SETHI &amp; ASSOCIATES</v>
          </cell>
        </row>
        <row r="883">
          <cell r="A883" t="str">
            <v>G007</v>
          </cell>
          <cell r="B883" t="str">
            <v>GRASIM INDUSTRIES LTD.</v>
          </cell>
        </row>
        <row r="884">
          <cell r="A884" t="str">
            <v>G008</v>
          </cell>
          <cell r="B884" t="str">
            <v>GREAVES COTTON &amp; CO. LTD.</v>
          </cell>
        </row>
        <row r="885">
          <cell r="A885" t="str">
            <v>G009</v>
          </cell>
          <cell r="B885" t="str">
            <v>GILLANDERS ARBUTHNOT &amp; CO. LTD.</v>
          </cell>
        </row>
        <row r="886">
          <cell r="A886" t="str">
            <v>G010</v>
          </cell>
          <cell r="B886" t="str">
            <v>GANGA STEELS</v>
          </cell>
        </row>
        <row r="887">
          <cell r="A887" t="str">
            <v>G011</v>
          </cell>
          <cell r="B887" t="str">
            <v>GUPTA SALES CORPORATION</v>
          </cell>
        </row>
        <row r="888">
          <cell r="A888" t="str">
            <v>G012</v>
          </cell>
          <cell r="B888" t="str">
            <v>G.M MARKETING (P) LTD.</v>
          </cell>
        </row>
        <row r="889">
          <cell r="A889" t="str">
            <v>G013</v>
          </cell>
          <cell r="B889" t="str">
            <v>GROVER BRICK FIELD</v>
          </cell>
        </row>
        <row r="890">
          <cell r="A890" t="str">
            <v>G014</v>
          </cell>
          <cell r="B890" t="str">
            <v>GLAMOUR ENTERPRISES</v>
          </cell>
        </row>
        <row r="891">
          <cell r="A891" t="str">
            <v>G015</v>
          </cell>
          <cell r="B891" t="str">
            <v>GREAVES LIMITED</v>
          </cell>
        </row>
        <row r="892">
          <cell r="A892" t="str">
            <v>G016</v>
          </cell>
          <cell r="B892" t="str">
            <v>GOGIA BARTAN STORE</v>
          </cell>
        </row>
        <row r="893">
          <cell r="A893" t="str">
            <v>G017</v>
          </cell>
          <cell r="B893" t="str">
            <v>GLOBAL TELE SYSTEM LTD.</v>
          </cell>
        </row>
        <row r="894">
          <cell r="A894" t="str">
            <v>G018</v>
          </cell>
          <cell r="B894" t="str">
            <v>GOPAL GARG &amp; CO.(P) LTD.</v>
          </cell>
        </row>
        <row r="895">
          <cell r="A895" t="str">
            <v>G019</v>
          </cell>
          <cell r="B895" t="str">
            <v>GODREJ &amp; BYCE MFG. CO. LTD.</v>
          </cell>
        </row>
        <row r="896">
          <cell r="A896" t="str">
            <v>G020</v>
          </cell>
          <cell r="B896" t="str">
            <v>GUPTA TRADING CORPORATION</v>
          </cell>
        </row>
        <row r="897">
          <cell r="A897" t="str">
            <v>G021</v>
          </cell>
          <cell r="B897" t="str">
            <v>GEC ALSTHOM INDIA LTD</v>
          </cell>
        </row>
        <row r="898">
          <cell r="A898" t="str">
            <v>G022</v>
          </cell>
          <cell r="B898" t="str">
            <v>GURGAON GLASS HOUSE</v>
          </cell>
        </row>
        <row r="899">
          <cell r="A899" t="str">
            <v>G023</v>
          </cell>
          <cell r="B899" t="str">
            <v>SHRI GIRI RAJ TRADING COMPANY</v>
          </cell>
        </row>
        <row r="900">
          <cell r="A900" t="str">
            <v>G024</v>
          </cell>
          <cell r="B900" t="str">
            <v>GOPAL BALA</v>
          </cell>
        </row>
        <row r="901">
          <cell r="A901" t="str">
            <v>G025</v>
          </cell>
          <cell r="B901" t="str">
            <v>GAURAV ENGINEERS &amp; CONTRACTORS</v>
          </cell>
        </row>
        <row r="902">
          <cell r="A902" t="str">
            <v>G026</v>
          </cell>
          <cell r="B902" t="str">
            <v>GUPTA ENTERPRISES</v>
          </cell>
        </row>
        <row r="903">
          <cell r="A903" t="str">
            <v>G027</v>
          </cell>
          <cell r="B903" t="str">
            <v>GARG TIMBER &amp; PLYWOOD</v>
          </cell>
        </row>
        <row r="904">
          <cell r="A904" t="str">
            <v>G028</v>
          </cell>
          <cell r="B904" t="str">
            <v>GANGA RAM YADAV</v>
          </cell>
        </row>
        <row r="905">
          <cell r="A905" t="str">
            <v>G029</v>
          </cell>
          <cell r="B905" t="str">
            <v>GULATI GLASS &amp; PLYWOOD HOUSE</v>
          </cell>
        </row>
        <row r="906">
          <cell r="A906" t="str">
            <v>G030</v>
          </cell>
          <cell r="B906" t="str">
            <v>GUPTA OIL &amp; CHEMICALS</v>
          </cell>
        </row>
        <row r="907">
          <cell r="A907" t="str">
            <v>G031</v>
          </cell>
          <cell r="B907" t="str">
            <v>GENERAL MANAGER TELECOM.-FBD</v>
          </cell>
        </row>
        <row r="908">
          <cell r="A908" t="str">
            <v>G032</v>
          </cell>
          <cell r="B908" t="str">
            <v>GAJAY PAL SINGH</v>
          </cell>
        </row>
        <row r="909">
          <cell r="A909" t="str">
            <v>G033</v>
          </cell>
          <cell r="B909" t="str">
            <v>GAURAV TRAVELS</v>
          </cell>
        </row>
        <row r="910">
          <cell r="A910" t="str">
            <v>G034</v>
          </cell>
          <cell r="B910" t="str">
            <v>GOOJAR MAL GANPAT RAI</v>
          </cell>
        </row>
        <row r="911">
          <cell r="A911" t="str">
            <v>G035</v>
          </cell>
          <cell r="B911" t="str">
            <v>GREAT GENERATORS</v>
          </cell>
        </row>
        <row r="912">
          <cell r="A912" t="str">
            <v>G036</v>
          </cell>
          <cell r="B912" t="str">
            <v>GREEN PLY INDUSTRIES LTD.</v>
          </cell>
        </row>
        <row r="913">
          <cell r="A913" t="str">
            <v>G037</v>
          </cell>
          <cell r="B913" t="str">
            <v>GIAN SINGH</v>
          </cell>
        </row>
        <row r="914">
          <cell r="A914" t="str">
            <v>G038</v>
          </cell>
          <cell r="B914" t="str">
            <v>GOODYEAR INDIA LTD.</v>
          </cell>
        </row>
        <row r="915">
          <cell r="A915" t="str">
            <v>G039</v>
          </cell>
          <cell r="B915" t="str">
            <v>GANESH FERRO CEMENT WORKS</v>
          </cell>
        </row>
        <row r="916">
          <cell r="A916" t="str">
            <v>G040</v>
          </cell>
          <cell r="B916" t="str">
            <v>GIRDHARI SANITATIONS</v>
          </cell>
        </row>
        <row r="917">
          <cell r="A917" t="str">
            <v>G041</v>
          </cell>
          <cell r="B917" t="str">
            <v>GHANSHYAM DASS</v>
          </cell>
        </row>
        <row r="918">
          <cell r="A918" t="str">
            <v>G042</v>
          </cell>
          <cell r="B918" t="str">
            <v>GOVT. DUES</v>
          </cell>
        </row>
        <row r="919">
          <cell r="A919" t="str">
            <v>G043</v>
          </cell>
          <cell r="B919" t="str">
            <v>GUL CHAND</v>
          </cell>
        </row>
        <row r="920">
          <cell r="A920" t="str">
            <v>G044</v>
          </cell>
          <cell r="B920" t="str">
            <v>G K TECHNOCHEM</v>
          </cell>
        </row>
        <row r="921">
          <cell r="A921" t="str">
            <v>G045</v>
          </cell>
          <cell r="B921" t="str">
            <v>GOODWILL EARTH MOVERS</v>
          </cell>
        </row>
        <row r="922">
          <cell r="A922" t="str">
            <v>G046</v>
          </cell>
          <cell r="B922" t="str">
            <v>GAGAN PRADHAN</v>
          </cell>
        </row>
        <row r="923">
          <cell r="A923" t="str">
            <v>G047</v>
          </cell>
          <cell r="B923" t="str">
            <v>GOVINDA SARKAR</v>
          </cell>
        </row>
        <row r="924">
          <cell r="A924" t="str">
            <v>G048</v>
          </cell>
          <cell r="B924" t="str">
            <v>GAURAV &amp; ASSOCIATES</v>
          </cell>
        </row>
        <row r="925">
          <cell r="A925" t="str">
            <v>G049</v>
          </cell>
          <cell r="B925" t="str">
            <v>GAURAV STRUCTURES (P) LTD.</v>
          </cell>
        </row>
        <row r="926">
          <cell r="A926" t="str">
            <v>G050</v>
          </cell>
          <cell r="B926" t="str">
            <v>GIAN CHAND NAGPAL(INOP.)</v>
          </cell>
        </row>
        <row r="927">
          <cell r="A927" t="str">
            <v>G051</v>
          </cell>
          <cell r="B927" t="str">
            <v>GANGA RAM &amp; SONS</v>
          </cell>
        </row>
        <row r="928">
          <cell r="A928" t="str">
            <v>G052</v>
          </cell>
          <cell r="B928" t="str">
            <v>GMB CERAMIC LTD.</v>
          </cell>
        </row>
        <row r="929">
          <cell r="A929" t="str">
            <v>G053</v>
          </cell>
          <cell r="B929" t="str">
            <v>G C MODAK</v>
          </cell>
        </row>
        <row r="930">
          <cell r="A930" t="str">
            <v>G054</v>
          </cell>
          <cell r="B930" t="str">
            <v>GULISTAN CONSTRUCTIONS</v>
          </cell>
        </row>
        <row r="931">
          <cell r="A931" t="str">
            <v>G055</v>
          </cell>
          <cell r="B931" t="str">
            <v>GOVARDHAN SINGH</v>
          </cell>
        </row>
        <row r="932">
          <cell r="A932" t="str">
            <v>G056</v>
          </cell>
          <cell r="B932" t="str">
            <v>GITA SISHODIA</v>
          </cell>
        </row>
        <row r="933">
          <cell r="A933" t="str">
            <v>G057</v>
          </cell>
          <cell r="B933" t="str">
            <v>G S S INDUSTRIES</v>
          </cell>
        </row>
        <row r="934">
          <cell r="A934" t="str">
            <v>G058</v>
          </cell>
          <cell r="B934" t="str">
            <v>GEM STONE IMPEX</v>
          </cell>
        </row>
        <row r="935">
          <cell r="A935" t="str">
            <v>G059</v>
          </cell>
          <cell r="B935" t="str">
            <v>GROUP FOUR STORES H.PVT.LTD.(INOP.)</v>
          </cell>
        </row>
        <row r="936">
          <cell r="A936" t="str">
            <v>G060</v>
          </cell>
          <cell r="B936" t="str">
            <v>GANAPATI ALL(INOP.)</v>
          </cell>
        </row>
        <row r="937">
          <cell r="A937" t="str">
            <v>G061</v>
          </cell>
          <cell r="B937" t="str">
            <v>GAJENDRA SINGH(INOP.)</v>
          </cell>
        </row>
        <row r="938">
          <cell r="A938" t="str">
            <v>G062</v>
          </cell>
          <cell r="B938" t="str">
            <v>GOLDEN INDUSTRIES(INOP.)</v>
          </cell>
        </row>
        <row r="939">
          <cell r="A939" t="str">
            <v>G063</v>
          </cell>
          <cell r="B939" t="str">
            <v>G.S.A.CONSTRUCTIONS(INOP.)</v>
          </cell>
        </row>
        <row r="940">
          <cell r="A940" t="str">
            <v>G064</v>
          </cell>
          <cell r="B940" t="str">
            <v>GEOTECH CONSULTANT (P) LTD.</v>
          </cell>
        </row>
        <row r="941">
          <cell r="A941" t="str">
            <v>G065</v>
          </cell>
          <cell r="B941" t="str">
            <v>GUPTA FREIGHT CARRIER</v>
          </cell>
        </row>
        <row r="942">
          <cell r="A942" t="str">
            <v>G066</v>
          </cell>
          <cell r="B942" t="str">
            <v>GULATI SANITARY STORE</v>
          </cell>
        </row>
        <row r="943">
          <cell r="A943" t="str">
            <v>G067</v>
          </cell>
          <cell r="B943" t="str">
            <v>GHASI RAM PANNA LAL</v>
          </cell>
        </row>
        <row r="944">
          <cell r="A944" t="str">
            <v>G068</v>
          </cell>
          <cell r="B944" t="str">
            <v>G M MOTORS</v>
          </cell>
        </row>
        <row r="945">
          <cell r="A945" t="str">
            <v>G069</v>
          </cell>
          <cell r="B945" t="str">
            <v>GULZAR SHEIKH</v>
          </cell>
        </row>
        <row r="946">
          <cell r="A946" t="str">
            <v>G070</v>
          </cell>
          <cell r="B946" t="str">
            <v>GUJRAL EXPORTS(INOP.)</v>
          </cell>
        </row>
        <row r="947">
          <cell r="A947" t="str">
            <v>G071</v>
          </cell>
          <cell r="B947" t="str">
            <v>GLOBAL RESEARCHES&amp;ENVIRONMENTAL ENGRS.</v>
          </cell>
        </row>
        <row r="948">
          <cell r="A948" t="str">
            <v>G072</v>
          </cell>
          <cell r="B948" t="str">
            <v>GRAPHIC (INDIA)</v>
          </cell>
        </row>
        <row r="949">
          <cell r="A949" t="str">
            <v>G073</v>
          </cell>
          <cell r="B949" t="str">
            <v>GUPTA CONSULTANT</v>
          </cell>
        </row>
        <row r="950">
          <cell r="A950" t="str">
            <v>G074</v>
          </cell>
          <cell r="B950" t="str">
            <v>GLOBE TOURS &amp; TRAVELS</v>
          </cell>
        </row>
        <row r="951">
          <cell r="A951" t="str">
            <v>G075</v>
          </cell>
          <cell r="B951" t="str">
            <v>GAGANDEEP BUILDERS (P) LTD.</v>
          </cell>
        </row>
        <row r="952">
          <cell r="A952" t="str">
            <v>G076</v>
          </cell>
          <cell r="B952" t="str">
            <v>G E CAPITAL SERVICES INDIA LTD</v>
          </cell>
        </row>
        <row r="953">
          <cell r="A953" t="str">
            <v>G077</v>
          </cell>
          <cell r="B953" t="str">
            <v>GLACER ELECTRICALS</v>
          </cell>
        </row>
        <row r="954">
          <cell r="A954" t="str">
            <v>G078</v>
          </cell>
          <cell r="B954" t="str">
            <v>G S JAIN &amp; ASSOCIATES PVT. LTD.</v>
          </cell>
        </row>
        <row r="955">
          <cell r="A955" t="str">
            <v>G079</v>
          </cell>
          <cell r="B955" t="str">
            <v>GRANDLEY ELECTRICALS (INDIA)</v>
          </cell>
        </row>
        <row r="956">
          <cell r="A956" t="str">
            <v>G080</v>
          </cell>
          <cell r="B956" t="str">
            <v>GRILLCO INDUSTRIES</v>
          </cell>
        </row>
        <row r="957">
          <cell r="A957" t="str">
            <v>G081</v>
          </cell>
          <cell r="B957" t="str">
            <v>GOEL MOTOR WORKS</v>
          </cell>
        </row>
        <row r="958">
          <cell r="A958" t="str">
            <v>G082</v>
          </cell>
          <cell r="B958" t="str">
            <v>G.D. SIDHU OIL TRADERS</v>
          </cell>
        </row>
        <row r="959">
          <cell r="A959" t="str">
            <v>G083</v>
          </cell>
          <cell r="B959" t="str">
            <v>GUARDWELL SECURITY AND INVESTIGATION SER</v>
          </cell>
        </row>
        <row r="960">
          <cell r="A960" t="str">
            <v>G084</v>
          </cell>
          <cell r="B960" t="str">
            <v>G B PAI</v>
          </cell>
        </row>
        <row r="961">
          <cell r="A961" t="str">
            <v>G085</v>
          </cell>
          <cell r="B961" t="str">
            <v>GLOBAL INFO-LINK</v>
          </cell>
        </row>
        <row r="962">
          <cell r="A962" t="str">
            <v>G086</v>
          </cell>
          <cell r="B962" t="str">
            <v>GOMACO INDIA PVT. LTD.</v>
          </cell>
        </row>
        <row r="963">
          <cell r="A963" t="str">
            <v>G087</v>
          </cell>
          <cell r="B963" t="str">
            <v>GRAVITAS AGRO (P) LTD.</v>
          </cell>
        </row>
        <row r="964">
          <cell r="A964" t="str">
            <v>G088</v>
          </cell>
          <cell r="B964" t="str">
            <v>GOLDEN STEELS</v>
          </cell>
        </row>
        <row r="965">
          <cell r="A965" t="str">
            <v>G089</v>
          </cell>
          <cell r="B965" t="str">
            <v>GHANSHYAM DAS CONTRACTOR</v>
          </cell>
        </row>
        <row r="966">
          <cell r="A966" t="str">
            <v>G090</v>
          </cell>
          <cell r="B966" t="str">
            <v>GRASIM INDUSTRIES LTD.(UNIT ADITYA CEM.)</v>
          </cell>
        </row>
        <row r="967">
          <cell r="A967" t="str">
            <v>G091</v>
          </cell>
          <cell r="B967" t="str">
            <v>GODAVARI MARBLE INDUSTRIES PVT. LTD.</v>
          </cell>
        </row>
        <row r="968">
          <cell r="A968" t="str">
            <v>G092</v>
          </cell>
          <cell r="B968" t="str">
            <v>GODREJ PECIFIC TECH LTD.</v>
          </cell>
        </row>
        <row r="969">
          <cell r="A969" t="str">
            <v>G093</v>
          </cell>
          <cell r="B969" t="str">
            <v>GEN-E-SYS INDIA (P) LTD.</v>
          </cell>
        </row>
        <row r="970">
          <cell r="A970" t="str">
            <v>G094</v>
          </cell>
          <cell r="B970" t="str">
            <v>GUPTA ELECTRIC &amp; MACHINERY STORE</v>
          </cell>
        </row>
        <row r="971">
          <cell r="A971" t="str">
            <v>G095</v>
          </cell>
          <cell r="B971" t="str">
            <v>GOEL TRADING CO.</v>
          </cell>
        </row>
        <row r="972">
          <cell r="A972" t="str">
            <v>G096</v>
          </cell>
          <cell r="B972" t="str">
            <v>GEETA VALVES &amp; ENGINEERING PVT. LTD.</v>
          </cell>
        </row>
        <row r="973">
          <cell r="A973" t="str">
            <v>G097</v>
          </cell>
          <cell r="B973" t="str">
            <v>GURU ENGINEERING WORKS</v>
          </cell>
        </row>
        <row r="974">
          <cell r="A974" t="str">
            <v>G098</v>
          </cell>
          <cell r="B974" t="str">
            <v>M/S GUDDU SCREP WALA</v>
          </cell>
        </row>
        <row r="975">
          <cell r="A975" t="str">
            <v>G100</v>
          </cell>
          <cell r="B975" t="str">
            <v>GAURAV INFORMATION SERVICE</v>
          </cell>
        </row>
        <row r="976">
          <cell r="A976" t="str">
            <v>G101</v>
          </cell>
          <cell r="B976" t="str">
            <v>GALAXI INDIA PRIVATE LIMITED</v>
          </cell>
        </row>
        <row r="977">
          <cell r="A977" t="str">
            <v>G102</v>
          </cell>
          <cell r="B977" t="str">
            <v>GAFFAR ALI &amp; CO.</v>
          </cell>
        </row>
        <row r="978">
          <cell r="A978" t="str">
            <v>G103</v>
          </cell>
          <cell r="B978" t="str">
            <v>GENERAL MERCANTILE CO.</v>
          </cell>
        </row>
        <row r="979">
          <cell r="A979" t="str">
            <v>G104</v>
          </cell>
          <cell r="B979" t="str">
            <v>GAURAV DEEP &amp; CO.</v>
          </cell>
        </row>
        <row r="980">
          <cell r="A980" t="str">
            <v>G105</v>
          </cell>
          <cell r="B980" t="str">
            <v>G S TANWAR</v>
          </cell>
        </row>
        <row r="981">
          <cell r="A981" t="str">
            <v>G106</v>
          </cell>
          <cell r="B981" t="str">
            <v>GREEN INDIA ENTERPRISES</v>
          </cell>
        </row>
        <row r="982">
          <cell r="A982" t="str">
            <v>G107</v>
          </cell>
          <cell r="B982" t="str">
            <v>GOEL SEEDS CORPN.</v>
          </cell>
        </row>
        <row r="983">
          <cell r="A983" t="str">
            <v>G108</v>
          </cell>
          <cell r="B983" t="str">
            <v>GANESH SHARMA</v>
          </cell>
        </row>
        <row r="984">
          <cell r="A984" t="str">
            <v>G109</v>
          </cell>
          <cell r="B984" t="str">
            <v>GOVERDHAN SINGH</v>
          </cell>
        </row>
        <row r="985">
          <cell r="A985" t="str">
            <v>G110</v>
          </cell>
          <cell r="B985" t="str">
            <v>GIO-LITE</v>
          </cell>
        </row>
        <row r="986">
          <cell r="A986" t="str">
            <v>G111</v>
          </cell>
          <cell r="B986" t="str">
            <v>GARDEN VIEW LANDSCAPE PRIVATE LIMITED</v>
          </cell>
        </row>
        <row r="987">
          <cell r="A987" t="str">
            <v>G112</v>
          </cell>
          <cell r="B987" t="str">
            <v>G K TRANSPORT</v>
          </cell>
        </row>
        <row r="988">
          <cell r="A988" t="str">
            <v>G113</v>
          </cell>
          <cell r="B988" t="str">
            <v>GULZAR BOOK BINDER</v>
          </cell>
        </row>
        <row r="989">
          <cell r="A989" t="str">
            <v>G114</v>
          </cell>
          <cell r="B989" t="str">
            <v>GRAND SLAM INTERNATIONAL</v>
          </cell>
        </row>
        <row r="990">
          <cell r="A990" t="str">
            <v>G115</v>
          </cell>
          <cell r="B990" t="str">
            <v>GOEL GARDEN TOOLS</v>
          </cell>
        </row>
        <row r="991">
          <cell r="A991" t="str">
            <v>G116</v>
          </cell>
          <cell r="B991" t="str">
            <v>G L BUILDING MATERIAL SUPPLIER</v>
          </cell>
        </row>
        <row r="992">
          <cell r="A992" t="str">
            <v>G117</v>
          </cell>
          <cell r="B992" t="str">
            <v>GAURAV TOURIST</v>
          </cell>
        </row>
        <row r="993">
          <cell r="A993" t="str">
            <v>G118</v>
          </cell>
          <cell r="B993" t="str">
            <v>G G &amp; SONS</v>
          </cell>
        </row>
        <row r="994">
          <cell r="A994" t="str">
            <v>G119</v>
          </cell>
          <cell r="B994" t="str">
            <v>GLAZER CREATIONS</v>
          </cell>
        </row>
        <row r="995">
          <cell r="A995" t="str">
            <v>G120</v>
          </cell>
          <cell r="B995" t="str">
            <v>GURNAM SINGH</v>
          </cell>
        </row>
        <row r="996">
          <cell r="A996" t="str">
            <v>G121</v>
          </cell>
          <cell r="B996" t="str">
            <v>GRAVITAS AGRO (PVT.) LTD.</v>
          </cell>
        </row>
        <row r="997">
          <cell r="A997" t="str">
            <v>G122</v>
          </cell>
          <cell r="B997" t="str">
            <v>GRINDEN INDIA (P) LTD.</v>
          </cell>
        </row>
        <row r="998">
          <cell r="A998" t="str">
            <v>G123</v>
          </cell>
          <cell r="B998" t="str">
            <v>G B SINGH</v>
          </cell>
        </row>
        <row r="999">
          <cell r="A999" t="str">
            <v>G124</v>
          </cell>
          <cell r="B999" t="str">
            <v>GOOD LASS NEROLAC PAINTS LTD.</v>
          </cell>
        </row>
        <row r="1000">
          <cell r="A1000" t="str">
            <v>G125</v>
          </cell>
          <cell r="B1000" t="str">
            <v>GUPTA POLYMERS</v>
          </cell>
        </row>
        <row r="1001">
          <cell r="A1001" t="str">
            <v>G126</v>
          </cell>
          <cell r="B1001" t="str">
            <v>GLOBE CONSTRUCTION</v>
          </cell>
        </row>
        <row r="1002">
          <cell r="A1002" t="str">
            <v>G127</v>
          </cell>
          <cell r="B1002" t="str">
            <v>GROUP 4 SECURITAS (SYSTEMS) PVT. LTD.</v>
          </cell>
        </row>
        <row r="1003">
          <cell r="A1003" t="str">
            <v>G128</v>
          </cell>
          <cell r="B1003" t="str">
            <v>GLOBE MARKETING</v>
          </cell>
        </row>
        <row r="1004">
          <cell r="A1004" t="str">
            <v>G129</v>
          </cell>
          <cell r="B1004" t="str">
            <v>G B ASSOCIATES</v>
          </cell>
        </row>
        <row r="1005">
          <cell r="A1005" t="str">
            <v>G130</v>
          </cell>
          <cell r="B1005" t="str">
            <v>GARODIA MARBLES &amp; GRANITES</v>
          </cell>
        </row>
        <row r="1006">
          <cell r="A1006" t="str">
            <v>G131</v>
          </cell>
          <cell r="B1006" t="str">
            <v>GWALIOR POLYPIPES LTD.</v>
          </cell>
        </row>
        <row r="1007">
          <cell r="A1007" t="str">
            <v>G132</v>
          </cell>
          <cell r="B1007" t="str">
            <v>GIRDHARI LAL TRACTOR COMPRESSOR</v>
          </cell>
        </row>
        <row r="1008">
          <cell r="A1008" t="str">
            <v>G133</v>
          </cell>
          <cell r="B1008" t="str">
            <v>GUPTA SALES CORPORATION (MORI GATE)</v>
          </cell>
        </row>
        <row r="1009">
          <cell r="A1009" t="str">
            <v>G134</v>
          </cell>
          <cell r="B1009" t="str">
            <v>GENELITE PVT LTD.</v>
          </cell>
        </row>
        <row r="1010">
          <cell r="A1010" t="str">
            <v>G135</v>
          </cell>
          <cell r="B1010" t="str">
            <v>GOLDEN INDUSTRIES LTD.</v>
          </cell>
        </row>
        <row r="1011">
          <cell r="A1011" t="str">
            <v>G136</v>
          </cell>
          <cell r="B1011" t="str">
            <v>G.D.SIDHU OIL COMPANY</v>
          </cell>
        </row>
        <row r="1012">
          <cell r="A1012" t="str">
            <v>G137</v>
          </cell>
          <cell r="B1012" t="str">
            <v>GOEL KRISHI STORE</v>
          </cell>
        </row>
        <row r="1013">
          <cell r="A1013" t="str">
            <v>G138</v>
          </cell>
          <cell r="B1013" t="str">
            <v>GODREJ-GE APPLIANCES LTD.</v>
          </cell>
        </row>
        <row r="1014">
          <cell r="A1014" t="str">
            <v>G139</v>
          </cell>
          <cell r="B1014" t="str">
            <v>GREENSBORO POLYCHEM (P) LIMITED</v>
          </cell>
        </row>
        <row r="1015">
          <cell r="A1015" t="str">
            <v>G140</v>
          </cell>
          <cell r="B1015" t="str">
            <v>GRAMMY COMMUNICATIONS (P) LTD</v>
          </cell>
        </row>
        <row r="1016">
          <cell r="A1016" t="str">
            <v>G141</v>
          </cell>
          <cell r="B1016" t="str">
            <v>GITA FARM NURSERY</v>
          </cell>
        </row>
        <row r="1017">
          <cell r="A1017" t="str">
            <v>G142</v>
          </cell>
          <cell r="B1017" t="str">
            <v>GURIND SALES</v>
          </cell>
        </row>
        <row r="1018">
          <cell r="A1018" t="str">
            <v>G143</v>
          </cell>
          <cell r="B1018" t="str">
            <v>GANDHI &amp; ASSOCIATES</v>
          </cell>
        </row>
        <row r="1019">
          <cell r="A1019" t="str">
            <v>G144</v>
          </cell>
          <cell r="B1019" t="str">
            <v>GOLF AROUND THE WORLD INC</v>
          </cell>
        </row>
        <row r="1020">
          <cell r="A1020" t="str">
            <v>G145</v>
          </cell>
          <cell r="B1020" t="str">
            <v>GULSHAN ENGINEERS</v>
          </cell>
        </row>
        <row r="1021">
          <cell r="A1021" t="str">
            <v>G146</v>
          </cell>
          <cell r="B1021" t="str">
            <v>GILL GOLF EQUIPMENT</v>
          </cell>
        </row>
        <row r="1022">
          <cell r="A1022" t="str">
            <v>G147</v>
          </cell>
          <cell r="B1022" t="str">
            <v>GLASS FUSION PVT LTD</v>
          </cell>
        </row>
        <row r="1023">
          <cell r="A1023" t="str">
            <v>G148</v>
          </cell>
          <cell r="B1023" t="str">
            <v>GLOBE DETECTIVE AGENCY PVT LTD</v>
          </cell>
        </row>
        <row r="1024">
          <cell r="A1024" t="str">
            <v>G801</v>
          </cell>
          <cell r="B1024" t="str">
            <v>GUDHI ACHREJA</v>
          </cell>
        </row>
        <row r="1025">
          <cell r="A1025" t="str">
            <v>G802</v>
          </cell>
          <cell r="B1025" t="str">
            <v>GYANWATI BANSAL</v>
          </cell>
        </row>
        <row r="1026">
          <cell r="A1026" t="str">
            <v>G803</v>
          </cell>
          <cell r="B1026" t="str">
            <v>G D AGRAWAL</v>
          </cell>
        </row>
        <row r="1027">
          <cell r="A1027" t="str">
            <v>G804</v>
          </cell>
          <cell r="B1027" t="str">
            <v>MRS. GEETA W/O SHRI JITENDER</v>
          </cell>
        </row>
        <row r="1028">
          <cell r="A1028" t="str">
            <v>G805</v>
          </cell>
          <cell r="B1028" t="str">
            <v>GURU PRAKSH JAIN &amp; CO.</v>
          </cell>
        </row>
        <row r="1029">
          <cell r="A1029" t="str">
            <v>H001</v>
          </cell>
          <cell r="B1029" t="str">
            <v>HARI IRON TRADING CO.</v>
          </cell>
        </row>
        <row r="1030">
          <cell r="A1030" t="str">
            <v>H002</v>
          </cell>
          <cell r="B1030" t="str">
            <v>HARI IRON &amp; TUBEWELL TRADERS</v>
          </cell>
        </row>
        <row r="1031">
          <cell r="A1031" t="str">
            <v>H003</v>
          </cell>
          <cell r="B1031" t="str">
            <v>HINDUSTAN SANITARYWARE &amp; INDUSTRIES LTD.</v>
          </cell>
        </row>
        <row r="1032">
          <cell r="A1032" t="str">
            <v>H004</v>
          </cell>
          <cell r="B1032" t="str">
            <v>HARDIMA SALES CORPORATION</v>
          </cell>
        </row>
        <row r="1033">
          <cell r="A1033" t="str">
            <v>H005</v>
          </cell>
          <cell r="B1033" t="str">
            <v>HINDUSTAN ZINC LIMITED</v>
          </cell>
        </row>
        <row r="1034">
          <cell r="A1034" t="str">
            <v>H006</v>
          </cell>
          <cell r="B1034" t="str">
            <v>H.S BUILDING MATERIAL CARRIER</v>
          </cell>
        </row>
        <row r="1035">
          <cell r="A1035" t="str">
            <v>H007</v>
          </cell>
          <cell r="B1035" t="str">
            <v>HARYANA AUTOMOBILES</v>
          </cell>
        </row>
        <row r="1036">
          <cell r="A1036" t="str">
            <v>H008</v>
          </cell>
          <cell r="B1036" t="str">
            <v>HINDUSTAN PLYWOOD CO.</v>
          </cell>
        </row>
        <row r="1037">
          <cell r="A1037" t="str">
            <v>H009</v>
          </cell>
          <cell r="B1037" t="str">
            <v>HINDUSTAN INSULATIONS PVT.LTD.</v>
          </cell>
        </row>
        <row r="1038">
          <cell r="A1038" t="str">
            <v>H010</v>
          </cell>
          <cell r="B1038" t="str">
            <v>H.M. DOYAL &amp; CO.</v>
          </cell>
        </row>
        <row r="1039">
          <cell r="A1039" t="str">
            <v>H011</v>
          </cell>
          <cell r="B1039" t="str">
            <v>HINDUSTAN SANITARYWARE INDUSTRIES LTD.</v>
          </cell>
        </row>
        <row r="1040">
          <cell r="A1040" t="str">
            <v>H012</v>
          </cell>
          <cell r="B1040" t="str">
            <v>HCL HEWLETT PACKARD LTD.</v>
          </cell>
        </row>
        <row r="1041">
          <cell r="A1041" t="str">
            <v>H013</v>
          </cell>
          <cell r="B1041" t="str">
            <v>HINDUSTAN CONSTRUCTION CORPORATION</v>
          </cell>
        </row>
        <row r="1042">
          <cell r="A1042" t="str">
            <v>H014</v>
          </cell>
          <cell r="B1042" t="str">
            <v>HARDWARE HOUSE</v>
          </cell>
        </row>
        <row r="1043">
          <cell r="A1043" t="str">
            <v>H015</v>
          </cell>
          <cell r="B1043" t="str">
            <v>HARI</v>
          </cell>
        </row>
        <row r="1044">
          <cell r="A1044" t="str">
            <v>H016</v>
          </cell>
          <cell r="B1044" t="str">
            <v>HINDUSTAN ELECTRIC CO.</v>
          </cell>
        </row>
        <row r="1045">
          <cell r="A1045" t="str">
            <v>H017</v>
          </cell>
          <cell r="B1045" t="str">
            <v>H.R.BUILDERS</v>
          </cell>
        </row>
        <row r="1046">
          <cell r="A1046" t="str">
            <v>H018</v>
          </cell>
          <cell r="B1046" t="str">
            <v>HIRA LAL</v>
          </cell>
        </row>
        <row r="1047">
          <cell r="A1047" t="str">
            <v>H019</v>
          </cell>
          <cell r="B1047" t="str">
            <v>HINDUSTAN AGENCIES PVT. LTD.</v>
          </cell>
        </row>
        <row r="1048">
          <cell r="A1048" t="str">
            <v>H020</v>
          </cell>
          <cell r="B1048" t="str">
            <v>HEERA LAL</v>
          </cell>
        </row>
        <row r="1049">
          <cell r="A1049" t="str">
            <v>H021</v>
          </cell>
          <cell r="B1049" t="str">
            <v>HARYANA GRIT SUPPLIER (TRANSPORTATION)</v>
          </cell>
        </row>
        <row r="1050">
          <cell r="A1050" t="str">
            <v>H022</v>
          </cell>
          <cell r="B1050" t="str">
            <v>HARJAI &amp; COMPANY</v>
          </cell>
        </row>
        <row r="1051">
          <cell r="A1051" t="str">
            <v>H023</v>
          </cell>
          <cell r="B1051" t="str">
            <v>HARISH CHANDRA &amp; COMPANY</v>
          </cell>
        </row>
        <row r="1052">
          <cell r="A1052" t="str">
            <v>H024</v>
          </cell>
          <cell r="B1052" t="str">
            <v>HIMALAYA TRADERS</v>
          </cell>
        </row>
        <row r="1053">
          <cell r="A1053" t="str">
            <v>H025</v>
          </cell>
          <cell r="B1053" t="str">
            <v>H.S.E.B</v>
          </cell>
        </row>
        <row r="1054">
          <cell r="A1054" t="str">
            <v>H026</v>
          </cell>
          <cell r="B1054" t="str">
            <v>HOME CARE AGENCY</v>
          </cell>
        </row>
        <row r="1055">
          <cell r="A1055" t="str">
            <v>H027</v>
          </cell>
          <cell r="B1055" t="str">
            <v>HI-TECH ENGINEERS</v>
          </cell>
        </row>
        <row r="1056">
          <cell r="A1056" t="str">
            <v>H028</v>
          </cell>
          <cell r="B1056" t="str">
            <v>HUMATAJ INTERNATIONAL</v>
          </cell>
        </row>
        <row r="1057">
          <cell r="A1057" t="str">
            <v>H029</v>
          </cell>
          <cell r="B1057" t="str">
            <v>HARBHAJAN SINGH DHILLON</v>
          </cell>
        </row>
        <row r="1058">
          <cell r="A1058" t="str">
            <v>H030</v>
          </cell>
          <cell r="B1058" t="str">
            <v>HARYANA IRON &amp; PIPE STORE</v>
          </cell>
        </row>
        <row r="1059">
          <cell r="A1059" t="str">
            <v>H031</v>
          </cell>
          <cell r="B1059" t="str">
            <v>HATILA</v>
          </cell>
        </row>
        <row r="1060">
          <cell r="A1060" t="str">
            <v>H032</v>
          </cell>
          <cell r="B1060" t="str">
            <v>HAIDER ALI</v>
          </cell>
        </row>
        <row r="1061">
          <cell r="A1061" t="str">
            <v>H033</v>
          </cell>
          <cell r="B1061" t="str">
            <v>H B SAHOO</v>
          </cell>
        </row>
        <row r="1062">
          <cell r="A1062" t="str">
            <v>H034</v>
          </cell>
          <cell r="B1062" t="str">
            <v>HANS RAJ BUILDING CONTRACTOR</v>
          </cell>
        </row>
        <row r="1063">
          <cell r="A1063" t="str">
            <v>H035</v>
          </cell>
          <cell r="B1063" t="str">
            <v>HARKESH KUMAR</v>
          </cell>
        </row>
        <row r="1064">
          <cell r="A1064" t="str">
            <v>H036</v>
          </cell>
          <cell r="B1064" t="str">
            <v>HINDUSTAN GLASS HOUSE</v>
          </cell>
        </row>
        <row r="1065">
          <cell r="A1065" t="str">
            <v>H037</v>
          </cell>
          <cell r="B1065" t="str">
            <v>HI-REACH OVERSEAS PVT. LTD.</v>
          </cell>
        </row>
        <row r="1066">
          <cell r="A1066" t="str">
            <v>H038</v>
          </cell>
          <cell r="B1066" t="str">
            <v>HARIT CONSTRUCTIONS</v>
          </cell>
        </row>
        <row r="1067">
          <cell r="A1067" t="str">
            <v>H039</v>
          </cell>
          <cell r="B1067" t="str">
            <v>HAK ELECTRICALS</v>
          </cell>
        </row>
        <row r="1068">
          <cell r="A1068" t="str">
            <v>H040</v>
          </cell>
          <cell r="B1068" t="str">
            <v>HINDUSTAN MARBLES</v>
          </cell>
        </row>
        <row r="1069">
          <cell r="A1069" t="str">
            <v>H041</v>
          </cell>
          <cell r="B1069" t="str">
            <v>HARYANA PRAKASHAN LTD.</v>
          </cell>
        </row>
        <row r="1070">
          <cell r="A1070" t="str">
            <v>H042</v>
          </cell>
          <cell r="B1070" t="str">
            <v>HVR ALLOYS &amp; STEEL LIMITED</v>
          </cell>
        </row>
        <row r="1071">
          <cell r="A1071" t="str">
            <v>H043</v>
          </cell>
          <cell r="B1071" t="str">
            <v>HARYANA BRICKS &amp; TILES</v>
          </cell>
        </row>
        <row r="1072">
          <cell r="A1072" t="str">
            <v>H044</v>
          </cell>
          <cell r="B1072" t="str">
            <v>HIMANI ENTERPRISES</v>
          </cell>
        </row>
        <row r="1073">
          <cell r="A1073" t="str">
            <v>H045</v>
          </cell>
          <cell r="B1073" t="str">
            <v>HARIBANS PRASAD YADAV</v>
          </cell>
        </row>
        <row r="1074">
          <cell r="A1074" t="str">
            <v>H046</v>
          </cell>
          <cell r="B1074" t="str">
            <v>HASMUDIN KHAN</v>
          </cell>
        </row>
        <row r="1075">
          <cell r="A1075" t="str">
            <v>H047</v>
          </cell>
          <cell r="B1075" t="str">
            <v>HARISH ELECTRICALS</v>
          </cell>
        </row>
        <row r="1076">
          <cell r="A1076" t="str">
            <v>H048</v>
          </cell>
          <cell r="B1076" t="str">
            <v>HARMEET SINGH AHLUWALIA</v>
          </cell>
        </row>
        <row r="1077">
          <cell r="A1077" t="str">
            <v>H049</v>
          </cell>
          <cell r="B1077" t="str">
            <v>HARPAL SINGH</v>
          </cell>
        </row>
        <row r="1078">
          <cell r="A1078" t="str">
            <v>H050</v>
          </cell>
          <cell r="B1078" t="str">
            <v>HANS RAJ YADAV</v>
          </cell>
        </row>
        <row r="1079">
          <cell r="A1079" t="str">
            <v>H051</v>
          </cell>
          <cell r="B1079" t="str">
            <v>HAZARI &amp; CO.  *NOT FOR USE*</v>
          </cell>
        </row>
        <row r="1080">
          <cell r="A1080" t="str">
            <v>H052</v>
          </cell>
          <cell r="B1080" t="str">
            <v>HINDUSTAN HARDWARE&amp;RUBBER GOOD</v>
          </cell>
        </row>
        <row r="1081">
          <cell r="A1081" t="str">
            <v>H053</v>
          </cell>
          <cell r="B1081" t="str">
            <v>HANI RAM(INOP.)</v>
          </cell>
        </row>
        <row r="1082">
          <cell r="A1082" t="str">
            <v>H054</v>
          </cell>
          <cell r="B1082" t="str">
            <v>HANS ELECTRICAL WORKS(INOP.)</v>
          </cell>
        </row>
        <row r="1083">
          <cell r="A1083" t="str">
            <v>H055</v>
          </cell>
          <cell r="B1083" t="str">
            <v>H.R.SHARMA</v>
          </cell>
        </row>
        <row r="1084">
          <cell r="A1084" t="str">
            <v>H056</v>
          </cell>
          <cell r="B1084" t="str">
            <v>HINDUSTAN GLASS</v>
          </cell>
        </row>
        <row r="1085">
          <cell r="A1085" t="str">
            <v>H057</v>
          </cell>
          <cell r="B1085" t="str">
            <v>HCL FRONTLINE LIMITED</v>
          </cell>
        </row>
        <row r="1086">
          <cell r="A1086" t="str">
            <v>H058</v>
          </cell>
          <cell r="B1086" t="str">
            <v>HINDUSTAN ENGINEERING PRODUCTS</v>
          </cell>
        </row>
        <row r="1087">
          <cell r="A1087" t="str">
            <v>H059</v>
          </cell>
          <cell r="B1087" t="str">
            <v>HINDUSTAN ALCOX LIMITED</v>
          </cell>
        </row>
        <row r="1088">
          <cell r="A1088" t="str">
            <v>H060</v>
          </cell>
          <cell r="B1088" t="str">
            <v>HARKESH KUMAR</v>
          </cell>
        </row>
        <row r="1089">
          <cell r="A1089" t="str">
            <v>H061</v>
          </cell>
          <cell r="B1089" t="str">
            <v>HARI KRISHAN</v>
          </cell>
        </row>
        <row r="1090">
          <cell r="A1090" t="str">
            <v>H062</v>
          </cell>
          <cell r="B1090" t="str">
            <v>HITECH SCAFFORM</v>
          </cell>
        </row>
        <row r="1091">
          <cell r="A1091" t="str">
            <v>H063</v>
          </cell>
          <cell r="B1091" t="str">
            <v>HARI SINGH (PAINT CONTRACTOR)</v>
          </cell>
        </row>
        <row r="1092">
          <cell r="A1092" t="str">
            <v>H064</v>
          </cell>
          <cell r="B1092" t="str">
            <v>HAREET CONSTRUCTION</v>
          </cell>
        </row>
        <row r="1093">
          <cell r="A1093" t="str">
            <v>H065</v>
          </cell>
          <cell r="B1093" t="str">
            <v>HANS DIESEL SERVICES</v>
          </cell>
        </row>
        <row r="1094">
          <cell r="A1094" t="str">
            <v>H066</v>
          </cell>
          <cell r="B1094" t="str">
            <v>HI TECH ENGINEERS &amp; CONSULTANTS</v>
          </cell>
        </row>
        <row r="1095">
          <cell r="A1095" t="str">
            <v>H067</v>
          </cell>
          <cell r="B1095" t="str">
            <v>HIGH SEAS CORPORATION</v>
          </cell>
        </row>
        <row r="1096">
          <cell r="A1096" t="str">
            <v>H068</v>
          </cell>
          <cell r="B1096" t="str">
            <v>HYLINE AUTO INDUSTRIES</v>
          </cell>
        </row>
        <row r="1097">
          <cell r="A1097" t="str">
            <v>H069</v>
          </cell>
          <cell r="B1097" t="str">
            <v>HEATLY &amp; GRESHAM (INDIA) LTD.</v>
          </cell>
        </row>
        <row r="1098">
          <cell r="A1098" t="str">
            <v>H070</v>
          </cell>
          <cell r="B1098" t="str">
            <v>HARISH CHANDER</v>
          </cell>
        </row>
        <row r="1099">
          <cell r="A1099" t="str">
            <v>H071</v>
          </cell>
          <cell r="B1099" t="str">
            <v>HARYANA TRADING CORPORATION</v>
          </cell>
        </row>
        <row r="1100">
          <cell r="A1100" t="str">
            <v>H072</v>
          </cell>
          <cell r="B1100" t="str">
            <v>HINDUSTAN PETRO OIL CHEMICALS</v>
          </cell>
        </row>
        <row r="1101">
          <cell r="A1101" t="str">
            <v>H073</v>
          </cell>
          <cell r="B1101" t="str">
            <v>HYDRO PNEUMATICS &amp; SPARES</v>
          </cell>
        </row>
        <row r="1102">
          <cell r="A1102" t="str">
            <v>H074</v>
          </cell>
          <cell r="B1102" t="str">
            <v>HABITAT CONSTRUCTIONS</v>
          </cell>
        </row>
        <row r="1103">
          <cell r="A1103" t="str">
            <v>H075</v>
          </cell>
          <cell r="B1103" t="str">
            <v>HEMKUNT BEARING</v>
          </cell>
        </row>
        <row r="1104">
          <cell r="A1104" t="str">
            <v>H076</v>
          </cell>
          <cell r="B1104" t="str">
            <v>HI-TECH CONSTRUCTION CO.</v>
          </cell>
        </row>
        <row r="1105">
          <cell r="A1105" t="str">
            <v>H077</v>
          </cell>
          <cell r="B1105" t="str">
            <v>H B S SYSTEMS (P) LTD.</v>
          </cell>
        </row>
        <row r="1106">
          <cell r="A1106" t="str">
            <v>H078</v>
          </cell>
          <cell r="B1106" t="str">
            <v>HI TECH ENGINEERING COMPANY</v>
          </cell>
        </row>
        <row r="1107">
          <cell r="A1107" t="str">
            <v>H079</v>
          </cell>
          <cell r="B1107" t="str">
            <v>H R MAHESHWARI &amp; COMAPNY</v>
          </cell>
        </row>
        <row r="1108">
          <cell r="A1108" t="str">
            <v>H080</v>
          </cell>
          <cell r="B1108" t="str">
            <v>HASHMI HANDICRAFTS</v>
          </cell>
        </row>
        <row r="1109">
          <cell r="A1109" t="str">
            <v>H081</v>
          </cell>
          <cell r="B1109" t="str">
            <v>H L KUMAR</v>
          </cell>
        </row>
        <row r="1110">
          <cell r="A1110" t="str">
            <v>H082</v>
          </cell>
          <cell r="B1110" t="str">
            <v>HEWLETT-PACKARD INDIA LTD</v>
          </cell>
        </row>
        <row r="1111">
          <cell r="A1111" t="str">
            <v>H083</v>
          </cell>
          <cell r="B1111" t="str">
            <v>H.R. JOHNSON (INDIA) LTD.</v>
          </cell>
        </row>
        <row r="1112">
          <cell r="A1112" t="str">
            <v>H084</v>
          </cell>
          <cell r="B1112" t="str">
            <v>HINDUSTAN PRESTRESSED CON.STRU. PVT. LTD</v>
          </cell>
        </row>
        <row r="1113">
          <cell r="A1113" t="str">
            <v>H085</v>
          </cell>
          <cell r="B1113" t="str">
            <v>H. V. MOTORS</v>
          </cell>
        </row>
        <row r="1114">
          <cell r="A1114" t="str">
            <v>H086</v>
          </cell>
          <cell r="B1114" t="str">
            <v>HEMRAJ S MAKWANA</v>
          </cell>
        </row>
        <row r="1115">
          <cell r="A1115" t="str">
            <v>H087</v>
          </cell>
          <cell r="B1115" t="str">
            <v>HERITAGE</v>
          </cell>
        </row>
        <row r="1116">
          <cell r="A1116" t="str">
            <v>H088</v>
          </cell>
          <cell r="B1116" t="str">
            <v>H &amp; R JOHNSON (INDIA) LTD. KARNATAKA</v>
          </cell>
        </row>
        <row r="1117">
          <cell r="A1117" t="str">
            <v>H089</v>
          </cell>
          <cell r="B1117" t="str">
            <v>HI TECH SCAFFOLDING</v>
          </cell>
        </row>
        <row r="1118">
          <cell r="A1118" t="str">
            <v>H090</v>
          </cell>
          <cell r="B1118" t="str">
            <v>H K SHARMA</v>
          </cell>
        </row>
        <row r="1119">
          <cell r="A1119" t="str">
            <v>H091</v>
          </cell>
          <cell r="B1119" t="str">
            <v>HINDUSTAN GYP BOARD INDUSTRIES</v>
          </cell>
        </row>
        <row r="1120">
          <cell r="A1120" t="str">
            <v>H092</v>
          </cell>
          <cell r="B1120" t="str">
            <v>HILTI INDIA PVT. LTD.</v>
          </cell>
        </row>
        <row r="1121">
          <cell r="A1121" t="str">
            <v>H093</v>
          </cell>
          <cell r="B1121" t="str">
            <v>HYDRO POWER ENGINEERS</v>
          </cell>
        </row>
        <row r="1122">
          <cell r="A1122" t="str">
            <v>H094</v>
          </cell>
          <cell r="B1122" t="str">
            <v>H S B &amp; SONS ELECTRICALS LTD.</v>
          </cell>
        </row>
        <row r="1123">
          <cell r="A1123" t="str">
            <v>H095</v>
          </cell>
          <cell r="B1123" t="str">
            <v>HPC STRUCTURE (P) LTD. (CLC DIVISION)</v>
          </cell>
        </row>
        <row r="1124">
          <cell r="A1124" t="str">
            <v>H096</v>
          </cell>
          <cell r="B1124" t="str">
            <v>HYPER TEC</v>
          </cell>
        </row>
        <row r="1125">
          <cell r="A1125" t="str">
            <v>H097</v>
          </cell>
          <cell r="B1125" t="str">
            <v>HARYANA PETRO-CHEMICALS</v>
          </cell>
        </row>
        <row r="1126">
          <cell r="A1126" t="str">
            <v>H098</v>
          </cell>
          <cell r="B1126" t="str">
            <v>HASIJA ENTERPRISES</v>
          </cell>
        </row>
        <row r="1127">
          <cell r="A1127" t="str">
            <v>H099</v>
          </cell>
          <cell r="B1127" t="str">
            <v>HORIZON SCALES &amp; SYSTEM</v>
          </cell>
        </row>
        <row r="1128">
          <cell r="A1128" t="str">
            <v>H100</v>
          </cell>
          <cell r="B1128" t="str">
            <v>HY-CHEM PETRO PRODUCTS PVT. LTD.</v>
          </cell>
        </row>
        <row r="1129">
          <cell r="A1129" t="str">
            <v>H101</v>
          </cell>
          <cell r="B1129" t="str">
            <v>HARINDER SINGH &amp; CO.</v>
          </cell>
        </row>
        <row r="1130">
          <cell r="A1130" t="str">
            <v>H102</v>
          </cell>
          <cell r="B1130" t="str">
            <v>HORAM</v>
          </cell>
        </row>
        <row r="1131">
          <cell r="A1131" t="str">
            <v>H103</v>
          </cell>
          <cell r="B1131" t="str">
            <v>HELP LINERS</v>
          </cell>
        </row>
        <row r="1132">
          <cell r="A1132" t="str">
            <v>H104</v>
          </cell>
          <cell r="B1132" t="str">
            <v>HINDUSTHAN STONE CRUSHER</v>
          </cell>
        </row>
        <row r="1133">
          <cell r="A1133" t="str">
            <v>H105</v>
          </cell>
          <cell r="B1133" t="str">
            <v>HYDRO ELETRICALS</v>
          </cell>
        </row>
        <row r="1134">
          <cell r="A1134" t="str">
            <v>H106</v>
          </cell>
          <cell r="B1134" t="str">
            <v>HARSH KUMAR ANNE</v>
          </cell>
        </row>
        <row r="1135">
          <cell r="A1135" t="str">
            <v>H107</v>
          </cell>
          <cell r="B1135" t="str">
            <v>HANSONS SERVICE PVT. LTD.</v>
          </cell>
        </row>
        <row r="1136">
          <cell r="A1136" t="str">
            <v>H108</v>
          </cell>
          <cell r="B1136" t="str">
            <v>HAWAII HOLIDAY TOURS</v>
          </cell>
        </row>
        <row r="1137">
          <cell r="A1137" t="str">
            <v>H109</v>
          </cell>
          <cell r="B1137" t="str">
            <v>HI-TECH AUDIO SYSTEMS PVT. LTD.</v>
          </cell>
        </row>
        <row r="1138">
          <cell r="A1138" t="str">
            <v>H110</v>
          </cell>
          <cell r="B1138" t="str">
            <v>HARVEL IMMIGRATION (P) LTD</v>
          </cell>
        </row>
        <row r="1139">
          <cell r="A1139" t="str">
            <v>H111</v>
          </cell>
          <cell r="B1139" t="str">
            <v>HARBANS SINGH</v>
          </cell>
        </row>
        <row r="1140">
          <cell r="A1140" t="str">
            <v>H112</v>
          </cell>
          <cell r="B1140" t="str">
            <v>HONDA SIEL POWER PRODUCTS LTD</v>
          </cell>
        </row>
        <row r="1141">
          <cell r="A1141" t="str">
            <v>H801</v>
          </cell>
          <cell r="B1141" t="str">
            <v>HARBHAJAN SINGH</v>
          </cell>
        </row>
        <row r="1142">
          <cell r="A1142" t="str">
            <v>H802</v>
          </cell>
          <cell r="B1142" t="str">
            <v>HARBINDER SINGH</v>
          </cell>
        </row>
        <row r="1143">
          <cell r="A1143" t="str">
            <v>H803</v>
          </cell>
          <cell r="B1143" t="str">
            <v>HARJEET KAUR</v>
          </cell>
        </row>
        <row r="1144">
          <cell r="A1144" t="str">
            <v>H991</v>
          </cell>
          <cell r="B1144" t="str">
            <v>HARDEV SINGH</v>
          </cell>
        </row>
        <row r="1145">
          <cell r="A1145" t="str">
            <v>I001</v>
          </cell>
          <cell r="B1145" t="str">
            <v>ISHWAR SINGH</v>
          </cell>
        </row>
        <row r="1146">
          <cell r="A1146" t="str">
            <v>I002</v>
          </cell>
          <cell r="B1146" t="str">
            <v>INDIAN TRADING CORPORATION</v>
          </cell>
        </row>
        <row r="1147">
          <cell r="A1147" t="str">
            <v>I003</v>
          </cell>
          <cell r="B1147" t="str">
            <v>INDO ASIAN MARKETING LTD.</v>
          </cell>
        </row>
        <row r="1148">
          <cell r="A1148" t="str">
            <v>I004</v>
          </cell>
          <cell r="B1148" t="str">
            <v>INDIAN OIL CORPORATION LTD.</v>
          </cell>
        </row>
        <row r="1149">
          <cell r="A1149" t="str">
            <v>I005</v>
          </cell>
          <cell r="B1149" t="str">
            <v>INDUS TUBE LTD.</v>
          </cell>
        </row>
        <row r="1150">
          <cell r="A1150" t="str">
            <v>I006</v>
          </cell>
          <cell r="B1150" t="str">
            <v>INDPRO</v>
          </cell>
        </row>
        <row r="1151">
          <cell r="A1151" t="str">
            <v>I007</v>
          </cell>
          <cell r="B1151" t="str">
            <v>I.A. SWITCHGEAR LTD.</v>
          </cell>
        </row>
        <row r="1152">
          <cell r="A1152" t="str">
            <v>I008</v>
          </cell>
          <cell r="B1152" t="str">
            <v>INDO INDUSTRIAL CORPORATION</v>
          </cell>
        </row>
        <row r="1153">
          <cell r="A1153" t="str">
            <v>I009</v>
          </cell>
          <cell r="B1153" t="str">
            <v>INDERJEET SHARMA</v>
          </cell>
        </row>
        <row r="1154">
          <cell r="A1154" t="str">
            <v>I010</v>
          </cell>
          <cell r="B1154" t="str">
            <v>INTERNATIONAL AGENCY</v>
          </cell>
        </row>
        <row r="1155">
          <cell r="A1155" t="str">
            <v>I011</v>
          </cell>
          <cell r="B1155" t="str">
            <v>INDERDEV SINGH</v>
          </cell>
        </row>
        <row r="1156">
          <cell r="A1156" t="str">
            <v>I012</v>
          </cell>
          <cell r="B1156" t="str">
            <v>IQBAL SINGH</v>
          </cell>
        </row>
        <row r="1157">
          <cell r="A1157" t="str">
            <v>I013</v>
          </cell>
          <cell r="B1157" t="str">
            <v>INTEGRATED SERVICES</v>
          </cell>
        </row>
        <row r="1158">
          <cell r="A1158" t="str">
            <v>I014</v>
          </cell>
          <cell r="B1158" t="str">
            <v>INDUSTRIAL UDYOG</v>
          </cell>
        </row>
        <row r="1159">
          <cell r="A1159" t="str">
            <v>I015</v>
          </cell>
          <cell r="B1159" t="str">
            <v>INDUSTRIAL GAS SUPPLY AGENCY</v>
          </cell>
        </row>
        <row r="1160">
          <cell r="A1160" t="str">
            <v>I016</v>
          </cell>
          <cell r="B1160" t="str">
            <v>INDO PETROLEUM</v>
          </cell>
        </row>
        <row r="1161">
          <cell r="A1161" t="str">
            <v>I017</v>
          </cell>
          <cell r="B1161" t="str">
            <v>INDER SONS</v>
          </cell>
        </row>
        <row r="1162">
          <cell r="A1162" t="str">
            <v>I018</v>
          </cell>
          <cell r="B1162" t="str">
            <v>ISHAN TRADING CORPORATION</v>
          </cell>
        </row>
        <row r="1163">
          <cell r="A1163" t="str">
            <v>I019</v>
          </cell>
          <cell r="B1163" t="str">
            <v>INDIA ENGG.</v>
          </cell>
        </row>
        <row r="1164">
          <cell r="A1164" t="str">
            <v>I020</v>
          </cell>
          <cell r="B1164" t="str">
            <v>INDCON CONTRACTORS</v>
          </cell>
        </row>
        <row r="1165">
          <cell r="A1165" t="str">
            <v>I021</v>
          </cell>
          <cell r="B1165" t="str">
            <v>I S BUILDING MATERIAL CARRIER</v>
          </cell>
        </row>
        <row r="1166">
          <cell r="A1166" t="str">
            <v>I022</v>
          </cell>
          <cell r="B1166" t="str">
            <v>I J YADAV</v>
          </cell>
        </row>
        <row r="1167">
          <cell r="A1167" t="str">
            <v>I023</v>
          </cell>
          <cell r="B1167" t="str">
            <v>ISHAN BUILDERS</v>
          </cell>
        </row>
        <row r="1168">
          <cell r="A1168" t="str">
            <v>I024</v>
          </cell>
          <cell r="B1168" t="str">
            <v>INDIA GYPSUM LTD.</v>
          </cell>
        </row>
        <row r="1169">
          <cell r="A1169" t="str">
            <v>I025</v>
          </cell>
          <cell r="B1169" t="str">
            <v>I S KHOKHAR</v>
          </cell>
        </row>
        <row r="1170">
          <cell r="A1170" t="str">
            <v>I026</v>
          </cell>
          <cell r="B1170" t="str">
            <v>IQBAL BROTHERS</v>
          </cell>
        </row>
        <row r="1171">
          <cell r="A1171" t="str">
            <v>I027</v>
          </cell>
          <cell r="B1171" t="str">
            <v>INDRA FREIGHT CARRIER</v>
          </cell>
        </row>
        <row r="1172">
          <cell r="A1172" t="str">
            <v>I028</v>
          </cell>
          <cell r="B1172" t="str">
            <v>ISHWAR LAL(INOP.)</v>
          </cell>
        </row>
        <row r="1173">
          <cell r="A1173" t="str">
            <v>I029</v>
          </cell>
          <cell r="B1173" t="str">
            <v>INTERNATIONAL COMPUTER INSTITUTE</v>
          </cell>
        </row>
        <row r="1174">
          <cell r="A1174" t="str">
            <v>I030</v>
          </cell>
          <cell r="B1174" t="str">
            <v>INDIAN INSTITUTE OF TECHNOLOGY</v>
          </cell>
        </row>
        <row r="1175">
          <cell r="A1175" t="str">
            <v>I031</v>
          </cell>
          <cell r="B1175" t="str">
            <v>INDERJEET SINGH</v>
          </cell>
        </row>
        <row r="1176">
          <cell r="A1176" t="str">
            <v>I032</v>
          </cell>
          <cell r="B1176" t="str">
            <v>INDER DEV</v>
          </cell>
        </row>
        <row r="1177">
          <cell r="A1177" t="str">
            <v>I033</v>
          </cell>
          <cell r="B1177" t="str">
            <v>INDIA TILES &amp; MARBLE HOUSE</v>
          </cell>
        </row>
        <row r="1178">
          <cell r="A1178" t="str">
            <v>I034</v>
          </cell>
          <cell r="B1178" t="str">
            <v>INDIAN TRANSFORMERS &amp; ELECTRICALS</v>
          </cell>
        </row>
        <row r="1179">
          <cell r="A1179" t="str">
            <v>I035</v>
          </cell>
          <cell r="B1179" t="str">
            <v>INDUSTRIAL MANAGEMENT ACADEMY</v>
          </cell>
        </row>
        <row r="1180">
          <cell r="A1180" t="str">
            <v>I036</v>
          </cell>
          <cell r="B1180" t="str">
            <v>INDIAN OIL &amp; CHEMICAL</v>
          </cell>
        </row>
        <row r="1181">
          <cell r="A1181" t="str">
            <v>I037</v>
          </cell>
          <cell r="B1181" t="str">
            <v>INDUSTRIAL FIRE ENGINEERS</v>
          </cell>
        </row>
        <row r="1182">
          <cell r="A1182" t="str">
            <v>I038</v>
          </cell>
          <cell r="B1182" t="str">
            <v>INDIA CANVAS COMPANY</v>
          </cell>
        </row>
        <row r="1183">
          <cell r="A1183" t="str">
            <v>I039</v>
          </cell>
          <cell r="B1183" t="str">
            <v>INTERNATIONAL PETROCHEMICALS</v>
          </cell>
        </row>
        <row r="1184">
          <cell r="A1184" t="str">
            <v>I040</v>
          </cell>
          <cell r="B1184" t="str">
            <v>INDUSTRIAL SWITCHGEARS</v>
          </cell>
        </row>
        <row r="1185">
          <cell r="A1185" t="str">
            <v>I041</v>
          </cell>
          <cell r="B1185" t="str">
            <v>ISHITA ENTERPRISES</v>
          </cell>
        </row>
        <row r="1186">
          <cell r="A1186" t="str">
            <v>I042</v>
          </cell>
          <cell r="B1186" t="str">
            <v>IRIS COMPUTERS LTD.</v>
          </cell>
        </row>
        <row r="1187">
          <cell r="A1187" t="str">
            <v>I043</v>
          </cell>
          <cell r="B1187" t="str">
            <v>IDEAL ENTERPRISES</v>
          </cell>
        </row>
        <row r="1188">
          <cell r="A1188" t="str">
            <v>I044</v>
          </cell>
          <cell r="B1188" t="str">
            <v>INDIA GYPSUM LTD.</v>
          </cell>
        </row>
        <row r="1189">
          <cell r="A1189" t="str">
            <v>I045</v>
          </cell>
          <cell r="B1189" t="str">
            <v>INTEGRATED ENGINEERS &amp; CONTRACTORS</v>
          </cell>
        </row>
        <row r="1190">
          <cell r="A1190" t="str">
            <v>I046</v>
          </cell>
          <cell r="B1190" t="str">
            <v>INDIAN OIL CORPORATION LTD.</v>
          </cell>
        </row>
        <row r="1191">
          <cell r="A1191" t="str">
            <v>I047</v>
          </cell>
          <cell r="B1191" t="str">
            <v>INTERNATIONAL CONSULTANCY SERVICES</v>
          </cell>
        </row>
        <row r="1192">
          <cell r="A1192" t="str">
            <v>I048</v>
          </cell>
          <cell r="B1192" t="str">
            <v>INTEGRATED ENG. SERVICE</v>
          </cell>
        </row>
        <row r="1193">
          <cell r="A1193" t="str">
            <v>I049</v>
          </cell>
          <cell r="B1193" t="str">
            <v>INTAGLIO</v>
          </cell>
        </row>
        <row r="1194">
          <cell r="A1194" t="str">
            <v>I050</v>
          </cell>
          <cell r="B1194" t="str">
            <v>INTECO COLLOIDS PVT. LTD.</v>
          </cell>
        </row>
        <row r="1195">
          <cell r="A1195" t="str">
            <v>I051</v>
          </cell>
          <cell r="B1195" t="str">
            <v>IRRIGATION ENGINEERING CO. (I) LTD.</v>
          </cell>
        </row>
        <row r="1196">
          <cell r="A1196" t="str">
            <v>I052</v>
          </cell>
          <cell r="B1196" t="str">
            <v>ISHA CONSULTANTS (P) LTD.</v>
          </cell>
        </row>
        <row r="1197">
          <cell r="A1197" t="str">
            <v>I053</v>
          </cell>
          <cell r="B1197" t="str">
            <v>INDUSTRIAL OIL COMPANY</v>
          </cell>
        </row>
        <row r="1198">
          <cell r="A1198" t="str">
            <v>I054</v>
          </cell>
          <cell r="B1198" t="str">
            <v>IMAGINI PERSPECTIVES &amp; MODEL MAKERS</v>
          </cell>
        </row>
        <row r="1199">
          <cell r="A1199" t="str">
            <v>I055</v>
          </cell>
          <cell r="B1199" t="str">
            <v>INDERSEN BRIJ MOHAN</v>
          </cell>
        </row>
        <row r="1200">
          <cell r="A1200" t="str">
            <v>I056</v>
          </cell>
          <cell r="B1200" t="str">
            <v>INDIAN RAYON &amp; INDUSTRIES LIMITED</v>
          </cell>
        </row>
        <row r="1201">
          <cell r="A1201" t="str">
            <v>I057</v>
          </cell>
          <cell r="B1201" t="str">
            <v>IMPAQ ELECTRONICS PVT.LTD</v>
          </cell>
        </row>
        <row r="1202">
          <cell r="A1202" t="str">
            <v>I058</v>
          </cell>
          <cell r="B1202" t="str">
            <v>I S SAXENA &amp; COMPANY</v>
          </cell>
        </row>
        <row r="1203">
          <cell r="A1203" t="str">
            <v>I059</v>
          </cell>
          <cell r="B1203" t="str">
            <v>I.CHAN THIM</v>
          </cell>
        </row>
        <row r="1204">
          <cell r="A1204" t="str">
            <v>I060</v>
          </cell>
          <cell r="B1204" t="str">
            <v>INCHCAPE INDUSTRIAL</v>
          </cell>
        </row>
        <row r="1205">
          <cell r="A1205" t="str">
            <v>I061</v>
          </cell>
          <cell r="B1205" t="str">
            <v>INNOVA TELECOM</v>
          </cell>
        </row>
        <row r="1206">
          <cell r="A1206" t="str">
            <v>I062</v>
          </cell>
          <cell r="B1206" t="str">
            <v>IRRIGATION PRODUCTS INTERNATIONAL(P)LTD.</v>
          </cell>
        </row>
        <row r="1207">
          <cell r="A1207" t="str">
            <v>I063</v>
          </cell>
          <cell r="B1207" t="str">
            <v>INDO MOBIL LIMITED</v>
          </cell>
        </row>
        <row r="1208">
          <cell r="A1208" t="str">
            <v>I064</v>
          </cell>
          <cell r="B1208" t="str">
            <v>ISWAR ELECTRICALS &amp; REPAIRING WORKS</v>
          </cell>
        </row>
        <row r="1209">
          <cell r="A1209" t="str">
            <v>I065</v>
          </cell>
          <cell r="B1209" t="str">
            <v>ISPAT TRADING CORPORATION</v>
          </cell>
        </row>
        <row r="1210">
          <cell r="A1210" t="str">
            <v>I801</v>
          </cell>
          <cell r="B1210" t="str">
            <v>INDER PRAKASH JAUHRI</v>
          </cell>
        </row>
        <row r="1211">
          <cell r="A1211" t="str">
            <v>I802</v>
          </cell>
          <cell r="B1211" t="str">
            <v>I BENJAMIN</v>
          </cell>
        </row>
        <row r="1212">
          <cell r="A1212" t="str">
            <v>I803</v>
          </cell>
          <cell r="B1212" t="str">
            <v>INDIRA PURI</v>
          </cell>
        </row>
        <row r="1213">
          <cell r="A1213" t="str">
            <v>J001</v>
          </cell>
          <cell r="B1213" t="str">
            <v>JAI BHAGWAN</v>
          </cell>
        </row>
        <row r="1214">
          <cell r="A1214" t="str">
            <v>J002</v>
          </cell>
          <cell r="B1214" t="str">
            <v>JAIN SPUN PIPE CO.</v>
          </cell>
        </row>
        <row r="1215">
          <cell r="A1215" t="str">
            <v>J003</v>
          </cell>
          <cell r="B1215" t="str">
            <v>JENSON &amp; NICHOLSON (INDIA) LTD.</v>
          </cell>
        </row>
        <row r="1216">
          <cell r="A1216" t="str">
            <v>J004</v>
          </cell>
          <cell r="B1216" t="str">
            <v>J.RAJ CHAWLA</v>
          </cell>
        </row>
        <row r="1217">
          <cell r="A1217" t="str">
            <v>J005</v>
          </cell>
          <cell r="B1217" t="str">
            <v>JYOTI OIL CARRIERS</v>
          </cell>
        </row>
        <row r="1218">
          <cell r="A1218" t="str">
            <v>J006</v>
          </cell>
          <cell r="B1218" t="str">
            <v>J.K UDAIPUR UDYOG LTD.</v>
          </cell>
        </row>
        <row r="1219">
          <cell r="A1219" t="str">
            <v>J007</v>
          </cell>
          <cell r="B1219" t="str">
            <v>JINDAL TRADING CORPORATION</v>
          </cell>
        </row>
        <row r="1220">
          <cell r="A1220" t="str">
            <v>J008</v>
          </cell>
          <cell r="B1220" t="str">
            <v>JAIN ALLIED SUPPLIERS.</v>
          </cell>
        </row>
        <row r="1221">
          <cell r="A1221" t="str">
            <v>J009</v>
          </cell>
          <cell r="B1221" t="str">
            <v>JAYSHREE TEAKWOOD P. LTD.</v>
          </cell>
        </row>
        <row r="1222">
          <cell r="A1222" t="str">
            <v>J010</v>
          </cell>
          <cell r="B1222" t="str">
            <v>JAIN CEMENT &amp; IRON TRADERS</v>
          </cell>
        </row>
        <row r="1223">
          <cell r="A1223" t="str">
            <v>J011</v>
          </cell>
          <cell r="B1223" t="str">
            <v>JAMSHED ALI</v>
          </cell>
        </row>
        <row r="1224">
          <cell r="A1224" t="str">
            <v>J012</v>
          </cell>
          <cell r="B1224" t="str">
            <v>JYOTIKA GRANITES (P) LTD.</v>
          </cell>
        </row>
        <row r="1225">
          <cell r="A1225" t="str">
            <v>J013</v>
          </cell>
          <cell r="B1225" t="str">
            <v>JUPITER NO-BREAK SYSTEMS LTD.</v>
          </cell>
        </row>
        <row r="1226">
          <cell r="A1226" t="str">
            <v>J014</v>
          </cell>
          <cell r="B1226" t="str">
            <v>J.B.BUILDER</v>
          </cell>
        </row>
        <row r="1227">
          <cell r="A1227" t="str">
            <v>J015</v>
          </cell>
          <cell r="B1227" t="str">
            <v>JAI GAS AGENCY</v>
          </cell>
        </row>
        <row r="1228">
          <cell r="A1228" t="str">
            <v>J016</v>
          </cell>
          <cell r="B1228" t="str">
            <v>JAGDISH CONSTRUCTION COMPANY</v>
          </cell>
        </row>
        <row r="1229">
          <cell r="A1229" t="str">
            <v>J017</v>
          </cell>
          <cell r="B1229" t="str">
            <v>JAS ENTERPRISES</v>
          </cell>
        </row>
        <row r="1230">
          <cell r="A1230" t="str">
            <v>J018</v>
          </cell>
          <cell r="B1230" t="str">
            <v>JAL DHARA SALES CORPORATION</v>
          </cell>
        </row>
        <row r="1231">
          <cell r="A1231" t="str">
            <v>J019</v>
          </cell>
          <cell r="B1231" t="str">
            <v>JAGDEV PASWAN</v>
          </cell>
        </row>
        <row r="1232">
          <cell r="A1232" t="str">
            <v>J020</v>
          </cell>
          <cell r="B1232" t="str">
            <v>JAYPEE ENGINEERING &amp; CONSTRUCTION CO.</v>
          </cell>
        </row>
        <row r="1233">
          <cell r="A1233" t="str">
            <v>J021</v>
          </cell>
          <cell r="B1233" t="str">
            <v>JHANVI CONTRACTOR</v>
          </cell>
        </row>
        <row r="1234">
          <cell r="A1234" t="str">
            <v>J022</v>
          </cell>
          <cell r="B1234" t="str">
            <v>JAI BHAGWATI BARDNA STORE</v>
          </cell>
        </row>
        <row r="1235">
          <cell r="A1235" t="str">
            <v>J023</v>
          </cell>
          <cell r="B1235" t="str">
            <v>JWALA SERVICE STATION</v>
          </cell>
        </row>
        <row r="1236">
          <cell r="A1236" t="str">
            <v>J024</v>
          </cell>
          <cell r="B1236" t="str">
            <v>J M BUILDERS</v>
          </cell>
        </row>
        <row r="1237">
          <cell r="A1237" t="str">
            <v>J025</v>
          </cell>
          <cell r="B1237" t="str">
            <v>JAGDISH MATERIAL CARRIER</v>
          </cell>
        </row>
        <row r="1238">
          <cell r="A1238" t="str">
            <v>J026</v>
          </cell>
          <cell r="B1238" t="str">
            <v>JASORIA TRADING CO.</v>
          </cell>
        </row>
        <row r="1239">
          <cell r="A1239" t="str">
            <v>J027</v>
          </cell>
          <cell r="B1239" t="str">
            <v>JAINCO ASSOCIATES</v>
          </cell>
        </row>
        <row r="1240">
          <cell r="A1240" t="str">
            <v>J028</v>
          </cell>
          <cell r="B1240" t="str">
            <v>JITENDER KUMAR</v>
          </cell>
        </row>
        <row r="1241">
          <cell r="A1241" t="str">
            <v>J029</v>
          </cell>
          <cell r="B1241" t="str">
            <v>JAI BHAGWATI TRADING CO.</v>
          </cell>
        </row>
        <row r="1242">
          <cell r="A1242" t="str">
            <v>J030</v>
          </cell>
          <cell r="B1242" t="str">
            <v>JASWANT SINGH</v>
          </cell>
        </row>
        <row r="1243">
          <cell r="A1243" t="str">
            <v>J031</v>
          </cell>
          <cell r="B1243" t="str">
            <v>JANARDHAN PANDEY</v>
          </cell>
        </row>
        <row r="1244">
          <cell r="A1244" t="str">
            <v>J032</v>
          </cell>
          <cell r="B1244" t="str">
            <v>J K CEMENT WORKS</v>
          </cell>
        </row>
        <row r="1245">
          <cell r="A1245" t="str">
            <v>J033</v>
          </cell>
          <cell r="B1245" t="str">
            <v>JASBIR SINGH</v>
          </cell>
        </row>
        <row r="1246">
          <cell r="A1246" t="str">
            <v>J034</v>
          </cell>
          <cell r="B1246" t="str">
            <v>JAI PAL</v>
          </cell>
        </row>
        <row r="1247">
          <cell r="A1247" t="str">
            <v>J035</v>
          </cell>
          <cell r="B1247" t="str">
            <v>JINDAL CONSTRUCTION</v>
          </cell>
        </row>
        <row r="1248">
          <cell r="A1248" t="str">
            <v>J036</v>
          </cell>
          <cell r="B1248" t="str">
            <v>J B ASSOCIATES</v>
          </cell>
        </row>
        <row r="1249">
          <cell r="A1249" t="str">
            <v>J037</v>
          </cell>
          <cell r="B1249" t="str">
            <v>JAIN &amp; CO.</v>
          </cell>
        </row>
        <row r="1250">
          <cell r="A1250" t="str">
            <v>J038</v>
          </cell>
          <cell r="B1250" t="str">
            <v>J P BUILDERS</v>
          </cell>
        </row>
        <row r="1251">
          <cell r="A1251" t="str">
            <v>J039</v>
          </cell>
          <cell r="B1251" t="str">
            <v>JEET RAM</v>
          </cell>
        </row>
        <row r="1252">
          <cell r="A1252" t="str">
            <v>J040</v>
          </cell>
          <cell r="B1252" t="str">
            <v>JAI KANTH</v>
          </cell>
        </row>
        <row r="1253">
          <cell r="A1253" t="str">
            <v>J041</v>
          </cell>
          <cell r="B1253" t="str">
            <v>J P INDUSTRIES</v>
          </cell>
        </row>
        <row r="1254">
          <cell r="A1254" t="str">
            <v>J042</v>
          </cell>
          <cell r="B1254" t="str">
            <v>JOGENDEER KUMAR</v>
          </cell>
        </row>
        <row r="1255">
          <cell r="A1255" t="str">
            <v>J043</v>
          </cell>
          <cell r="B1255" t="str">
            <v>JUGNU CONSTRUCTIONS</v>
          </cell>
        </row>
        <row r="1256">
          <cell r="A1256" t="str">
            <v>J044</v>
          </cell>
          <cell r="B1256" t="str">
            <v>JAIN MARBLE CO.</v>
          </cell>
        </row>
        <row r="1257">
          <cell r="A1257" t="str">
            <v>J045</v>
          </cell>
          <cell r="B1257" t="str">
            <v>JYOTO ROLLING SHUTTERS INDUSTRIES</v>
          </cell>
        </row>
        <row r="1258">
          <cell r="A1258" t="str">
            <v>J046</v>
          </cell>
          <cell r="B1258" t="str">
            <v>JYOTI CONSTRUCTION CO.</v>
          </cell>
        </row>
        <row r="1259">
          <cell r="A1259" t="str">
            <v>J047</v>
          </cell>
          <cell r="B1259" t="str">
            <v>JAMSHED CONSTRUCTION MACHINERY CO.</v>
          </cell>
        </row>
        <row r="1260">
          <cell r="A1260" t="str">
            <v>J048</v>
          </cell>
          <cell r="B1260" t="str">
            <v>JIWAN LAL</v>
          </cell>
        </row>
        <row r="1261">
          <cell r="A1261" t="str">
            <v>J049</v>
          </cell>
          <cell r="B1261" t="str">
            <v>J K MUKHERJEE</v>
          </cell>
        </row>
        <row r="1262">
          <cell r="A1262" t="str">
            <v>J050</v>
          </cell>
          <cell r="B1262" t="str">
            <v>JANEJA BHATTA(INOP.)</v>
          </cell>
        </row>
        <row r="1263">
          <cell r="A1263" t="str">
            <v>J051</v>
          </cell>
          <cell r="B1263" t="str">
            <v>JASVINDER SINGH BALESH(INOP.)</v>
          </cell>
        </row>
        <row r="1264">
          <cell r="A1264" t="str">
            <v>J052</v>
          </cell>
          <cell r="B1264" t="str">
            <v>JAIN ENTERPRISES</v>
          </cell>
        </row>
        <row r="1265">
          <cell r="A1265" t="str">
            <v>J053</v>
          </cell>
          <cell r="B1265" t="str">
            <v>JASVINDER CONSTRUCTION CO.(INOP.)</v>
          </cell>
        </row>
        <row r="1266">
          <cell r="A1266" t="str">
            <v>J054</v>
          </cell>
          <cell r="B1266" t="str">
            <v>JANAK ENTERPRISES(INOP.)</v>
          </cell>
        </row>
        <row r="1267">
          <cell r="A1267" t="str">
            <v>J055</v>
          </cell>
          <cell r="B1267" t="str">
            <v>J.P.MISHRA(INOP.)</v>
          </cell>
        </row>
        <row r="1268">
          <cell r="A1268" t="str">
            <v>J056</v>
          </cell>
          <cell r="B1268" t="str">
            <v>JAGPRIYA PORTFOLIO &amp; TECHNOFIN SER P LTD</v>
          </cell>
        </row>
        <row r="1269">
          <cell r="A1269" t="str">
            <v>J057</v>
          </cell>
          <cell r="B1269" t="str">
            <v>JASWANT SINGH TONGAR</v>
          </cell>
        </row>
        <row r="1270">
          <cell r="A1270" t="str">
            <v>J058</v>
          </cell>
          <cell r="B1270" t="str">
            <v>JANTA STATIONARY MART</v>
          </cell>
        </row>
        <row r="1271">
          <cell r="A1271" t="str">
            <v>J059</v>
          </cell>
          <cell r="B1271" t="str">
            <v>JAIN BOOK AGENCY</v>
          </cell>
        </row>
        <row r="1272">
          <cell r="A1272" t="str">
            <v>J060</v>
          </cell>
          <cell r="B1272" t="str">
            <v>JAYA SANITARY (P) LTD.</v>
          </cell>
        </row>
        <row r="1273">
          <cell r="A1273" t="str">
            <v>J061</v>
          </cell>
          <cell r="B1273" t="str">
            <v>JAYBEE INDUSTRIES</v>
          </cell>
        </row>
        <row r="1274">
          <cell r="A1274" t="str">
            <v>J062</v>
          </cell>
          <cell r="B1274" t="str">
            <v>JANARDHANA</v>
          </cell>
        </row>
        <row r="1275">
          <cell r="A1275" t="str">
            <v>J063</v>
          </cell>
          <cell r="B1275" t="str">
            <v>J ELECTRONICS</v>
          </cell>
        </row>
        <row r="1276">
          <cell r="A1276" t="str">
            <v>J064</v>
          </cell>
          <cell r="B1276" t="str">
            <v>JAI BHAGWAN BUILDING MATERIAL CARRIERS</v>
          </cell>
        </row>
        <row r="1277">
          <cell r="A1277" t="str">
            <v>J065</v>
          </cell>
          <cell r="B1277" t="str">
            <v>JUNEJA &amp; ASSOCIATES</v>
          </cell>
        </row>
        <row r="1278">
          <cell r="A1278" t="str">
            <v>J066</v>
          </cell>
          <cell r="B1278" t="str">
            <v>JASBIR SINGH (DELHI)</v>
          </cell>
        </row>
        <row r="1279">
          <cell r="A1279" t="str">
            <v>J067</v>
          </cell>
          <cell r="B1279" t="str">
            <v>JAIN BARTAN BHANDAR</v>
          </cell>
        </row>
        <row r="1280">
          <cell r="A1280" t="str">
            <v>J068</v>
          </cell>
          <cell r="B1280" t="str">
            <v>JAYANTI BUSINESS MACHINES LTD.</v>
          </cell>
        </row>
        <row r="1281">
          <cell r="A1281" t="str">
            <v>J069</v>
          </cell>
          <cell r="B1281" t="str">
            <v>JAIN ELECTRICALS &amp; ELECTRONICS</v>
          </cell>
        </row>
        <row r="1282">
          <cell r="A1282" t="str">
            <v>J070</v>
          </cell>
          <cell r="B1282" t="str">
            <v>JASBIR SINGH</v>
          </cell>
        </row>
        <row r="1283">
          <cell r="A1283" t="str">
            <v>J071</v>
          </cell>
          <cell r="B1283" t="str">
            <v>J.D. CRUZ</v>
          </cell>
        </row>
        <row r="1284">
          <cell r="A1284" t="str">
            <v>J072</v>
          </cell>
          <cell r="B1284" t="str">
            <v>JAGAN NATH GUPTA &amp; CO</v>
          </cell>
        </row>
        <row r="1285">
          <cell r="A1285" t="str">
            <v>J073</v>
          </cell>
          <cell r="B1285" t="str">
            <v>J.K. ENTERPRISES</v>
          </cell>
        </row>
        <row r="1286">
          <cell r="A1286" t="str">
            <v>J074</v>
          </cell>
          <cell r="B1286" t="str">
            <v>JC ANAND (CONSULTANT)</v>
          </cell>
        </row>
        <row r="1287">
          <cell r="A1287" t="str">
            <v>J075</v>
          </cell>
          <cell r="B1287" t="str">
            <v>JAIN INDUSTRIAL STORE</v>
          </cell>
        </row>
        <row r="1288">
          <cell r="A1288" t="str">
            <v>J076</v>
          </cell>
          <cell r="B1288" t="str">
            <v>JAI JAI RAM  SINGH</v>
          </cell>
        </row>
        <row r="1289">
          <cell r="A1289" t="str">
            <v>J077</v>
          </cell>
          <cell r="B1289" t="str">
            <v>COL JIS BRAR</v>
          </cell>
        </row>
        <row r="1290">
          <cell r="A1290" t="str">
            <v>J078</v>
          </cell>
          <cell r="B1290" t="str">
            <v>J.C. SETH (ADVOCATOR)</v>
          </cell>
        </row>
        <row r="1291">
          <cell r="A1291" t="str">
            <v>J079</v>
          </cell>
          <cell r="B1291" t="str">
            <v>JAIN TAXI SERVICE</v>
          </cell>
        </row>
        <row r="1292">
          <cell r="A1292" t="str">
            <v>J080</v>
          </cell>
          <cell r="B1292" t="str">
            <v>J P BUILDING MATERIAL SUPPLIERS</v>
          </cell>
        </row>
        <row r="1293">
          <cell r="A1293" t="str">
            <v>J081</v>
          </cell>
          <cell r="B1293" t="str">
            <v>JINDAL ENTERPRISES FIRE SAFETY DIVISION</v>
          </cell>
        </row>
        <row r="1294">
          <cell r="A1294" t="str">
            <v>J082</v>
          </cell>
          <cell r="B1294" t="str">
            <v>J V &amp; SONS</v>
          </cell>
        </row>
        <row r="1295">
          <cell r="A1295" t="str">
            <v>J083</v>
          </cell>
          <cell r="B1295" t="str">
            <v>JAGDISH CHOUDHARY</v>
          </cell>
        </row>
        <row r="1296">
          <cell r="A1296" t="str">
            <v>J084</v>
          </cell>
          <cell r="B1296" t="str">
            <v>J.K WHITE CEMENT WORKS</v>
          </cell>
        </row>
        <row r="1297">
          <cell r="A1297" t="str">
            <v>J085</v>
          </cell>
          <cell r="B1297" t="str">
            <v>J.K. BUILDING MATERIAL CARRIER</v>
          </cell>
        </row>
        <row r="1298">
          <cell r="A1298" t="str">
            <v>J086</v>
          </cell>
          <cell r="B1298" t="str">
            <v>J.M. CONTRACTORS &amp; SUPPLIERS</v>
          </cell>
        </row>
        <row r="1299">
          <cell r="A1299" t="str">
            <v>J087</v>
          </cell>
          <cell r="B1299" t="str">
            <v>JAIN GOODS CARRIERS</v>
          </cell>
        </row>
        <row r="1300">
          <cell r="A1300" t="str">
            <v>J088</v>
          </cell>
          <cell r="B1300" t="str">
            <v>JAGJIT ENGINEERING PVT. LTD.</v>
          </cell>
        </row>
        <row r="1301">
          <cell r="A1301" t="str">
            <v>J089</v>
          </cell>
          <cell r="B1301" t="str">
            <v>J M SUPPLIERS</v>
          </cell>
        </row>
        <row r="1302">
          <cell r="A1302" t="str">
            <v>J090</v>
          </cell>
          <cell r="B1302" t="str">
            <v>JITENDER RATHORE</v>
          </cell>
        </row>
        <row r="1303">
          <cell r="A1303" t="str">
            <v>J091</v>
          </cell>
          <cell r="B1303" t="str">
            <v>JOGESH MANDAL</v>
          </cell>
        </row>
        <row r="1304">
          <cell r="A1304" t="str">
            <v>J092</v>
          </cell>
          <cell r="B1304" t="str">
            <v>JAQUAR &amp; CO. LTD.</v>
          </cell>
        </row>
        <row r="1305">
          <cell r="A1305" t="str">
            <v>J093</v>
          </cell>
          <cell r="B1305" t="str">
            <v>JAIN FRIEGHT CARRIER</v>
          </cell>
        </row>
        <row r="1306">
          <cell r="A1306" t="str">
            <v>J094</v>
          </cell>
          <cell r="B1306" t="str">
            <v>JAIN IRRIGATION SYSTEM LTD.</v>
          </cell>
        </row>
        <row r="1307">
          <cell r="A1307" t="str">
            <v>J095</v>
          </cell>
          <cell r="B1307" t="str">
            <v>JADE CORPORATION</v>
          </cell>
        </row>
        <row r="1308">
          <cell r="A1308" t="str">
            <v>J096</v>
          </cell>
          <cell r="B1308" t="str">
            <v>J H D E WIT EN ZONEN B V</v>
          </cell>
        </row>
        <row r="1309">
          <cell r="A1309" t="str">
            <v>J097</v>
          </cell>
          <cell r="B1309" t="str">
            <v>JOGSON &amp; CO.</v>
          </cell>
        </row>
        <row r="1310">
          <cell r="A1310" t="str">
            <v>J098</v>
          </cell>
          <cell r="B1310" t="str">
            <v>JINDAL FIRE SAFETY SERVICES</v>
          </cell>
        </row>
        <row r="1311">
          <cell r="A1311" t="str">
            <v>J099</v>
          </cell>
          <cell r="B1311" t="str">
            <v>JYOTI RUBBER UDYOG (INDIA) PVT. LTD.</v>
          </cell>
        </row>
        <row r="1312">
          <cell r="A1312" t="str">
            <v>J100</v>
          </cell>
          <cell r="B1312" t="str">
            <v>JAGDISH CHEMICALS</v>
          </cell>
        </row>
        <row r="1313">
          <cell r="A1313" t="str">
            <v>J101</v>
          </cell>
          <cell r="B1313" t="str">
            <v>JAIPAL</v>
          </cell>
        </row>
        <row r="1314">
          <cell r="A1314" t="str">
            <v>J102</v>
          </cell>
          <cell r="B1314" t="str">
            <v>JAYANT GRANITES PVT. LTD.</v>
          </cell>
        </row>
        <row r="1315">
          <cell r="A1315" t="str">
            <v>J103</v>
          </cell>
          <cell r="B1315" t="str">
            <v>JOGINDER SINGH YADAV</v>
          </cell>
        </row>
        <row r="1316">
          <cell r="A1316" t="str">
            <v>J104</v>
          </cell>
          <cell r="B1316" t="str">
            <v>JAINCO DIESEL SPARES</v>
          </cell>
        </row>
        <row r="1317">
          <cell r="A1317" t="str">
            <v>J105</v>
          </cell>
          <cell r="B1317" t="str">
            <v>JAI BHAGWATI IMPEX PVT. LTD.</v>
          </cell>
        </row>
        <row r="1318">
          <cell r="A1318" t="str">
            <v>J106</v>
          </cell>
          <cell r="B1318" t="str">
            <v>JUHI TRAVELS</v>
          </cell>
        </row>
        <row r="1319">
          <cell r="A1319" t="str">
            <v>J107</v>
          </cell>
          <cell r="B1319" t="str">
            <v>JUPITER TRADING COMPANY</v>
          </cell>
        </row>
        <row r="1320">
          <cell r="A1320" t="str">
            <v>J108</v>
          </cell>
          <cell r="B1320" t="str">
            <v>J.P.JAIN &amp;CO</v>
          </cell>
        </row>
        <row r="1321">
          <cell r="A1321" t="str">
            <v>J109</v>
          </cell>
          <cell r="B1321" t="str">
            <v>JADUPATI DAS</v>
          </cell>
        </row>
        <row r="1322">
          <cell r="A1322" t="str">
            <v>J110</v>
          </cell>
          <cell r="B1322" t="str">
            <v>JAGDAMBA NURSERY</v>
          </cell>
        </row>
        <row r="1323">
          <cell r="A1323" t="str">
            <v>J111</v>
          </cell>
          <cell r="B1323" t="str">
            <v>JAUHRI &amp; JAIN CONSULTANTS</v>
          </cell>
        </row>
        <row r="1324">
          <cell r="A1324" t="str">
            <v>J112</v>
          </cell>
          <cell r="B1324" t="str">
            <v>JAWAHAR LAL</v>
          </cell>
        </row>
        <row r="1325">
          <cell r="A1325" t="str">
            <v>J113</v>
          </cell>
          <cell r="B1325" t="str">
            <v>JAI DURGA TIMBERS</v>
          </cell>
        </row>
        <row r="1326">
          <cell r="A1326" t="str">
            <v>J114</v>
          </cell>
          <cell r="B1326" t="str">
            <v>JAGDISH STORE</v>
          </cell>
        </row>
        <row r="1327">
          <cell r="A1327" t="str">
            <v>J115</v>
          </cell>
          <cell r="B1327" t="str">
            <v>JAGDEEP SINGH</v>
          </cell>
        </row>
        <row r="1328">
          <cell r="A1328" t="str">
            <v>J116</v>
          </cell>
          <cell r="B1328" t="str">
            <v>JORDAN BUSINESS MACHINES</v>
          </cell>
        </row>
        <row r="1329">
          <cell r="A1329" t="str">
            <v>J117</v>
          </cell>
          <cell r="B1329" t="str">
            <v>JUPITER POWER ENGINEERS</v>
          </cell>
        </row>
        <row r="1330">
          <cell r="A1330" t="str">
            <v>J118</v>
          </cell>
          <cell r="B1330" t="str">
            <v>J.C.GIRDHAR TIRPAL (P) LTD.</v>
          </cell>
        </row>
        <row r="1331">
          <cell r="A1331" t="str">
            <v>J119</v>
          </cell>
          <cell r="B1331" t="str">
            <v>JAI BHARAT NURSERY</v>
          </cell>
        </row>
        <row r="1332">
          <cell r="A1332" t="str">
            <v>J120</v>
          </cell>
          <cell r="B1332" t="str">
            <v>JAYANT K. FURNISHERS</v>
          </cell>
        </row>
        <row r="1333">
          <cell r="A1333" t="str">
            <v>J801</v>
          </cell>
          <cell r="B1333" t="str">
            <v>J B KAPOOR</v>
          </cell>
        </row>
        <row r="1334">
          <cell r="A1334" t="str">
            <v>J802</v>
          </cell>
          <cell r="B1334" t="str">
            <v>J U MATAI</v>
          </cell>
        </row>
        <row r="1335">
          <cell r="A1335" t="str">
            <v>J803</v>
          </cell>
          <cell r="B1335" t="str">
            <v>JITENDER S/O SHRI MUNSHIRAM</v>
          </cell>
        </row>
        <row r="1336">
          <cell r="A1336" t="str">
            <v>J804</v>
          </cell>
          <cell r="B1336" t="str">
            <v>JAI BHAGWAN S/O MUNSHI RAM</v>
          </cell>
        </row>
        <row r="1337">
          <cell r="A1337" t="str">
            <v>J901</v>
          </cell>
          <cell r="B1337" t="str">
            <v>JANAK SINGH(INOP.)</v>
          </cell>
        </row>
        <row r="1338">
          <cell r="A1338" t="str">
            <v>K001</v>
          </cell>
          <cell r="B1338" t="str">
            <v>KOSMECH STEEL INDUSTRIES</v>
          </cell>
        </row>
        <row r="1339">
          <cell r="A1339" t="str">
            <v>K002</v>
          </cell>
          <cell r="B1339" t="str">
            <v>KRISHNA CARRIER</v>
          </cell>
        </row>
        <row r="1340">
          <cell r="A1340" t="str">
            <v>K003</v>
          </cell>
          <cell r="B1340" t="str">
            <v>K.K MANHOLE &amp; GREATINGS CO. PVT. LTD.</v>
          </cell>
        </row>
        <row r="1341">
          <cell r="A1341" t="str">
            <v>K004</v>
          </cell>
          <cell r="B1341" t="str">
            <v>KILLICK NIXON LTD.</v>
          </cell>
        </row>
        <row r="1342">
          <cell r="A1342" t="str">
            <v>K005</v>
          </cell>
          <cell r="B1342" t="str">
            <v>K.K SPUN PIPE</v>
          </cell>
        </row>
        <row r="1343">
          <cell r="A1343" t="str">
            <v>K006</v>
          </cell>
          <cell r="B1343" t="str">
            <v>KINGSTON SALES</v>
          </cell>
        </row>
        <row r="1344">
          <cell r="A1344" t="str">
            <v>K007</v>
          </cell>
          <cell r="B1344" t="str">
            <v>KAJARIA CERAMIC LTD</v>
          </cell>
        </row>
        <row r="1345">
          <cell r="A1345" t="str">
            <v>K008</v>
          </cell>
          <cell r="B1345" t="str">
            <v>KAMAL TRADERS</v>
          </cell>
        </row>
        <row r="1346">
          <cell r="A1346" t="str">
            <v>K009</v>
          </cell>
          <cell r="B1346" t="str">
            <v>KAMESHWAR RAI</v>
          </cell>
        </row>
        <row r="1347">
          <cell r="A1347" t="str">
            <v>K010</v>
          </cell>
          <cell r="B1347" t="str">
            <v>KUMAR BUILDERS</v>
          </cell>
        </row>
        <row r="1348">
          <cell r="A1348" t="str">
            <v>K011</v>
          </cell>
          <cell r="B1348" t="str">
            <v>KARMA ENGINEERS</v>
          </cell>
        </row>
        <row r="1349">
          <cell r="A1349" t="str">
            <v>K012</v>
          </cell>
          <cell r="B1349" t="str">
            <v>KAENAT GLASS AGENCIES</v>
          </cell>
        </row>
        <row r="1350">
          <cell r="A1350" t="str">
            <v>K013</v>
          </cell>
          <cell r="B1350" t="str">
            <v>K C PLYWOOD INDUSTRIES</v>
          </cell>
        </row>
        <row r="1351">
          <cell r="A1351" t="str">
            <v>K014</v>
          </cell>
          <cell r="B1351" t="str">
            <v>K. K. CARRIER</v>
          </cell>
        </row>
        <row r="1352">
          <cell r="A1352" t="str">
            <v>K015</v>
          </cell>
          <cell r="B1352" t="str">
            <v>KALANDI</v>
          </cell>
        </row>
        <row r="1353">
          <cell r="A1353" t="str">
            <v>K016</v>
          </cell>
          <cell r="B1353" t="str">
            <v>KAUSHIK WELDING WORK</v>
          </cell>
        </row>
        <row r="1354">
          <cell r="A1354" t="str">
            <v>K017</v>
          </cell>
          <cell r="B1354" t="str">
            <v>KARNAL SINGH</v>
          </cell>
        </row>
        <row r="1355">
          <cell r="A1355" t="str">
            <v>K018</v>
          </cell>
          <cell r="B1355" t="str">
            <v>KRISHAN KUMAR</v>
          </cell>
        </row>
        <row r="1356">
          <cell r="A1356" t="str">
            <v>K019</v>
          </cell>
          <cell r="B1356" t="str">
            <v>KULWANT SINGH</v>
          </cell>
        </row>
        <row r="1357">
          <cell r="A1357" t="str">
            <v>K020</v>
          </cell>
          <cell r="B1357" t="str">
            <v>K. K. CONCRETE PRODUCTS.</v>
          </cell>
        </row>
        <row r="1358">
          <cell r="A1358" t="str">
            <v>K021</v>
          </cell>
          <cell r="B1358" t="str">
            <v>KHANDELWAL STEEL</v>
          </cell>
        </row>
        <row r="1359">
          <cell r="A1359" t="str">
            <v>K022</v>
          </cell>
          <cell r="B1359" t="str">
            <v>KOOLMAX</v>
          </cell>
        </row>
        <row r="1360">
          <cell r="A1360" t="str">
            <v>K023</v>
          </cell>
          <cell r="B1360" t="str">
            <v>KRAFT ENGINEERS</v>
          </cell>
        </row>
        <row r="1361">
          <cell r="A1361" t="str">
            <v>K024</v>
          </cell>
          <cell r="B1361" t="str">
            <v>KAILASH BUILDERS</v>
          </cell>
        </row>
        <row r="1362">
          <cell r="A1362" t="str">
            <v>K025</v>
          </cell>
          <cell r="B1362" t="str">
            <v>KABIPOXY CONSTRUCTION ENGINEERING</v>
          </cell>
        </row>
        <row r="1363">
          <cell r="A1363" t="str">
            <v>K026</v>
          </cell>
          <cell r="B1363" t="str">
            <v>KAPASAN TRANSPORT COMPANY</v>
          </cell>
        </row>
        <row r="1364">
          <cell r="A1364" t="str">
            <v>K027</v>
          </cell>
          <cell r="B1364" t="str">
            <v>K P CONSTRUCTIONS</v>
          </cell>
        </row>
        <row r="1365">
          <cell r="A1365" t="str">
            <v>K028</v>
          </cell>
          <cell r="B1365" t="str">
            <v>KIRAN PAL</v>
          </cell>
        </row>
        <row r="1366">
          <cell r="A1366" t="str">
            <v>K029</v>
          </cell>
          <cell r="B1366" t="str">
            <v>KALU RAM BUILDERS</v>
          </cell>
        </row>
        <row r="1367">
          <cell r="A1367" t="str">
            <v>K030</v>
          </cell>
          <cell r="B1367" t="str">
            <v>KHAN CHAND</v>
          </cell>
        </row>
        <row r="1368">
          <cell r="A1368" t="str">
            <v>K031</v>
          </cell>
          <cell r="B1368" t="str">
            <v>KAILASH</v>
          </cell>
        </row>
        <row r="1369">
          <cell r="A1369" t="str">
            <v>K032</v>
          </cell>
          <cell r="B1369" t="str">
            <v>KUMAR CONSTRUCTION</v>
          </cell>
        </row>
        <row r="1370">
          <cell r="A1370" t="str">
            <v>K033</v>
          </cell>
          <cell r="B1370" t="str">
            <v>KULWANT SINGH</v>
          </cell>
        </row>
        <row r="1371">
          <cell r="A1371" t="str">
            <v>K034</v>
          </cell>
          <cell r="B1371" t="str">
            <v>KHOSLA AGRO INDUSTRIES LTD.</v>
          </cell>
        </row>
        <row r="1372">
          <cell r="A1372" t="str">
            <v>K035</v>
          </cell>
          <cell r="B1372" t="str">
            <v>KESAR DAS KHERA &amp; CO.</v>
          </cell>
        </row>
        <row r="1373">
          <cell r="A1373" t="str">
            <v>K036</v>
          </cell>
          <cell r="B1373" t="str">
            <v>KUMAR WATER PROOFING</v>
          </cell>
        </row>
        <row r="1374">
          <cell r="A1374" t="str">
            <v>K037</v>
          </cell>
          <cell r="B1374" t="str">
            <v>KRISHNA CONTRACTOR</v>
          </cell>
        </row>
        <row r="1375">
          <cell r="A1375" t="str">
            <v>K038</v>
          </cell>
          <cell r="B1375" t="str">
            <v>KISHAN CHAND GUPTA &amp; ASSOCIATES</v>
          </cell>
        </row>
        <row r="1376">
          <cell r="A1376" t="str">
            <v>K039</v>
          </cell>
          <cell r="B1376" t="str">
            <v>KHANNA &amp; ANNADHANAM CHARTERED ACCOUNTANT</v>
          </cell>
        </row>
        <row r="1377">
          <cell r="A1377" t="str">
            <v>K040</v>
          </cell>
          <cell r="B1377" t="str">
            <v>K D TRANSPORT</v>
          </cell>
        </row>
        <row r="1378">
          <cell r="A1378" t="str">
            <v>K041</v>
          </cell>
          <cell r="B1378" t="str">
            <v>KOHLI STEEL FURNITURE</v>
          </cell>
        </row>
        <row r="1379">
          <cell r="A1379" t="str">
            <v>K042</v>
          </cell>
          <cell r="B1379" t="str">
            <v>KONE ELEVATORS (I) LTD.</v>
          </cell>
        </row>
        <row r="1380">
          <cell r="A1380" t="str">
            <v>K043</v>
          </cell>
          <cell r="B1380" t="str">
            <v>KARTICK CHAND BISWAS</v>
          </cell>
        </row>
        <row r="1381">
          <cell r="A1381" t="str">
            <v>K044</v>
          </cell>
          <cell r="B1381" t="str">
            <v>KANHAIYA LAL</v>
          </cell>
        </row>
        <row r="1382">
          <cell r="A1382" t="str">
            <v>K045</v>
          </cell>
          <cell r="B1382" t="str">
            <v>KAUSHAL &amp; CO.</v>
          </cell>
        </row>
        <row r="1383">
          <cell r="A1383" t="str">
            <v>K046</v>
          </cell>
          <cell r="B1383" t="str">
            <v>KRISHNA BUILDING STORE</v>
          </cell>
        </row>
        <row r="1384">
          <cell r="A1384" t="str">
            <v>K047</v>
          </cell>
          <cell r="B1384" t="str">
            <v>K T SERVICES</v>
          </cell>
        </row>
        <row r="1385">
          <cell r="A1385" t="str">
            <v>K048</v>
          </cell>
          <cell r="B1385" t="str">
            <v>KRISHNA KUMARI</v>
          </cell>
        </row>
        <row r="1386">
          <cell r="A1386" t="str">
            <v>K049</v>
          </cell>
          <cell r="B1386" t="str">
            <v>K K MEGHASHYAM</v>
          </cell>
        </row>
        <row r="1387">
          <cell r="A1387" t="str">
            <v>K050</v>
          </cell>
          <cell r="B1387" t="str">
            <v>KISAAN MACHINERY TRADERS</v>
          </cell>
        </row>
        <row r="1388">
          <cell r="A1388" t="str">
            <v>K051</v>
          </cell>
          <cell r="B1388" t="str">
            <v>KISHAN LAL</v>
          </cell>
        </row>
        <row r="1389">
          <cell r="A1389" t="str">
            <v>K052</v>
          </cell>
          <cell r="B1389" t="str">
            <v>KAMLA PARSAD</v>
          </cell>
        </row>
        <row r="1390">
          <cell r="A1390" t="str">
            <v>K053</v>
          </cell>
          <cell r="B1390" t="str">
            <v>KHANNA CONSTRUCTIONS</v>
          </cell>
        </row>
        <row r="1391">
          <cell r="A1391" t="str">
            <v>K054</v>
          </cell>
          <cell r="B1391" t="str">
            <v>KAUSHIK CONSTRUCTION CO.</v>
          </cell>
        </row>
        <row r="1392">
          <cell r="A1392" t="str">
            <v>K055</v>
          </cell>
          <cell r="B1392" t="str">
            <v>KALPAKA</v>
          </cell>
        </row>
        <row r="1393">
          <cell r="A1393" t="str">
            <v>K056</v>
          </cell>
          <cell r="B1393" t="str">
            <v>KANWAL SINGH TANWAR</v>
          </cell>
        </row>
        <row r="1394">
          <cell r="A1394" t="str">
            <v>K057</v>
          </cell>
          <cell r="B1394" t="str">
            <v>KARAN SINGH</v>
          </cell>
        </row>
        <row r="1395">
          <cell r="A1395" t="str">
            <v>K058</v>
          </cell>
          <cell r="B1395" t="str">
            <v>K K KAPILA</v>
          </cell>
        </row>
        <row r="1396">
          <cell r="A1396" t="str">
            <v>K059</v>
          </cell>
          <cell r="B1396" t="str">
            <v>K C CONSTRUCTION &amp; ENGINEERS</v>
          </cell>
        </row>
        <row r="1397">
          <cell r="A1397" t="str">
            <v>K060</v>
          </cell>
          <cell r="B1397" t="str">
            <v>K C BHUYAN &amp; ASSOCIATES</v>
          </cell>
        </row>
        <row r="1398">
          <cell r="A1398" t="str">
            <v>K061</v>
          </cell>
          <cell r="B1398" t="str">
            <v>KIDAR NATH</v>
          </cell>
        </row>
        <row r="1399">
          <cell r="A1399" t="str">
            <v>K062</v>
          </cell>
          <cell r="B1399" t="str">
            <v>KISHAN LAL</v>
          </cell>
        </row>
        <row r="1400">
          <cell r="A1400" t="str">
            <v>K063</v>
          </cell>
          <cell r="B1400" t="str">
            <v>KELVIN SYSTEMS (P) LTD.</v>
          </cell>
        </row>
        <row r="1401">
          <cell r="A1401" t="str">
            <v>K064</v>
          </cell>
          <cell r="B1401" t="str">
            <v>KARTAT SINGH KHURANA &amp; SONS</v>
          </cell>
        </row>
        <row r="1402">
          <cell r="A1402" t="str">
            <v>K065</v>
          </cell>
          <cell r="B1402" t="str">
            <v>KRISHNA TRADERS</v>
          </cell>
        </row>
        <row r="1403">
          <cell r="A1403" t="str">
            <v>K066</v>
          </cell>
          <cell r="B1403" t="str">
            <v>KOTAK MAHINDRA FINANCE LTD.</v>
          </cell>
        </row>
        <row r="1404">
          <cell r="A1404" t="str">
            <v>K067</v>
          </cell>
          <cell r="B1404" t="str">
            <v>K.GOPAL KANWAL(INOP.)</v>
          </cell>
        </row>
        <row r="1405">
          <cell r="A1405" t="str">
            <v>K068</v>
          </cell>
          <cell r="B1405" t="str">
            <v>K.K.AGARWAL &amp; ASSOCIATES P.LTD</v>
          </cell>
        </row>
        <row r="1406">
          <cell r="A1406" t="str">
            <v>K069</v>
          </cell>
          <cell r="B1406" t="str">
            <v>KAPOOR BUILDERS(INOP.)</v>
          </cell>
        </row>
        <row r="1407">
          <cell r="A1407" t="str">
            <v>K070</v>
          </cell>
          <cell r="B1407" t="str">
            <v>KIRLOSKAR ELECTRIC CO. LTD.</v>
          </cell>
        </row>
        <row r="1408">
          <cell r="A1408" t="str">
            <v>K071</v>
          </cell>
          <cell r="B1408" t="str">
            <v>K.L.KHANNA &amp; SONS</v>
          </cell>
        </row>
        <row r="1409">
          <cell r="A1409" t="str">
            <v>K072</v>
          </cell>
          <cell r="B1409" t="str">
            <v>K L RATHI STEELS LTD.</v>
          </cell>
        </row>
        <row r="1410">
          <cell r="A1410" t="str">
            <v>K073</v>
          </cell>
          <cell r="B1410" t="str">
            <v>KISHAN MACHINARY TRADERS</v>
          </cell>
        </row>
        <row r="1411">
          <cell r="A1411" t="str">
            <v>K074</v>
          </cell>
          <cell r="B1411" t="str">
            <v>KESCON</v>
          </cell>
        </row>
        <row r="1412">
          <cell r="A1412" t="str">
            <v>K075</v>
          </cell>
          <cell r="B1412" t="str">
            <v>KALOO RAM</v>
          </cell>
        </row>
        <row r="1413">
          <cell r="A1413" t="str">
            <v>K076</v>
          </cell>
          <cell r="B1413" t="str">
            <v>KALU RAM</v>
          </cell>
        </row>
        <row r="1414">
          <cell r="A1414" t="str">
            <v>K077</v>
          </cell>
          <cell r="B1414" t="str">
            <v>KANHAIYA</v>
          </cell>
        </row>
        <row r="1415">
          <cell r="A1415" t="str">
            <v>K078</v>
          </cell>
          <cell r="B1415" t="str">
            <v>KAMLESH RAI</v>
          </cell>
        </row>
        <row r="1416">
          <cell r="A1416" t="str">
            <v>K079</v>
          </cell>
          <cell r="B1416" t="str">
            <v>KISHAN</v>
          </cell>
        </row>
        <row r="1417">
          <cell r="A1417" t="str">
            <v>K080</v>
          </cell>
          <cell r="B1417" t="str">
            <v>KINGSTON SANITARY APPLIANCES PVT. LTD.</v>
          </cell>
        </row>
        <row r="1418">
          <cell r="A1418" t="str">
            <v>K081</v>
          </cell>
          <cell r="B1418" t="str">
            <v>KULJIT SINGH &amp; CO.</v>
          </cell>
        </row>
        <row r="1419">
          <cell r="A1419" t="str">
            <v>K082</v>
          </cell>
          <cell r="B1419" t="str">
            <v>KRISHNA ENTERPRISES</v>
          </cell>
        </row>
        <row r="1420">
          <cell r="A1420" t="str">
            <v>K083</v>
          </cell>
          <cell r="B1420" t="str">
            <v>K K CONSTRUCTION</v>
          </cell>
        </row>
        <row r="1421">
          <cell r="A1421" t="str">
            <v>K084</v>
          </cell>
          <cell r="B1421" t="str">
            <v>K G M ASSOCIATES</v>
          </cell>
        </row>
        <row r="1422">
          <cell r="A1422" t="str">
            <v>K085</v>
          </cell>
          <cell r="B1422" t="str">
            <v>K C K ENGINEERS (INDIA) PVT. LTD.</v>
          </cell>
        </row>
        <row r="1423">
          <cell r="A1423" t="str">
            <v>K086</v>
          </cell>
          <cell r="B1423" t="str">
            <v>KRISHNA MINERALS(INOP.)</v>
          </cell>
        </row>
        <row r="1424">
          <cell r="A1424" t="str">
            <v>K087</v>
          </cell>
          <cell r="B1424" t="str">
            <v>KILBURN REPRO GRPHICS LIMITED</v>
          </cell>
        </row>
        <row r="1425">
          <cell r="A1425" t="str">
            <v>K088</v>
          </cell>
          <cell r="B1425" t="str">
            <v>KARTAR SINGH CO.</v>
          </cell>
        </row>
        <row r="1426">
          <cell r="A1426" t="str">
            <v>K089</v>
          </cell>
          <cell r="B1426" t="str">
            <v>L C KAILASH &amp; ASSOCIATES</v>
          </cell>
        </row>
        <row r="1427">
          <cell r="A1427" t="str">
            <v>K090</v>
          </cell>
          <cell r="B1427" t="str">
            <v>KRISHNAN AND ASSOCIATED ENGINEERS</v>
          </cell>
        </row>
        <row r="1428">
          <cell r="A1428" t="str">
            <v>K091</v>
          </cell>
          <cell r="B1428" t="str">
            <v>KARTAR SINGH</v>
          </cell>
        </row>
        <row r="1429">
          <cell r="A1429" t="str">
            <v>K092</v>
          </cell>
          <cell r="B1429" t="str">
            <v>KIDARSONS INDUSTRIES PRIVATE LTD.</v>
          </cell>
        </row>
        <row r="1430">
          <cell r="A1430" t="str">
            <v>K093</v>
          </cell>
          <cell r="B1430" t="str">
            <v>KALINGA TRADE LINKERS INC.</v>
          </cell>
        </row>
        <row r="1431">
          <cell r="A1431" t="str">
            <v>K094</v>
          </cell>
          <cell r="B1431" t="str">
            <v>KRISHNA SRIVASTAV FABRICATOR</v>
          </cell>
        </row>
        <row r="1432">
          <cell r="A1432" t="str">
            <v>K095</v>
          </cell>
          <cell r="B1432" t="str">
            <v>KANWAR KRISHEN ASSOCIATES</v>
          </cell>
        </row>
        <row r="1433">
          <cell r="A1433" t="str">
            <v>K096</v>
          </cell>
          <cell r="B1433" t="str">
            <v>KULBIR SINGH</v>
          </cell>
        </row>
        <row r="1434">
          <cell r="A1434" t="str">
            <v>K097</v>
          </cell>
          <cell r="B1434" t="str">
            <v>KEWAL SONS</v>
          </cell>
        </row>
        <row r="1435">
          <cell r="A1435" t="str">
            <v>K098</v>
          </cell>
          <cell r="B1435" t="str">
            <v>KOOL MASTERS</v>
          </cell>
        </row>
        <row r="1436">
          <cell r="A1436" t="str">
            <v>K099</v>
          </cell>
          <cell r="B1436" t="str">
            <v>KESHAV ENTERPRISES</v>
          </cell>
        </row>
        <row r="1437">
          <cell r="A1437" t="str">
            <v>K100</v>
          </cell>
          <cell r="B1437" t="str">
            <v>KANIKA MARBLES</v>
          </cell>
        </row>
        <row r="1438">
          <cell r="A1438" t="str">
            <v>K101</v>
          </cell>
          <cell r="B1438" t="str">
            <v>KATIYANI ASSOCIATES</v>
          </cell>
        </row>
        <row r="1439">
          <cell r="A1439" t="str">
            <v>K102</v>
          </cell>
          <cell r="B1439" t="str">
            <v>DR. K NATH</v>
          </cell>
        </row>
        <row r="1440">
          <cell r="A1440" t="str">
            <v>K103</v>
          </cell>
          <cell r="B1440" t="str">
            <v>DR. KALPJEET NATH</v>
          </cell>
        </row>
        <row r="1441">
          <cell r="A1441" t="str">
            <v>K104</v>
          </cell>
          <cell r="B1441" t="str">
            <v>KISHORE KUMAR</v>
          </cell>
        </row>
        <row r="1442">
          <cell r="A1442" t="str">
            <v>K105</v>
          </cell>
          <cell r="B1442" t="str">
            <v>KHAITAN INDIA LIMITED</v>
          </cell>
        </row>
        <row r="1443">
          <cell r="A1443" t="str">
            <v>K106</v>
          </cell>
          <cell r="B1443" t="str">
            <v>KALYAN SINGH</v>
          </cell>
        </row>
        <row r="1444">
          <cell r="A1444" t="str">
            <v>K107</v>
          </cell>
          <cell r="B1444" t="str">
            <v>KATARIA AND SONS</v>
          </cell>
        </row>
        <row r="1445">
          <cell r="A1445" t="str">
            <v>K108</v>
          </cell>
          <cell r="B1445" t="str">
            <v>KAMALJIT SINGH</v>
          </cell>
        </row>
        <row r="1446">
          <cell r="A1446" t="str">
            <v>K109</v>
          </cell>
          <cell r="B1446" t="str">
            <v>KANAK PLASTIC</v>
          </cell>
        </row>
        <row r="1447">
          <cell r="A1447" t="str">
            <v>K110</v>
          </cell>
          <cell r="B1447" t="str">
            <v>KENT MALLEABLES PVT. LTD.</v>
          </cell>
        </row>
        <row r="1448">
          <cell r="A1448" t="str">
            <v>K111</v>
          </cell>
          <cell r="B1448" t="str">
            <v>KOOL SHOP</v>
          </cell>
        </row>
        <row r="1449">
          <cell r="A1449" t="str">
            <v>K112</v>
          </cell>
          <cell r="B1449" t="str">
            <v>KLG SYSTEL LTD.</v>
          </cell>
        </row>
        <row r="1450">
          <cell r="A1450" t="str">
            <v>K113</v>
          </cell>
          <cell r="B1450" t="str">
            <v>KRISHNA CONSTRUCTIONS</v>
          </cell>
        </row>
        <row r="1451">
          <cell r="A1451" t="str">
            <v>K114</v>
          </cell>
          <cell r="B1451" t="str">
            <v>KINJAL CONSTRUCTION CO. PVT. LTD.</v>
          </cell>
        </row>
        <row r="1452">
          <cell r="A1452" t="str">
            <v>K115</v>
          </cell>
          <cell r="B1452" t="str">
            <v>KASHMIR FURNITURE MART</v>
          </cell>
        </row>
        <row r="1453">
          <cell r="A1453" t="str">
            <v>K116</v>
          </cell>
          <cell r="B1453" t="str">
            <v>KRISHNA TUBEWELL XPERTS</v>
          </cell>
        </row>
        <row r="1454">
          <cell r="A1454" t="str">
            <v>K117</v>
          </cell>
          <cell r="B1454" t="str">
            <v>KRISHNA TOUR &amp; TRAVELS</v>
          </cell>
        </row>
        <row r="1455">
          <cell r="A1455" t="str">
            <v>K118</v>
          </cell>
          <cell r="B1455" t="str">
            <v>K T C (KANISHKA TRADING CO.)</v>
          </cell>
        </row>
        <row r="1456">
          <cell r="A1456" t="str">
            <v>K119</v>
          </cell>
          <cell r="B1456" t="str">
            <v>KUMAR TRADERS</v>
          </cell>
        </row>
        <row r="1457">
          <cell r="A1457" t="str">
            <v>K120</v>
          </cell>
          <cell r="B1457" t="str">
            <v>KAKKAR CARRIERS</v>
          </cell>
        </row>
        <row r="1458">
          <cell r="A1458" t="str">
            <v>K121</v>
          </cell>
          <cell r="B1458" t="str">
            <v>KATIYAYNI CONSORTIUM</v>
          </cell>
        </row>
        <row r="1459">
          <cell r="A1459" t="str">
            <v>K122</v>
          </cell>
          <cell r="B1459" t="str">
            <v>KAILASH</v>
          </cell>
        </row>
        <row r="1460">
          <cell r="A1460" t="str">
            <v>K123</v>
          </cell>
          <cell r="B1460" t="str">
            <v>KOHINOOR BUSINESS SYSTEM</v>
          </cell>
        </row>
        <row r="1461">
          <cell r="A1461" t="str">
            <v>K124</v>
          </cell>
          <cell r="B1461" t="str">
            <v>KONKRETE PRODUCTS CO.</v>
          </cell>
        </row>
        <row r="1462">
          <cell r="A1462" t="str">
            <v>K125</v>
          </cell>
          <cell r="B1462" t="str">
            <v>KARARA MUJASSME (INDIA)</v>
          </cell>
        </row>
        <row r="1463">
          <cell r="A1463" t="str">
            <v>K126</v>
          </cell>
          <cell r="B1463" t="str">
            <v>KRONE COMMUNICATION LTD.</v>
          </cell>
        </row>
        <row r="1464">
          <cell r="A1464" t="str">
            <v>K127</v>
          </cell>
          <cell r="B1464" t="str">
            <v>KRISHNA CONTINENTAL LTD.</v>
          </cell>
        </row>
        <row r="1465">
          <cell r="A1465" t="str">
            <v>K128</v>
          </cell>
          <cell r="B1465" t="str">
            <v>KRISHNA COMMUNICATIONS</v>
          </cell>
        </row>
        <row r="1466">
          <cell r="A1466" t="str">
            <v>K129</v>
          </cell>
          <cell r="B1466" t="str">
            <v>KIRAN NURSERY</v>
          </cell>
        </row>
        <row r="1467">
          <cell r="A1467" t="str">
            <v>K130</v>
          </cell>
          <cell r="B1467" t="str">
            <v>KRYPTON POWER CONTROLS INDIA PVT LTD</v>
          </cell>
        </row>
        <row r="1468">
          <cell r="A1468" t="str">
            <v>K131</v>
          </cell>
          <cell r="B1468" t="str">
            <v>KESELEC INDIA (PVT.) LTD.</v>
          </cell>
        </row>
        <row r="1469">
          <cell r="A1469" t="str">
            <v>K132</v>
          </cell>
          <cell r="B1469" t="str">
            <v>KHAN &amp; SONS</v>
          </cell>
        </row>
        <row r="1470">
          <cell r="A1470" t="str">
            <v>K133</v>
          </cell>
          <cell r="B1470" t="str">
            <v>KUMAR ENDECON PVT.LTD</v>
          </cell>
        </row>
        <row r="1471">
          <cell r="A1471" t="str">
            <v>K134</v>
          </cell>
          <cell r="B1471" t="str">
            <v>KUNDAN ISPAT PRIVATE LTD.</v>
          </cell>
        </row>
        <row r="1472">
          <cell r="A1472" t="str">
            <v>K135</v>
          </cell>
          <cell r="B1472" t="str">
            <v>KAUSHIK BULLDOZERS CO.</v>
          </cell>
        </row>
        <row r="1473">
          <cell r="A1473" t="str">
            <v>K136</v>
          </cell>
          <cell r="B1473" t="str">
            <v>KARTAR TYRE HOUSE</v>
          </cell>
        </row>
        <row r="1474">
          <cell r="A1474" t="str">
            <v>K137</v>
          </cell>
          <cell r="B1474" t="str">
            <v>KAPOOR ENTERPRISES</v>
          </cell>
        </row>
        <row r="1475">
          <cell r="A1475" t="str">
            <v>K138</v>
          </cell>
          <cell r="B1475" t="str">
            <v>K V ENTERPRISES</v>
          </cell>
        </row>
        <row r="1476">
          <cell r="A1476" t="str">
            <v>K139</v>
          </cell>
          <cell r="B1476" t="str">
            <v>KALPANA CONSTRUCTIONS</v>
          </cell>
        </row>
        <row r="1477">
          <cell r="A1477" t="str">
            <v>K140</v>
          </cell>
          <cell r="B1477" t="str">
            <v>KANBE &amp; CO.</v>
          </cell>
        </row>
        <row r="1478">
          <cell r="A1478" t="str">
            <v>K141</v>
          </cell>
          <cell r="B1478" t="str">
            <v>KALIA ENTERPRISES</v>
          </cell>
        </row>
        <row r="1479">
          <cell r="A1479" t="str">
            <v>K142</v>
          </cell>
          <cell r="B1479" t="str">
            <v>KRISHNA KUMARI MISHAR</v>
          </cell>
        </row>
        <row r="1480">
          <cell r="A1480" t="str">
            <v>K143</v>
          </cell>
          <cell r="B1480" t="str">
            <v>KRAFTINDIA</v>
          </cell>
        </row>
        <row r="1481">
          <cell r="A1481" t="str">
            <v>K144</v>
          </cell>
          <cell r="B1481" t="str">
            <v>KALYAN SINGH KHATANA STONE CONTRACTOR</v>
          </cell>
        </row>
        <row r="1482">
          <cell r="A1482" t="str">
            <v>K145</v>
          </cell>
          <cell r="B1482" t="str">
            <v>KANISHK TOUR'S &amp; TRAVELS</v>
          </cell>
        </row>
        <row r="1483">
          <cell r="A1483" t="str">
            <v>K146</v>
          </cell>
          <cell r="B1483" t="str">
            <v>KABIR TRADER</v>
          </cell>
        </row>
        <row r="1484">
          <cell r="A1484" t="str">
            <v>K147</v>
          </cell>
          <cell r="B1484" t="str">
            <v>KRISHNA CONSTRUCTION COMPANY PVT LTD</v>
          </cell>
        </row>
        <row r="1485">
          <cell r="A1485" t="str">
            <v>K148</v>
          </cell>
          <cell r="B1485" t="str">
            <v>KAMAL KUMAR</v>
          </cell>
        </row>
        <row r="1486">
          <cell r="A1486" t="str">
            <v>K801</v>
          </cell>
          <cell r="B1486" t="str">
            <v>KAMLA BHUTANI</v>
          </cell>
        </row>
        <row r="1487">
          <cell r="A1487" t="str">
            <v>K802</v>
          </cell>
          <cell r="B1487" t="str">
            <v>K SULAIMAN</v>
          </cell>
        </row>
        <row r="1488">
          <cell r="A1488" t="str">
            <v>K803</v>
          </cell>
          <cell r="B1488" t="str">
            <v>KHAZAN SINGH</v>
          </cell>
        </row>
        <row r="1489">
          <cell r="A1489" t="str">
            <v>K804</v>
          </cell>
          <cell r="B1489" t="str">
            <v>KAWALJIT KAUR</v>
          </cell>
        </row>
        <row r="1490">
          <cell r="A1490" t="str">
            <v>K805</v>
          </cell>
          <cell r="B1490" t="str">
            <v>KHALID M KHAN</v>
          </cell>
        </row>
        <row r="1491">
          <cell r="A1491" t="str">
            <v>K806</v>
          </cell>
          <cell r="B1491" t="str">
            <v>KAUSHALYA GUPTA</v>
          </cell>
        </row>
        <row r="1492">
          <cell r="A1492" t="str">
            <v>L001</v>
          </cell>
          <cell r="B1492" t="str">
            <v>LAWRENCE &amp; MAYO</v>
          </cell>
        </row>
        <row r="1493">
          <cell r="A1493" t="str">
            <v>L002</v>
          </cell>
          <cell r="B1493" t="str">
            <v>LAULS LIMITED</v>
          </cell>
        </row>
        <row r="1494">
          <cell r="A1494" t="str">
            <v>L003</v>
          </cell>
          <cell r="B1494" t="str">
            <v>LAXMI ENTERPRISES</v>
          </cell>
        </row>
        <row r="1495">
          <cell r="A1495" t="str">
            <v>L004</v>
          </cell>
          <cell r="B1495" t="str">
            <v>LAL CHAND</v>
          </cell>
        </row>
        <row r="1496">
          <cell r="A1496" t="str">
            <v>L005</v>
          </cell>
          <cell r="B1496" t="str">
            <v>LUCKY PEST CONTROL</v>
          </cell>
        </row>
        <row r="1497">
          <cell r="A1497" t="str">
            <v>L006</v>
          </cell>
          <cell r="B1497" t="str">
            <v>LARSEN &amp; TOUBRO LTD.</v>
          </cell>
        </row>
        <row r="1498">
          <cell r="A1498" t="str">
            <v>L007</v>
          </cell>
          <cell r="B1498" t="str">
            <v>LLOYD INSULATION INDIA LTD</v>
          </cell>
        </row>
        <row r="1499">
          <cell r="A1499" t="str">
            <v>L008</v>
          </cell>
          <cell r="B1499" t="str">
            <v>LOK RAM &amp; CO.</v>
          </cell>
        </row>
        <row r="1500">
          <cell r="A1500" t="str">
            <v>L009</v>
          </cell>
          <cell r="B1500" t="str">
            <v>LABOUR OFFICE</v>
          </cell>
        </row>
        <row r="1501">
          <cell r="A1501" t="str">
            <v>L010</v>
          </cell>
          <cell r="B1501" t="str">
            <v>LYNX</v>
          </cell>
        </row>
        <row r="1502">
          <cell r="A1502" t="str">
            <v>L011</v>
          </cell>
          <cell r="B1502" t="str">
            <v>LAXMI MARBLES</v>
          </cell>
        </row>
        <row r="1503">
          <cell r="A1503" t="str">
            <v>L012</v>
          </cell>
          <cell r="B1503" t="str">
            <v>LOK NATH</v>
          </cell>
        </row>
        <row r="1504">
          <cell r="A1504" t="str">
            <v>L013</v>
          </cell>
          <cell r="B1504" t="str">
            <v>LAXMAN PARSAD</v>
          </cell>
        </row>
        <row r="1505">
          <cell r="A1505" t="str">
            <v>L014</v>
          </cell>
          <cell r="B1505" t="str">
            <v>LAMA CONSTRUCTIONS</v>
          </cell>
        </row>
        <row r="1506">
          <cell r="A1506" t="str">
            <v>L015</v>
          </cell>
          <cell r="B1506" t="str">
            <v>LAGINA</v>
          </cell>
        </row>
        <row r="1507">
          <cell r="A1507" t="str">
            <v>L016</v>
          </cell>
          <cell r="B1507" t="str">
            <v>LITE METAL FABRICATOR</v>
          </cell>
        </row>
        <row r="1508">
          <cell r="A1508" t="str">
            <v>L017</v>
          </cell>
          <cell r="B1508" t="str">
            <v>LAXMI NARAYAN</v>
          </cell>
        </row>
        <row r="1509">
          <cell r="A1509" t="str">
            <v>L018</v>
          </cell>
          <cell r="B1509" t="str">
            <v>LAXMI CHAND</v>
          </cell>
        </row>
        <row r="1510">
          <cell r="A1510" t="str">
            <v>L019</v>
          </cell>
          <cell r="B1510" t="str">
            <v>LEVEL ONE(INOP.)</v>
          </cell>
        </row>
        <row r="1511">
          <cell r="A1511" t="str">
            <v>L020</v>
          </cell>
          <cell r="B1511" t="str">
            <v>LAXMI TRADING CO.(INOP.)</v>
          </cell>
        </row>
        <row r="1512">
          <cell r="A1512" t="str">
            <v>L021</v>
          </cell>
          <cell r="B1512" t="str">
            <v>LAXMAN SINGH(INOP.)</v>
          </cell>
        </row>
        <row r="1513">
          <cell r="A1513" t="str">
            <v>L022</v>
          </cell>
          <cell r="B1513" t="str">
            <v>LADJI MINERALS &amp; CHEMICALS IND(INOP.)</v>
          </cell>
        </row>
        <row r="1514">
          <cell r="A1514" t="str">
            <v>L023</v>
          </cell>
          <cell r="B1514" t="str">
            <v>LALLU RAM(INOP.)</v>
          </cell>
        </row>
        <row r="1515">
          <cell r="A1515" t="str">
            <v>L024</v>
          </cell>
          <cell r="B1515" t="str">
            <v>LAND MARK CONSTRUCTIONS(INOP.)</v>
          </cell>
        </row>
        <row r="1516">
          <cell r="A1516" t="str">
            <v>L025</v>
          </cell>
          <cell r="B1516" t="str">
            <v>LAKSHMI CEMENT (DIV OF JK CORP LTD)</v>
          </cell>
        </row>
        <row r="1517">
          <cell r="A1517" t="str">
            <v>L026</v>
          </cell>
          <cell r="B1517" t="str">
            <v>L &amp; I ENTERPRISES</v>
          </cell>
        </row>
        <row r="1518">
          <cell r="A1518" t="str">
            <v>L027</v>
          </cell>
          <cell r="B1518" t="str">
            <v>LEAD CONSULTANTS</v>
          </cell>
        </row>
        <row r="1519">
          <cell r="A1519" t="str">
            <v>L028</v>
          </cell>
          <cell r="B1519" t="str">
            <v>L&amp;Q SURVEYS (PVT.) LTD.</v>
          </cell>
        </row>
        <row r="1520">
          <cell r="A1520" t="str">
            <v>L029</v>
          </cell>
          <cell r="B1520" t="str">
            <v>L R KADIYALI &amp; ASSOCIATES</v>
          </cell>
        </row>
        <row r="1521">
          <cell r="A1521" t="str">
            <v>L030</v>
          </cell>
          <cell r="B1521" t="str">
            <v>LAKSHMI CARD CLOTHING MANUFACTURING CO.L</v>
          </cell>
        </row>
        <row r="1522">
          <cell r="A1522" t="str">
            <v>L031</v>
          </cell>
          <cell r="B1522" t="str">
            <v>LAXMI TIMBER STORES</v>
          </cell>
        </row>
        <row r="1523">
          <cell r="A1523" t="str">
            <v>L032</v>
          </cell>
          <cell r="B1523" t="str">
            <v>LOGICSTAT INTERNATIONAL PRIVATE LTD.</v>
          </cell>
        </row>
        <row r="1524">
          <cell r="A1524" t="str">
            <v>L033</v>
          </cell>
          <cell r="B1524" t="str">
            <v>LOK NATH (CONSULTANT)</v>
          </cell>
        </row>
        <row r="1525">
          <cell r="A1525" t="str">
            <v>L034</v>
          </cell>
          <cell r="B1525" t="str">
            <v>LARSEN &amp; TOUBRO LTD.</v>
          </cell>
        </row>
        <row r="1526">
          <cell r="A1526" t="str">
            <v>L035</v>
          </cell>
          <cell r="B1526" t="str">
            <v>LARSEN &amp; TOUBRO LTD.</v>
          </cell>
        </row>
        <row r="1527">
          <cell r="A1527" t="str">
            <v>L036</v>
          </cell>
          <cell r="B1527" t="str">
            <v>LAXMI STONE MILLS</v>
          </cell>
        </row>
        <row r="1528">
          <cell r="A1528" t="str">
            <v>L037</v>
          </cell>
          <cell r="B1528" t="str">
            <v>L A GROCERIES</v>
          </cell>
        </row>
        <row r="1529">
          <cell r="A1529" t="str">
            <v>L038</v>
          </cell>
          <cell r="B1529" t="str">
            <v>LALIT IRON STROE</v>
          </cell>
        </row>
        <row r="1530">
          <cell r="A1530" t="str">
            <v>L039</v>
          </cell>
          <cell r="B1530" t="str">
            <v>LUCKY DYERS &amp; DRY CLEANERS</v>
          </cell>
        </row>
        <row r="1531">
          <cell r="A1531" t="str">
            <v>L040</v>
          </cell>
          <cell r="B1531" t="str">
            <v>LABOUR LAW REPORTER</v>
          </cell>
        </row>
        <row r="1532">
          <cell r="A1532" t="str">
            <v>L041</v>
          </cell>
          <cell r="B1532" t="str">
            <v>LEADER ENGINEERING WORKS</v>
          </cell>
        </row>
        <row r="1533">
          <cell r="A1533" t="str">
            <v>L042</v>
          </cell>
          <cell r="B1533" t="str">
            <v>LALSON FURNITURES</v>
          </cell>
        </row>
        <row r="1534">
          <cell r="A1534" t="str">
            <v>L043</v>
          </cell>
          <cell r="B1534" t="str">
            <v>LAND BASE INDIA LTD.</v>
          </cell>
        </row>
        <row r="1535">
          <cell r="A1535" t="str">
            <v>L044</v>
          </cell>
          <cell r="B1535" t="str">
            <v>LUXMI TRADING CO.</v>
          </cell>
        </row>
        <row r="1536">
          <cell r="A1536" t="str">
            <v>L045</v>
          </cell>
          <cell r="B1536" t="str">
            <v>LAND FORM ARCHITECTS (INDIA) PVT. LTD.</v>
          </cell>
        </row>
        <row r="1537">
          <cell r="A1537" t="str">
            <v>L046</v>
          </cell>
          <cell r="B1537" t="str">
            <v>LOVELY FORMS &amp; STATIONERY (P) LTD.</v>
          </cell>
        </row>
        <row r="1538">
          <cell r="A1538" t="str">
            <v>L047</v>
          </cell>
          <cell r="B1538" t="str">
            <v>LUCKY ENTERPRISES</v>
          </cell>
        </row>
        <row r="1539">
          <cell r="A1539" t="str">
            <v>L048</v>
          </cell>
          <cell r="B1539" t="str">
            <v>LAW PUBLISHING HOUSE</v>
          </cell>
        </row>
        <row r="1540">
          <cell r="A1540" t="str">
            <v>L049</v>
          </cell>
          <cell r="B1540" t="str">
            <v>L N SHARMA</v>
          </cell>
        </row>
        <row r="1541">
          <cell r="A1541" t="str">
            <v>L050</v>
          </cell>
          <cell r="B1541" t="str">
            <v>LIGHT &amp; CONTROL SYSTEMS</v>
          </cell>
        </row>
        <row r="1542">
          <cell r="A1542" t="str">
            <v>L051</v>
          </cell>
          <cell r="B1542" t="str">
            <v>L M S ENTERPRISES</v>
          </cell>
        </row>
        <row r="1543">
          <cell r="A1543" t="str">
            <v>L052</v>
          </cell>
          <cell r="B1543" t="str">
            <v>LAW &amp; MANAGEMENT HOUSE</v>
          </cell>
        </row>
        <row r="1544">
          <cell r="A1544" t="str">
            <v>L053</v>
          </cell>
          <cell r="B1544" t="str">
            <v>LOTUS INTERNATIONAL</v>
          </cell>
        </row>
        <row r="1545">
          <cell r="A1545" t="str">
            <v>L054</v>
          </cell>
          <cell r="B1545" t="str">
            <v>LAFAYETTE LIGHTS</v>
          </cell>
        </row>
        <row r="1546">
          <cell r="A1546" t="str">
            <v>L055</v>
          </cell>
          <cell r="B1546" t="str">
            <v>LAL CHAND</v>
          </cell>
        </row>
        <row r="1547">
          <cell r="A1547" t="str">
            <v>L801</v>
          </cell>
          <cell r="B1547" t="str">
            <v>LALITA RAINA</v>
          </cell>
        </row>
        <row r="1548">
          <cell r="A1548" t="str">
            <v>M001</v>
          </cell>
          <cell r="B1548" t="str">
            <v>MAYUR ELECTRONICS &amp; ELECTRICALS</v>
          </cell>
        </row>
        <row r="1549">
          <cell r="A1549" t="str">
            <v>M002</v>
          </cell>
          <cell r="B1549" t="str">
            <v>MODERN BUILDING STORE</v>
          </cell>
        </row>
        <row r="1550">
          <cell r="A1550" t="str">
            <v>M003</v>
          </cell>
          <cell r="B1550" t="str">
            <v>MAHARAJA MARBLE</v>
          </cell>
        </row>
        <row r="1551">
          <cell r="A1551" t="str">
            <v>M004</v>
          </cell>
          <cell r="B1551" t="str">
            <v>MUDHAR ENTERPRISES</v>
          </cell>
        </row>
        <row r="1552">
          <cell r="A1552" t="str">
            <v>M005</v>
          </cell>
          <cell r="B1552" t="str">
            <v>MADAN LAL KHANDELWAL &amp; SONS</v>
          </cell>
        </row>
        <row r="1553">
          <cell r="A1553" t="str">
            <v>M006</v>
          </cell>
          <cell r="B1553" t="str">
            <v>M.V.H ENTERPRISES</v>
          </cell>
        </row>
        <row r="1554">
          <cell r="A1554" t="str">
            <v>M007</v>
          </cell>
          <cell r="B1554" t="str">
            <v>MULTIWELD</v>
          </cell>
        </row>
        <row r="1555">
          <cell r="A1555" t="str">
            <v>M008</v>
          </cell>
          <cell r="B1555" t="str">
            <v>MAGNUM STTELS (P) LTD.</v>
          </cell>
        </row>
        <row r="1556">
          <cell r="A1556" t="str">
            <v>M009</v>
          </cell>
          <cell r="B1556" t="str">
            <v>MARGRANA TRADERS</v>
          </cell>
        </row>
        <row r="1557">
          <cell r="A1557" t="str">
            <v>M010</v>
          </cell>
          <cell r="B1557" t="str">
            <v>MACHMILL ENGINEERS</v>
          </cell>
        </row>
        <row r="1558">
          <cell r="A1558" t="str">
            <v>M011</v>
          </cell>
          <cell r="B1558" t="str">
            <v>MOHD. DILSHAD</v>
          </cell>
        </row>
        <row r="1559">
          <cell r="A1559" t="str">
            <v>M012</v>
          </cell>
          <cell r="B1559" t="str">
            <v>MANOJ TRADERS</v>
          </cell>
        </row>
        <row r="1560">
          <cell r="A1560" t="str">
            <v>M013</v>
          </cell>
          <cell r="B1560" t="str">
            <v>MANMOHAN SINGH</v>
          </cell>
        </row>
        <row r="1561">
          <cell r="A1561" t="str">
            <v>M014</v>
          </cell>
          <cell r="B1561" t="str">
            <v>MAY FIRST CORPORATION</v>
          </cell>
        </row>
        <row r="1562">
          <cell r="A1562" t="str">
            <v>M015</v>
          </cell>
          <cell r="B1562" t="str">
            <v>M.H COMPANY</v>
          </cell>
        </row>
        <row r="1563">
          <cell r="A1563" t="str">
            <v>M016</v>
          </cell>
          <cell r="B1563" t="str">
            <v>MOHD. SAFIUR RAHMAN</v>
          </cell>
        </row>
        <row r="1564">
          <cell r="A1564" t="str">
            <v>M017</v>
          </cell>
          <cell r="B1564" t="str">
            <v>MOHD. KHATIB</v>
          </cell>
        </row>
        <row r="1565">
          <cell r="A1565" t="str">
            <v>M018</v>
          </cell>
          <cell r="B1565" t="str">
            <v>MOHD. ISRAIL</v>
          </cell>
        </row>
        <row r="1566">
          <cell r="A1566" t="str">
            <v>M019</v>
          </cell>
          <cell r="B1566" t="str">
            <v>MODERN TILES &amp; MARBLES</v>
          </cell>
        </row>
        <row r="1567">
          <cell r="A1567" t="str">
            <v>M020</v>
          </cell>
          <cell r="B1567" t="str">
            <v>MOHD. MUSLIM</v>
          </cell>
        </row>
        <row r="1568">
          <cell r="A1568" t="str">
            <v>M021</v>
          </cell>
          <cell r="B1568" t="str">
            <v>MUSTAK ALI</v>
          </cell>
        </row>
        <row r="1569">
          <cell r="A1569" t="str">
            <v>M022</v>
          </cell>
          <cell r="B1569" t="str">
            <v>MOHD. ISHAQ</v>
          </cell>
        </row>
        <row r="1570">
          <cell r="A1570" t="str">
            <v>M023</v>
          </cell>
          <cell r="B1570" t="str">
            <v>MODERN HYDRAULIC &amp; METAL WORKS</v>
          </cell>
        </row>
        <row r="1571">
          <cell r="A1571" t="str">
            <v>M024</v>
          </cell>
          <cell r="B1571" t="str">
            <v>MONTU RAM</v>
          </cell>
        </row>
        <row r="1572">
          <cell r="A1572" t="str">
            <v>M025</v>
          </cell>
          <cell r="B1572" t="str">
            <v>M.K.JENA</v>
          </cell>
        </row>
        <row r="1573">
          <cell r="A1573" t="str">
            <v>M026</v>
          </cell>
          <cell r="B1573" t="str">
            <v>M.K.BUILDERS</v>
          </cell>
        </row>
        <row r="1574">
          <cell r="A1574" t="str">
            <v>M027</v>
          </cell>
          <cell r="B1574" t="str">
            <v>MAHENDER SINGH</v>
          </cell>
        </row>
        <row r="1575">
          <cell r="A1575" t="str">
            <v>M028</v>
          </cell>
          <cell r="B1575" t="str">
            <v>MARKANDEY MISHRA</v>
          </cell>
        </row>
        <row r="1576">
          <cell r="A1576" t="str">
            <v>M029</v>
          </cell>
          <cell r="B1576" t="str">
            <v>MALIK SALES CORPORATION</v>
          </cell>
        </row>
        <row r="1577">
          <cell r="A1577" t="str">
            <v>M030</v>
          </cell>
          <cell r="B1577" t="str">
            <v>MAHABIR SINGH</v>
          </cell>
        </row>
        <row r="1578">
          <cell r="A1578" t="str">
            <v>M031</v>
          </cell>
          <cell r="B1578" t="str">
            <v>MANORANJAN ROUL</v>
          </cell>
        </row>
        <row r="1579">
          <cell r="A1579" t="str">
            <v>M032</v>
          </cell>
          <cell r="B1579" t="str">
            <v>MOHD. MOOSA</v>
          </cell>
        </row>
        <row r="1580">
          <cell r="A1580" t="str">
            <v>M033</v>
          </cell>
          <cell r="B1580" t="str">
            <v>MOHIT HI-TECH</v>
          </cell>
        </row>
        <row r="1581">
          <cell r="A1581" t="str">
            <v>M034</v>
          </cell>
          <cell r="B1581" t="str">
            <v>MANJIT SINGH</v>
          </cell>
        </row>
        <row r="1582">
          <cell r="A1582" t="str">
            <v>M035</v>
          </cell>
          <cell r="B1582" t="str">
            <v>MADAN SHARMA</v>
          </cell>
        </row>
        <row r="1583">
          <cell r="A1583" t="str">
            <v>M036</v>
          </cell>
          <cell r="B1583" t="str">
            <v>M.M SONS</v>
          </cell>
        </row>
        <row r="1584">
          <cell r="A1584" t="str">
            <v>M037</v>
          </cell>
          <cell r="B1584" t="str">
            <v>MINTU GHOSH</v>
          </cell>
        </row>
        <row r="1585">
          <cell r="A1585" t="str">
            <v>M038</v>
          </cell>
          <cell r="B1585" t="str">
            <v>MITHAI LAL</v>
          </cell>
        </row>
        <row r="1586">
          <cell r="A1586" t="str">
            <v>M039</v>
          </cell>
          <cell r="B1586" t="str">
            <v>MAHAVIR ALUMINIUM LTD.</v>
          </cell>
        </row>
        <row r="1587">
          <cell r="A1587" t="str">
            <v>M040</v>
          </cell>
          <cell r="B1587" t="str">
            <v>MUKESH KUMAR</v>
          </cell>
        </row>
        <row r="1588">
          <cell r="A1588" t="str">
            <v>M041</v>
          </cell>
          <cell r="B1588" t="str">
            <v>MADHYAM ADVERTISING PVT. LTD.</v>
          </cell>
        </row>
        <row r="1589">
          <cell r="A1589" t="str">
            <v>M042</v>
          </cell>
          <cell r="B1589" t="str">
            <v>MAGIC TECHNOLOGIES PVT. LTD.</v>
          </cell>
        </row>
        <row r="1590">
          <cell r="A1590" t="str">
            <v>M043</v>
          </cell>
          <cell r="B1590" t="str">
            <v>MATHROO CONST. EQUIPMENT</v>
          </cell>
        </row>
        <row r="1591">
          <cell r="A1591" t="str">
            <v>M044</v>
          </cell>
          <cell r="B1591" t="str">
            <v>MOD TRAVELS &amp; TOURS (P) LTD.</v>
          </cell>
        </row>
        <row r="1592">
          <cell r="A1592" t="str">
            <v>M045</v>
          </cell>
          <cell r="B1592" t="str">
            <v>MAINTWELL SERVICES</v>
          </cell>
        </row>
        <row r="1593">
          <cell r="A1593" t="str">
            <v>M046</v>
          </cell>
          <cell r="B1593" t="str">
            <v>MICRO COMPUTER &amp; PERIPHERALS (P) LTD.</v>
          </cell>
        </row>
        <row r="1594">
          <cell r="A1594" t="str">
            <v>M047</v>
          </cell>
          <cell r="B1594" t="str">
            <v>MANI RAM</v>
          </cell>
        </row>
        <row r="1595">
          <cell r="A1595" t="str">
            <v>M048</v>
          </cell>
          <cell r="B1595" t="str">
            <v>MAHAVIR RAO</v>
          </cell>
        </row>
        <row r="1596">
          <cell r="A1596" t="str">
            <v>M049</v>
          </cell>
          <cell r="B1596" t="str">
            <v>M L K ENTERPRISES</v>
          </cell>
        </row>
        <row r="1597">
          <cell r="A1597" t="str">
            <v>M050</v>
          </cell>
          <cell r="B1597" t="str">
            <v>M. YOUSEF FABRICATORS</v>
          </cell>
        </row>
        <row r="1598">
          <cell r="A1598" t="str">
            <v>M051</v>
          </cell>
          <cell r="B1598" t="str">
            <v>MUKESH KUMAR</v>
          </cell>
        </row>
        <row r="1599">
          <cell r="A1599" t="str">
            <v>M052</v>
          </cell>
          <cell r="B1599" t="str">
            <v>MOMTAJ ALI</v>
          </cell>
        </row>
        <row r="1600">
          <cell r="A1600" t="str">
            <v>M053</v>
          </cell>
          <cell r="B1600" t="str">
            <v>MADRAS FURNISHERS</v>
          </cell>
        </row>
        <row r="1601">
          <cell r="A1601" t="str">
            <v>M054</v>
          </cell>
          <cell r="B1601" t="str">
            <v>MEWA LAL</v>
          </cell>
        </row>
        <row r="1602">
          <cell r="A1602" t="str">
            <v>M055</v>
          </cell>
          <cell r="B1602" t="str">
            <v>MTNL</v>
          </cell>
        </row>
        <row r="1603">
          <cell r="A1603" t="str">
            <v>M056</v>
          </cell>
          <cell r="B1603" t="str">
            <v>MICRO TECH ENGINEERS</v>
          </cell>
        </row>
        <row r="1604">
          <cell r="A1604" t="str">
            <v>M057</v>
          </cell>
          <cell r="B1604" t="str">
            <v>MUNSHI RAM</v>
          </cell>
        </row>
        <row r="1605">
          <cell r="A1605" t="str">
            <v>M058</v>
          </cell>
          <cell r="B1605" t="str">
            <v>MOTI-UN-RAHMAN</v>
          </cell>
        </row>
        <row r="1606">
          <cell r="A1606" t="str">
            <v>M059</v>
          </cell>
          <cell r="B1606" t="str">
            <v>MARSHAL SALES AGENCIES</v>
          </cell>
        </row>
        <row r="1607">
          <cell r="A1607" t="str">
            <v>M060</v>
          </cell>
          <cell r="B1607" t="str">
            <v>MULTI TRADERS</v>
          </cell>
        </row>
        <row r="1608">
          <cell r="A1608" t="str">
            <v>M061</v>
          </cell>
          <cell r="B1608" t="str">
            <v>MODI OLIVETTI LTD.</v>
          </cell>
        </row>
        <row r="1609">
          <cell r="A1609" t="str">
            <v>M062</v>
          </cell>
          <cell r="B1609" t="str">
            <v>MOH.SOHAIL AKHTAR</v>
          </cell>
        </row>
        <row r="1610">
          <cell r="A1610" t="str">
            <v>M063</v>
          </cell>
          <cell r="B1610" t="str">
            <v>M.M CARRIERS</v>
          </cell>
        </row>
        <row r="1611">
          <cell r="A1611" t="str">
            <v>M064</v>
          </cell>
          <cell r="B1611" t="str">
            <v>MANOJ TRADERS</v>
          </cell>
        </row>
        <row r="1612">
          <cell r="A1612" t="str">
            <v>M065</v>
          </cell>
          <cell r="B1612" t="str">
            <v>MICRO ENGINEERS</v>
          </cell>
        </row>
        <row r="1613">
          <cell r="A1613" t="str">
            <v>M066</v>
          </cell>
          <cell r="B1613" t="str">
            <v>M/S MARUTI UDYOG LIMITED</v>
          </cell>
        </row>
        <row r="1614">
          <cell r="A1614" t="str">
            <v>M067</v>
          </cell>
          <cell r="B1614" t="str">
            <v>M/S SIWANI TYRES</v>
          </cell>
        </row>
        <row r="1615">
          <cell r="A1615" t="str">
            <v>M068</v>
          </cell>
          <cell r="B1615" t="str">
            <v>MANOHAR GULATI</v>
          </cell>
        </row>
        <row r="1616">
          <cell r="A1616" t="str">
            <v>M069</v>
          </cell>
          <cell r="B1616" t="str">
            <v>MAULANA FURNITURES</v>
          </cell>
        </row>
        <row r="1617">
          <cell r="A1617" t="str">
            <v>M070</v>
          </cell>
          <cell r="B1617" t="str">
            <v>MALKIAT SINGH RANA</v>
          </cell>
        </row>
        <row r="1618">
          <cell r="A1618" t="str">
            <v>M071</v>
          </cell>
          <cell r="B1618" t="str">
            <v>MAHESHWARI ELECTRICALS</v>
          </cell>
        </row>
        <row r="1619">
          <cell r="A1619" t="str">
            <v>M072</v>
          </cell>
          <cell r="B1619" t="str">
            <v>MAHESHWARI MARBLES</v>
          </cell>
        </row>
        <row r="1620">
          <cell r="A1620" t="str">
            <v>M073</v>
          </cell>
          <cell r="B1620" t="str">
            <v>MODI XEROX LTD.</v>
          </cell>
        </row>
        <row r="1621">
          <cell r="A1621" t="str">
            <v>M074</v>
          </cell>
          <cell r="B1621" t="str">
            <v>MADAN LAL</v>
          </cell>
        </row>
        <row r="1622">
          <cell r="A1622" t="str">
            <v>M075</v>
          </cell>
          <cell r="B1622" t="str">
            <v>MD SYED</v>
          </cell>
        </row>
        <row r="1623">
          <cell r="A1623" t="str">
            <v>M076</v>
          </cell>
          <cell r="B1623" t="str">
            <v>MATA VASHNAVI CONSTRUCTION</v>
          </cell>
        </row>
        <row r="1624">
          <cell r="A1624" t="str">
            <v>M077</v>
          </cell>
          <cell r="B1624" t="str">
            <v>MANN ASSOCIATES</v>
          </cell>
        </row>
        <row r="1625">
          <cell r="A1625" t="str">
            <v>M078</v>
          </cell>
          <cell r="B1625" t="str">
            <v>M.D.ELECTRICALS</v>
          </cell>
        </row>
        <row r="1626">
          <cell r="A1626" t="str">
            <v>M079</v>
          </cell>
          <cell r="B1626" t="str">
            <v>MOHAN LAL</v>
          </cell>
        </row>
        <row r="1627">
          <cell r="A1627" t="str">
            <v>M080</v>
          </cell>
          <cell r="B1627" t="str">
            <v>M K ELECTRICALS</v>
          </cell>
        </row>
        <row r="1628">
          <cell r="A1628" t="str">
            <v>M081</v>
          </cell>
          <cell r="B1628" t="str">
            <v>M H HUSSAIN</v>
          </cell>
        </row>
        <row r="1629">
          <cell r="A1629" t="str">
            <v>M082</v>
          </cell>
          <cell r="B1629" t="str">
            <v>MAHESH PRASAD YADAV</v>
          </cell>
        </row>
        <row r="1630">
          <cell r="A1630" t="str">
            <v>M083</v>
          </cell>
          <cell r="B1630" t="str">
            <v>M R CONSTRUCTIONS</v>
          </cell>
        </row>
        <row r="1631">
          <cell r="A1631" t="str">
            <v>M084</v>
          </cell>
          <cell r="B1631" t="str">
            <v>MAHABIR YADAV &amp; ASSOCIATES</v>
          </cell>
        </row>
        <row r="1632">
          <cell r="A1632" t="str">
            <v>M085</v>
          </cell>
          <cell r="B1632" t="str">
            <v>MUKTESHWAR MARBLES</v>
          </cell>
        </row>
        <row r="1633">
          <cell r="A1633" t="str">
            <v>M086</v>
          </cell>
          <cell r="B1633" t="str">
            <v>MAA SANTOSHI ELECTRICALS</v>
          </cell>
        </row>
        <row r="1634">
          <cell r="A1634" t="str">
            <v>M087</v>
          </cell>
          <cell r="B1634" t="str">
            <v>MISTRAL AIRCONDITIONING SERVICE</v>
          </cell>
        </row>
        <row r="1635">
          <cell r="A1635" t="str">
            <v>M088</v>
          </cell>
          <cell r="B1635" t="str">
            <v>MANOHAR STONE CRUSHING CO.</v>
          </cell>
        </row>
        <row r="1636">
          <cell r="A1636" t="str">
            <v>M089</v>
          </cell>
          <cell r="B1636" t="str">
            <v>MICRO INFOSYS</v>
          </cell>
        </row>
        <row r="1637">
          <cell r="A1637" t="str">
            <v>M090</v>
          </cell>
          <cell r="B1637" t="str">
            <v>MINETO SHIRKE CONCRETE</v>
          </cell>
        </row>
        <row r="1638">
          <cell r="A1638" t="str">
            <v>M091</v>
          </cell>
          <cell r="B1638" t="str">
            <v>MUNNI LAL KRISHAN KUMAR</v>
          </cell>
        </row>
        <row r="1639">
          <cell r="A1639" t="str">
            <v>M092</v>
          </cell>
          <cell r="B1639" t="str">
            <v>MODERN CONSTRUCTION CO.</v>
          </cell>
        </row>
        <row r="1640">
          <cell r="A1640" t="str">
            <v>M093</v>
          </cell>
          <cell r="B1640" t="str">
            <v>MADHUSUDAN NAYAK</v>
          </cell>
        </row>
        <row r="1641">
          <cell r="A1641" t="str">
            <v>M094</v>
          </cell>
          <cell r="B1641" t="str">
            <v>MITTAL SALES CORPORATION</v>
          </cell>
        </row>
        <row r="1642">
          <cell r="A1642" t="str">
            <v>M095</v>
          </cell>
          <cell r="B1642" t="str">
            <v>MELTEX CERAMICS LTD.</v>
          </cell>
        </row>
        <row r="1643">
          <cell r="A1643" t="str">
            <v>M096</v>
          </cell>
          <cell r="B1643" t="str">
            <v>MUKESH B M CARRIER</v>
          </cell>
        </row>
        <row r="1644">
          <cell r="A1644" t="str">
            <v>M097</v>
          </cell>
          <cell r="B1644" t="str">
            <v>MODERN CANVAS CO.</v>
          </cell>
        </row>
        <row r="1645">
          <cell r="A1645" t="str">
            <v>M098</v>
          </cell>
          <cell r="B1645" t="str">
            <v>MITTAL BROTHERS</v>
          </cell>
        </row>
        <row r="1646">
          <cell r="A1646" t="str">
            <v>M099</v>
          </cell>
          <cell r="B1646" t="str">
            <v>MD QUDUS</v>
          </cell>
        </row>
        <row r="1647">
          <cell r="A1647" t="str">
            <v>M100</v>
          </cell>
          <cell r="B1647" t="str">
            <v>MATHUR BUILDING MATERIAL SUPPLIER</v>
          </cell>
        </row>
        <row r="1648">
          <cell r="A1648" t="str">
            <v>M101</v>
          </cell>
          <cell r="B1648" t="str">
            <v>MINTU GHOSH</v>
          </cell>
        </row>
        <row r="1649">
          <cell r="A1649" t="str">
            <v>M102</v>
          </cell>
          <cell r="B1649" t="str">
            <v>MEHAR CHAND</v>
          </cell>
        </row>
        <row r="1650">
          <cell r="A1650" t="str">
            <v>M103</v>
          </cell>
          <cell r="B1650" t="str">
            <v>MAHAVIR UDYOG</v>
          </cell>
        </row>
        <row r="1651">
          <cell r="A1651" t="str">
            <v>M104</v>
          </cell>
          <cell r="B1651" t="str">
            <v>MD JASIM</v>
          </cell>
        </row>
        <row r="1652">
          <cell r="A1652" t="str">
            <v>M105</v>
          </cell>
          <cell r="B1652" t="str">
            <v>MANAN SINGH</v>
          </cell>
        </row>
        <row r="1653">
          <cell r="A1653" t="str">
            <v>M106</v>
          </cell>
          <cell r="B1653" t="str">
            <v>MAHIPAL RAWAT</v>
          </cell>
        </row>
        <row r="1654">
          <cell r="A1654" t="str">
            <v>M107</v>
          </cell>
          <cell r="B1654" t="str">
            <v>MUKESH SHARMA</v>
          </cell>
        </row>
        <row r="1655">
          <cell r="A1655" t="str">
            <v>M108</v>
          </cell>
          <cell r="B1655" t="str">
            <v>MD KALIM</v>
          </cell>
        </row>
        <row r="1656">
          <cell r="A1656" t="str">
            <v>M109</v>
          </cell>
          <cell r="B1656" t="str">
            <v>MAHINDER KUMAR</v>
          </cell>
        </row>
        <row r="1657">
          <cell r="A1657" t="str">
            <v>M110</v>
          </cell>
          <cell r="B1657" t="str">
            <v>MOHAN MISHRA</v>
          </cell>
        </row>
        <row r="1658">
          <cell r="A1658" t="str">
            <v>M111</v>
          </cell>
          <cell r="B1658" t="str">
            <v>MAHARAM</v>
          </cell>
        </row>
        <row r="1659">
          <cell r="A1659" t="str">
            <v>M112</v>
          </cell>
          <cell r="B1659" t="str">
            <v>MAHESH SHARMA</v>
          </cell>
        </row>
        <row r="1660">
          <cell r="A1660" t="str">
            <v>M113</v>
          </cell>
          <cell r="B1660" t="str">
            <v>M. K. VIBRATORS</v>
          </cell>
        </row>
        <row r="1661">
          <cell r="A1661" t="str">
            <v>M114</v>
          </cell>
          <cell r="B1661" t="str">
            <v>MODERN FURNISHERS(INOP.)</v>
          </cell>
        </row>
        <row r="1662">
          <cell r="A1662" t="str">
            <v>M115</v>
          </cell>
          <cell r="B1662" t="str">
            <v>MILAN CHOUDHARY(INOP.)</v>
          </cell>
        </row>
        <row r="1663">
          <cell r="A1663" t="str">
            <v>M116</v>
          </cell>
          <cell r="B1663" t="str">
            <v>MD ALAM</v>
          </cell>
        </row>
        <row r="1664">
          <cell r="A1664" t="str">
            <v>M117</v>
          </cell>
          <cell r="B1664" t="str">
            <v>MD ANSARI</v>
          </cell>
        </row>
        <row r="1665">
          <cell r="A1665" t="str">
            <v>M118</v>
          </cell>
          <cell r="B1665" t="str">
            <v>MAJID(INOP.)</v>
          </cell>
        </row>
        <row r="1666">
          <cell r="A1666" t="str">
            <v>M119</v>
          </cell>
          <cell r="B1666" t="str">
            <v>MURLI</v>
          </cell>
        </row>
        <row r="1667">
          <cell r="A1667" t="str">
            <v>M120</v>
          </cell>
          <cell r="B1667" t="str">
            <v>MISHRA(INOP.)</v>
          </cell>
        </row>
        <row r="1668">
          <cell r="A1668" t="str">
            <v>M121</v>
          </cell>
          <cell r="B1668" t="str">
            <v>MASOOD ALI</v>
          </cell>
        </row>
        <row r="1669">
          <cell r="A1669" t="str">
            <v>M122</v>
          </cell>
          <cell r="B1669" t="str">
            <v>MAKRANA MARBLES(INOP.)</v>
          </cell>
        </row>
        <row r="1670">
          <cell r="A1670" t="str">
            <v>M123</v>
          </cell>
          <cell r="B1670" t="str">
            <v>MD KALIM(INOP.)</v>
          </cell>
        </row>
        <row r="1671">
          <cell r="A1671" t="str">
            <v>M124</v>
          </cell>
          <cell r="B1671" t="str">
            <v>MUKTI NATH SHARMA(INOP.)</v>
          </cell>
        </row>
        <row r="1672">
          <cell r="A1672" t="str">
            <v>M125</v>
          </cell>
          <cell r="B1672" t="str">
            <v>MUKESH OIL COMPANY</v>
          </cell>
        </row>
        <row r="1673">
          <cell r="A1673" t="str">
            <v>M126</v>
          </cell>
          <cell r="B1673" t="str">
            <v>M.L.GUPTA(INOP.)</v>
          </cell>
        </row>
        <row r="1674">
          <cell r="A1674" t="str">
            <v>M127</v>
          </cell>
          <cell r="B1674" t="str">
            <v>M.D.ALUDDIN(INOP.)</v>
          </cell>
        </row>
        <row r="1675">
          <cell r="A1675" t="str">
            <v>M128</v>
          </cell>
          <cell r="B1675" t="str">
            <v>MANILAL PATEL CLEARING P LTD</v>
          </cell>
        </row>
        <row r="1676">
          <cell r="A1676" t="str">
            <v>M129</v>
          </cell>
          <cell r="B1676" t="str">
            <v>MONDAL NURSERY</v>
          </cell>
        </row>
        <row r="1677">
          <cell r="A1677" t="str">
            <v>M130</v>
          </cell>
          <cell r="B1677" t="str">
            <v>MITTAL ASSOCIATE</v>
          </cell>
        </row>
        <row r="1678">
          <cell r="A1678" t="str">
            <v>M131</v>
          </cell>
          <cell r="B1678" t="str">
            <v>MOOL CHAND BOKEN</v>
          </cell>
        </row>
        <row r="1679">
          <cell r="A1679" t="str">
            <v>M132</v>
          </cell>
          <cell r="B1679" t="str">
            <v>M.C.CONSTRUCTION</v>
          </cell>
        </row>
        <row r="1680">
          <cell r="A1680" t="str">
            <v>M133</v>
          </cell>
          <cell r="B1680" t="str">
            <v>MATERIAL HANDLING ENGINEERS</v>
          </cell>
        </row>
        <row r="1681">
          <cell r="A1681" t="str">
            <v>M134</v>
          </cell>
          <cell r="B1681" t="str">
            <v>M.K.ELECTRICAL WORKS</v>
          </cell>
        </row>
        <row r="1682">
          <cell r="A1682" t="str">
            <v>M135</v>
          </cell>
          <cell r="B1682" t="str">
            <v>MILE-STONE CONSULTANCY SERVICES</v>
          </cell>
        </row>
        <row r="1683">
          <cell r="A1683" t="str">
            <v>M136</v>
          </cell>
          <cell r="B1683" t="str">
            <v>MARGRA MARBLE &amp; GRANITE LTD.</v>
          </cell>
        </row>
        <row r="1684">
          <cell r="A1684" t="str">
            <v>M137</v>
          </cell>
          <cell r="B1684" t="str">
            <v>MEHRO CONSULTANTS</v>
          </cell>
        </row>
        <row r="1685">
          <cell r="A1685" t="str">
            <v>M138</v>
          </cell>
          <cell r="B1685" t="str">
            <v>MEHAR AIR-CON</v>
          </cell>
        </row>
        <row r="1686">
          <cell r="A1686" t="str">
            <v>M139</v>
          </cell>
          <cell r="B1686" t="str">
            <v>MANU ENGINEERING WORKS</v>
          </cell>
        </row>
        <row r="1687">
          <cell r="A1687" t="str">
            <v>M140</v>
          </cell>
          <cell r="B1687" t="str">
            <v>MADHUSUDAN CERAMICS</v>
          </cell>
        </row>
        <row r="1688">
          <cell r="A1688" t="str">
            <v>M141</v>
          </cell>
          <cell r="B1688" t="str">
            <v>MESCON</v>
          </cell>
        </row>
        <row r="1689">
          <cell r="A1689" t="str">
            <v>M142</v>
          </cell>
          <cell r="B1689" t="str">
            <v>MAHAVIR PRASAD</v>
          </cell>
        </row>
        <row r="1690">
          <cell r="A1690" t="str">
            <v>M143</v>
          </cell>
          <cell r="B1690" t="str">
            <v>MAC BROWN PEST CONTROL</v>
          </cell>
        </row>
        <row r="1691">
          <cell r="A1691" t="str">
            <v>M144</v>
          </cell>
          <cell r="B1691" t="str">
            <v>MAHABIR PRASAD YADAV</v>
          </cell>
        </row>
        <row r="1692">
          <cell r="A1692" t="str">
            <v>M145</v>
          </cell>
          <cell r="B1692" t="str">
            <v>MEGHDOOT ADVERTISING AGENCY</v>
          </cell>
        </row>
        <row r="1693">
          <cell r="A1693" t="str">
            <v>M146</v>
          </cell>
          <cell r="B1693" t="str">
            <v>MADHU ELECTRICALS</v>
          </cell>
        </row>
        <row r="1694">
          <cell r="A1694" t="str">
            <v>M147</v>
          </cell>
          <cell r="B1694" t="str">
            <v>M.K.AGENCIES</v>
          </cell>
        </row>
        <row r="1695">
          <cell r="A1695" t="str">
            <v>M148</v>
          </cell>
          <cell r="B1695" t="str">
            <v>MUNRADTECH INDUSTRIAL GENERATOR (P) LTD.</v>
          </cell>
        </row>
        <row r="1696">
          <cell r="A1696" t="str">
            <v>M149</v>
          </cell>
          <cell r="B1696" t="str">
            <v>MADAN FURNITURE</v>
          </cell>
        </row>
        <row r="1697">
          <cell r="A1697" t="str">
            <v>M150</v>
          </cell>
          <cell r="B1697" t="str">
            <v>MOHABTABAD SILICA SAND MINES</v>
          </cell>
        </row>
        <row r="1698">
          <cell r="A1698" t="str">
            <v>M151</v>
          </cell>
          <cell r="B1698" t="str">
            <v>MODERN ENGG &amp; ELECTRICAL CONST. CO.</v>
          </cell>
        </row>
        <row r="1699">
          <cell r="A1699" t="str">
            <v>M152</v>
          </cell>
          <cell r="B1699" t="str">
            <v>MOHD.GAYASUDDIN</v>
          </cell>
        </row>
        <row r="1700">
          <cell r="A1700" t="str">
            <v>M153</v>
          </cell>
          <cell r="B1700" t="str">
            <v>MODI GBC LTD.</v>
          </cell>
        </row>
        <row r="1701">
          <cell r="A1701" t="str">
            <v>M154</v>
          </cell>
          <cell r="B1701" t="str">
            <v>MADHUR AGENCIES</v>
          </cell>
        </row>
        <row r="1702">
          <cell r="A1702" t="str">
            <v>M155</v>
          </cell>
          <cell r="B1702" t="str">
            <v>MITTAL ENGINEERING STORE</v>
          </cell>
        </row>
        <row r="1703">
          <cell r="A1703" t="str">
            <v>M156</v>
          </cell>
          <cell r="B1703" t="str">
            <v>MAYA PAINTS &amp; HARDWARE CO.</v>
          </cell>
        </row>
        <row r="1704">
          <cell r="A1704" t="str">
            <v>M157</v>
          </cell>
          <cell r="B1704" t="str">
            <v>MAHENDRA RAJ CONSULTANTS PVT. LTD.</v>
          </cell>
        </row>
        <row r="1705">
          <cell r="A1705" t="str">
            <v>M158</v>
          </cell>
          <cell r="B1705" t="str">
            <v>MADHU TRAVELS</v>
          </cell>
        </row>
        <row r="1706">
          <cell r="A1706" t="str">
            <v>M159</v>
          </cell>
          <cell r="B1706" t="str">
            <v>MAHAVIR STONE CRUSHING CO.</v>
          </cell>
        </row>
        <row r="1707">
          <cell r="A1707" t="str">
            <v>M160</v>
          </cell>
          <cell r="B1707" t="str">
            <v>MACHINERY PARTS CORPORATION</v>
          </cell>
        </row>
        <row r="1708">
          <cell r="A1708" t="str">
            <v>M161</v>
          </cell>
          <cell r="B1708" t="str">
            <v>MINING EQUIPMENT &amp; TOOL CO.</v>
          </cell>
        </row>
        <row r="1709">
          <cell r="A1709" t="str">
            <v>M162</v>
          </cell>
          <cell r="B1709" t="str">
            <v>M.S. DECORATORS PVT. LTD.</v>
          </cell>
        </row>
        <row r="1710">
          <cell r="A1710" t="str">
            <v>M163</v>
          </cell>
          <cell r="B1710" t="str">
            <v>MAYA DEVI</v>
          </cell>
        </row>
        <row r="1711">
          <cell r="A1711" t="str">
            <v>M164</v>
          </cell>
          <cell r="B1711" t="str">
            <v>MAHABIR ELECTRIC CORPORATION</v>
          </cell>
        </row>
        <row r="1712">
          <cell r="A1712" t="str">
            <v>M165</v>
          </cell>
          <cell r="B1712" t="str">
            <v>MODERN ENGINEERS &amp; ELECT. CONST. CO.</v>
          </cell>
        </row>
        <row r="1713">
          <cell r="A1713" t="str">
            <v>M166</v>
          </cell>
          <cell r="B1713" t="str">
            <v>MALIK BUILDERS</v>
          </cell>
        </row>
        <row r="1714">
          <cell r="A1714" t="str">
            <v>M167</v>
          </cell>
          <cell r="B1714" t="str">
            <v>MANIPAL ENGINEERS CONTRACTORS &amp; SUPPLIER</v>
          </cell>
        </row>
        <row r="1715">
          <cell r="A1715" t="str">
            <v>M168</v>
          </cell>
          <cell r="B1715" t="str">
            <v>MATADIN BANSIWAL BLDG. MATERIAL CARRIER</v>
          </cell>
        </row>
        <row r="1716">
          <cell r="A1716" t="str">
            <v>M169</v>
          </cell>
          <cell r="B1716" t="str">
            <v>MISRA CONSTRUCTION CO.</v>
          </cell>
        </row>
        <row r="1717">
          <cell r="A1717" t="str">
            <v>M170</v>
          </cell>
          <cell r="B1717" t="str">
            <v>MANAGEMENT ADVISORY SERVICES PVT. LTD.</v>
          </cell>
        </row>
        <row r="1718">
          <cell r="A1718" t="str">
            <v>M171</v>
          </cell>
          <cell r="B1718" t="str">
            <v>MISHRA CONSTRUCTION CO.</v>
          </cell>
        </row>
        <row r="1719">
          <cell r="A1719" t="str">
            <v>M172</v>
          </cell>
          <cell r="B1719" t="str">
            <v>MAINI ASSOCIATES</v>
          </cell>
        </row>
        <row r="1720">
          <cell r="A1720" t="str">
            <v>M173</v>
          </cell>
          <cell r="B1720" t="str">
            <v>MAGNOLIA INTERNATIONAL</v>
          </cell>
        </row>
        <row r="1721">
          <cell r="A1721" t="str">
            <v>M174</v>
          </cell>
          <cell r="B1721" t="str">
            <v>MODERN ENGINEERS</v>
          </cell>
        </row>
        <row r="1722">
          <cell r="A1722" t="str">
            <v>M175</v>
          </cell>
          <cell r="B1722" t="str">
            <v>MANEESH ANKIT TRANSPORT</v>
          </cell>
        </row>
        <row r="1723">
          <cell r="A1723" t="str">
            <v>M176</v>
          </cell>
          <cell r="B1723" t="str">
            <v>MAHADEV OIL &amp; HARDWARES</v>
          </cell>
        </row>
        <row r="1724">
          <cell r="A1724" t="str">
            <v>M177</v>
          </cell>
          <cell r="B1724" t="str">
            <v>MOHAN STONE CRUSHING CO.</v>
          </cell>
        </row>
        <row r="1725">
          <cell r="A1725" t="str">
            <v>M178</v>
          </cell>
          <cell r="B1725" t="str">
            <v>MARBLE CARE</v>
          </cell>
        </row>
        <row r="1726">
          <cell r="A1726" t="str">
            <v>M179</v>
          </cell>
          <cell r="B1726" t="str">
            <v>MARINE TRANSPORT CO.</v>
          </cell>
        </row>
        <row r="1727">
          <cell r="A1727" t="str">
            <v>M180</v>
          </cell>
          <cell r="B1727" t="str">
            <v>MOHAMAD IBRAHIM</v>
          </cell>
        </row>
        <row r="1728">
          <cell r="A1728" t="str">
            <v>M181</v>
          </cell>
          <cell r="B1728" t="str">
            <v>MANGALAM MARBLE</v>
          </cell>
        </row>
        <row r="1729">
          <cell r="A1729" t="str">
            <v>M182</v>
          </cell>
          <cell r="B1729" t="str">
            <v>MANGLA &amp; CO.</v>
          </cell>
        </row>
        <row r="1730">
          <cell r="A1730" t="str">
            <v>M183</v>
          </cell>
          <cell r="B1730" t="str">
            <v>MODERN MILLER</v>
          </cell>
        </row>
        <row r="1731">
          <cell r="A1731" t="str">
            <v>M184</v>
          </cell>
          <cell r="B1731" t="str">
            <v>M C VIJAY KUMAR</v>
          </cell>
        </row>
        <row r="1732">
          <cell r="A1732" t="str">
            <v>M185</v>
          </cell>
          <cell r="B1732" t="str">
            <v>MAHESH KUMAR</v>
          </cell>
        </row>
        <row r="1733">
          <cell r="A1733" t="str">
            <v>M186</v>
          </cell>
          <cell r="B1733" t="str">
            <v>MUNNA LAL</v>
          </cell>
        </row>
        <row r="1734">
          <cell r="A1734" t="str">
            <v>M187</v>
          </cell>
          <cell r="B1734" t="str">
            <v>M J TECHNICALS</v>
          </cell>
        </row>
        <row r="1735">
          <cell r="A1735" t="str">
            <v>M188</v>
          </cell>
          <cell r="B1735" t="str">
            <v>MANGLAM TIMBER PRODUCTS LTD.</v>
          </cell>
        </row>
        <row r="1736">
          <cell r="A1736" t="str">
            <v>M189</v>
          </cell>
          <cell r="B1736" t="str">
            <v>MAN MOHAN LAL SARIN</v>
          </cell>
        </row>
        <row r="1737">
          <cell r="A1737" t="str">
            <v>M190</v>
          </cell>
          <cell r="B1737" t="str">
            <v>MICROLAND LIMITED</v>
          </cell>
        </row>
        <row r="1738">
          <cell r="A1738" t="str">
            <v>M191</v>
          </cell>
          <cell r="B1738" t="str">
            <v>N R STEEL FABRICATOR</v>
          </cell>
        </row>
        <row r="1739">
          <cell r="A1739" t="str">
            <v>M192</v>
          </cell>
          <cell r="B1739" t="str">
            <v>MEKASTER ENGG. &amp; EQUIPMENTS (PVT.) LTD.</v>
          </cell>
        </row>
        <row r="1740">
          <cell r="A1740" t="str">
            <v>M193</v>
          </cell>
          <cell r="B1740" t="str">
            <v>MODERN BUSINESS SYSTEM</v>
          </cell>
        </row>
        <row r="1741">
          <cell r="A1741" t="str">
            <v>M194</v>
          </cell>
          <cell r="B1741" t="str">
            <v>MODERN TOUR</v>
          </cell>
        </row>
        <row r="1742">
          <cell r="A1742" t="str">
            <v>M195</v>
          </cell>
          <cell r="B1742" t="str">
            <v>MAHABALESHWAR ENTERPRISES</v>
          </cell>
        </row>
        <row r="1743">
          <cell r="A1743" t="str">
            <v>M196</v>
          </cell>
          <cell r="B1743" t="str">
            <v>MALIK MEDICAL STORE</v>
          </cell>
        </row>
        <row r="1744">
          <cell r="A1744" t="str">
            <v>M197</v>
          </cell>
          <cell r="B1744" t="str">
            <v>MUDGAL TRAVELS</v>
          </cell>
        </row>
        <row r="1745">
          <cell r="A1745" t="str">
            <v>M198</v>
          </cell>
          <cell r="B1745" t="str">
            <v>MD EBRAHIM</v>
          </cell>
        </row>
        <row r="1746">
          <cell r="A1746" t="str">
            <v>M199</v>
          </cell>
          <cell r="B1746" t="str">
            <v>MD. MARUF</v>
          </cell>
        </row>
        <row r="1747">
          <cell r="A1747" t="str">
            <v>M200</v>
          </cell>
          <cell r="B1747" t="str">
            <v>MAHAVIR SINGH SAINI</v>
          </cell>
        </row>
        <row r="1748">
          <cell r="A1748" t="str">
            <v>M201</v>
          </cell>
          <cell r="B1748" t="str">
            <v>MARUTI RUBBER UDYOG</v>
          </cell>
        </row>
        <row r="1749">
          <cell r="A1749" t="str">
            <v>M202</v>
          </cell>
          <cell r="B1749" t="str">
            <v>M TRONICS</v>
          </cell>
        </row>
        <row r="1750">
          <cell r="A1750" t="str">
            <v>M203</v>
          </cell>
          <cell r="B1750" t="str">
            <v>MAHINDRA SINGH YADAV</v>
          </cell>
        </row>
        <row r="1751">
          <cell r="A1751" t="str">
            <v>M204</v>
          </cell>
          <cell r="B1751" t="str">
            <v>M.R.CONSTRUCTION SERVICES</v>
          </cell>
        </row>
        <row r="1752">
          <cell r="A1752" t="str">
            <v>M205</v>
          </cell>
          <cell r="B1752" t="str">
            <v>MITTAL &amp; CO.</v>
          </cell>
        </row>
        <row r="1753">
          <cell r="A1753" t="str">
            <v>M206</v>
          </cell>
          <cell r="B1753" t="str">
            <v>M M  TECHNOCRATS (P) LTD.</v>
          </cell>
        </row>
        <row r="1754">
          <cell r="A1754" t="str">
            <v>M207</v>
          </cell>
          <cell r="B1754" t="str">
            <v>MAHA LAXMI ENTERPRISES</v>
          </cell>
        </row>
        <row r="1755">
          <cell r="A1755" t="str">
            <v>M208</v>
          </cell>
          <cell r="B1755" t="str">
            <v>MALIK ELECTRIC WORKS</v>
          </cell>
        </row>
        <row r="1756">
          <cell r="A1756" t="str">
            <v>M209</v>
          </cell>
          <cell r="B1756" t="str">
            <v>MARGRA INDUSTRIES LIMITED</v>
          </cell>
        </row>
        <row r="1757">
          <cell r="A1757" t="str">
            <v>M210</v>
          </cell>
          <cell r="B1757" t="str">
            <v>MALIK TAILOR</v>
          </cell>
        </row>
        <row r="1758">
          <cell r="A1758" t="str">
            <v>M211</v>
          </cell>
          <cell r="B1758" t="str">
            <v>MATHRUSHREE FARMS</v>
          </cell>
        </row>
        <row r="1759">
          <cell r="A1759" t="str">
            <v>M212</v>
          </cell>
          <cell r="B1759" t="str">
            <v>M K AGGARWAL</v>
          </cell>
        </row>
        <row r="1760">
          <cell r="A1760" t="str">
            <v>M213</v>
          </cell>
          <cell r="B1760" t="str">
            <v>MARBLE POINT</v>
          </cell>
        </row>
        <row r="1761">
          <cell r="A1761" t="str">
            <v>M214</v>
          </cell>
          <cell r="B1761" t="str">
            <v>MCCOY SILICONS PVT. LTD.</v>
          </cell>
        </row>
        <row r="1762">
          <cell r="A1762" t="str">
            <v>M215</v>
          </cell>
          <cell r="B1762" t="str">
            <v>MODERN AUTO AGENCIES</v>
          </cell>
        </row>
        <row r="1763">
          <cell r="A1763" t="str">
            <v>M216</v>
          </cell>
          <cell r="B1763" t="str">
            <v>MR. LIGHT (INDIA)</v>
          </cell>
        </row>
        <row r="1764">
          <cell r="A1764" t="str">
            <v>M217</v>
          </cell>
          <cell r="B1764" t="str">
            <v>MADAM M KAUSHAL</v>
          </cell>
        </row>
        <row r="1765">
          <cell r="A1765" t="str">
            <v>M218</v>
          </cell>
          <cell r="B1765" t="str">
            <v>MAHADEV BUILDING MATERIAL SUPPLIER</v>
          </cell>
        </row>
        <row r="1766">
          <cell r="A1766" t="str">
            <v>M219</v>
          </cell>
          <cell r="B1766" t="str">
            <v>MULTILINE TELECOM LTD.</v>
          </cell>
        </row>
        <row r="1767">
          <cell r="A1767" t="str">
            <v>M220</v>
          </cell>
          <cell r="B1767" t="str">
            <v>MODEL NURSERY</v>
          </cell>
        </row>
        <row r="1768">
          <cell r="A1768" t="str">
            <v>M221</v>
          </cell>
          <cell r="B1768" t="str">
            <v>MAJILA NURSERY</v>
          </cell>
        </row>
        <row r="1769">
          <cell r="A1769" t="str">
            <v>M222</v>
          </cell>
          <cell r="B1769" t="str">
            <v>MAX CORONA (ERS. &amp; CONSULTANT DIV)</v>
          </cell>
        </row>
        <row r="1770">
          <cell r="A1770" t="str">
            <v>M223</v>
          </cell>
          <cell r="B1770" t="str">
            <v>MUKESH KUMAR RATHORE</v>
          </cell>
        </row>
        <row r="1771">
          <cell r="A1771" t="str">
            <v>M224</v>
          </cell>
          <cell r="B1771" t="str">
            <v>MAHIPAL</v>
          </cell>
        </row>
        <row r="1772">
          <cell r="A1772" t="str">
            <v>M225</v>
          </cell>
          <cell r="B1772" t="str">
            <v>M &amp; N CONSTRUCTORS &amp; ENGINEERS</v>
          </cell>
        </row>
        <row r="1773">
          <cell r="A1773" t="str">
            <v>M226</v>
          </cell>
          <cell r="B1773" t="str">
            <v>MAXTON GLASS TILES ENTERPRISES</v>
          </cell>
        </row>
        <row r="1774">
          <cell r="A1774" t="str">
            <v>M227</v>
          </cell>
          <cell r="B1774" t="str">
            <v>MODERN OILS</v>
          </cell>
        </row>
        <row r="1775">
          <cell r="A1775" t="str">
            <v>M228</v>
          </cell>
          <cell r="B1775" t="str">
            <v>M R M ENTERPRISES</v>
          </cell>
        </row>
        <row r="1776">
          <cell r="A1776" t="str">
            <v>M229</v>
          </cell>
          <cell r="B1776" t="str">
            <v>MICROWAVE COMMUNICATIONS LTD</v>
          </cell>
        </row>
        <row r="1777">
          <cell r="A1777" t="str">
            <v>M230</v>
          </cell>
          <cell r="B1777" t="str">
            <v>MAHA LAXMI STEELS</v>
          </cell>
        </row>
        <row r="1778">
          <cell r="A1778" t="str">
            <v>M231</v>
          </cell>
          <cell r="B1778" t="str">
            <v>MAHALAXMI TRAVELS</v>
          </cell>
        </row>
        <row r="1779">
          <cell r="A1779" t="str">
            <v>M232</v>
          </cell>
          <cell r="B1779" t="str">
            <v>MAMRAJ</v>
          </cell>
        </row>
        <row r="1780">
          <cell r="A1780" t="str">
            <v>M233</v>
          </cell>
          <cell r="B1780" t="str">
            <v>MADRAS LEATHER</v>
          </cell>
        </row>
        <row r="1781">
          <cell r="A1781" t="str">
            <v>M234</v>
          </cell>
          <cell r="B1781" t="str">
            <v>MODY INDUSTRIES(FC) PVT.LTD.</v>
          </cell>
        </row>
        <row r="1782">
          <cell r="A1782" t="str">
            <v>M235</v>
          </cell>
          <cell r="B1782" t="str">
            <v>MEGHA TAXI SERVICE</v>
          </cell>
        </row>
        <row r="1783">
          <cell r="A1783" t="str">
            <v>M236</v>
          </cell>
          <cell r="B1783" t="str">
            <v>MAC DECOR LTD</v>
          </cell>
        </row>
        <row r="1784">
          <cell r="A1784" t="str">
            <v>M237</v>
          </cell>
          <cell r="B1784" t="str">
            <v>M.L.S. &amp; COMPANY</v>
          </cell>
        </row>
        <row r="1785">
          <cell r="A1785" t="str">
            <v>M238</v>
          </cell>
          <cell r="B1785" t="str">
            <v>MAYOR INTERNATIONAL LTD.</v>
          </cell>
        </row>
        <row r="1786">
          <cell r="A1786" t="str">
            <v>M239</v>
          </cell>
          <cell r="B1786" t="str">
            <v>MAYUR INTERNATIONAL LTD.</v>
          </cell>
        </row>
        <row r="1787">
          <cell r="A1787" t="str">
            <v>M240</v>
          </cell>
          <cell r="B1787" t="str">
            <v>M/S MAMAJI MARBLE ART</v>
          </cell>
        </row>
        <row r="1788">
          <cell r="A1788" t="str">
            <v>M241</v>
          </cell>
          <cell r="B1788" t="str">
            <v>MANSAROVAR CONSULTANCY SERVICES</v>
          </cell>
        </row>
        <row r="1789">
          <cell r="A1789" t="str">
            <v>M242</v>
          </cell>
          <cell r="B1789" t="str">
            <v>MOD MACHANICAL ENGINEERS</v>
          </cell>
        </row>
        <row r="1790">
          <cell r="A1790" t="str">
            <v>M243</v>
          </cell>
          <cell r="B1790" t="str">
            <v>MADAN LAL NANDA &amp; SONS</v>
          </cell>
        </row>
        <row r="1791">
          <cell r="A1791" t="str">
            <v>M244</v>
          </cell>
          <cell r="B1791" t="str">
            <v>MAERSK INDIA LTD.</v>
          </cell>
        </row>
        <row r="1792">
          <cell r="A1792" t="str">
            <v>M245</v>
          </cell>
          <cell r="B1792" t="str">
            <v>MUNESH</v>
          </cell>
        </row>
        <row r="1793">
          <cell r="A1793" t="str">
            <v>M246</v>
          </cell>
          <cell r="B1793" t="str">
            <v>MOHD. YUNUS</v>
          </cell>
        </row>
        <row r="1794">
          <cell r="A1794" t="str">
            <v>M247</v>
          </cell>
          <cell r="B1794" t="str">
            <v>MILLENNIUM CONST.PVT LTD.</v>
          </cell>
        </row>
        <row r="1795">
          <cell r="A1795" t="str">
            <v>M248</v>
          </cell>
          <cell r="B1795" t="str">
            <v>MAHALAXMI TRADING CO.</v>
          </cell>
        </row>
        <row r="1796">
          <cell r="A1796" t="str">
            <v>M249</v>
          </cell>
          <cell r="B1796" t="str">
            <v>MODI ENTERTAINMENT NET WORK LTD.</v>
          </cell>
        </row>
        <row r="1797">
          <cell r="A1797" t="str">
            <v>M250</v>
          </cell>
          <cell r="B1797" t="str">
            <v>MARS INDUSTRIES PVT LTD</v>
          </cell>
        </row>
        <row r="1798">
          <cell r="A1798" t="str">
            <v>M801</v>
          </cell>
          <cell r="B1798" t="str">
            <v>MOHINI CHOPRA</v>
          </cell>
        </row>
        <row r="1799">
          <cell r="A1799" t="str">
            <v>M802</v>
          </cell>
          <cell r="B1799" t="str">
            <v>MITA NANDI</v>
          </cell>
        </row>
        <row r="1800">
          <cell r="A1800" t="str">
            <v>M803</v>
          </cell>
          <cell r="B1800" t="str">
            <v>M N VERMA</v>
          </cell>
        </row>
        <row r="1801">
          <cell r="A1801" t="str">
            <v>M804</v>
          </cell>
          <cell r="B1801" t="str">
            <v>MANU VERMA</v>
          </cell>
        </row>
        <row r="1802">
          <cell r="A1802" t="str">
            <v>M805</v>
          </cell>
          <cell r="B1802" t="str">
            <v>MANU VERMA</v>
          </cell>
        </row>
        <row r="1803">
          <cell r="A1803" t="str">
            <v>M806</v>
          </cell>
          <cell r="B1803" t="str">
            <v>COL M L YADAV</v>
          </cell>
        </row>
        <row r="1804">
          <cell r="A1804" t="str">
            <v>M807</v>
          </cell>
          <cell r="B1804" t="str">
            <v>MADHUMITA BASU</v>
          </cell>
        </row>
        <row r="1805">
          <cell r="A1805" t="str">
            <v>M808</v>
          </cell>
          <cell r="B1805" t="str">
            <v>MRS. MEERA RAMACHANDRAN</v>
          </cell>
        </row>
        <row r="1806">
          <cell r="A1806" t="str">
            <v>M809</v>
          </cell>
          <cell r="B1806" t="str">
            <v>COL. M.L. YADAV</v>
          </cell>
        </row>
        <row r="1807">
          <cell r="A1807" t="str">
            <v>M810</v>
          </cell>
          <cell r="B1807" t="str">
            <v>MEENA PRASAD</v>
          </cell>
        </row>
        <row r="1808">
          <cell r="A1808" t="str">
            <v>M811</v>
          </cell>
          <cell r="B1808" t="str">
            <v>M S MEHTA</v>
          </cell>
        </row>
        <row r="1809">
          <cell r="A1809" t="str">
            <v>M901</v>
          </cell>
          <cell r="B1809" t="str">
            <v>MEHTA CONSTRUCTION(INOP.)</v>
          </cell>
        </row>
        <row r="1810">
          <cell r="A1810" t="str">
            <v>M902</v>
          </cell>
          <cell r="B1810" t="str">
            <v>MOJI KHAN</v>
          </cell>
        </row>
        <row r="1811">
          <cell r="A1811" t="str">
            <v>M991</v>
          </cell>
          <cell r="B1811" t="str">
            <v>M L BHATIA</v>
          </cell>
        </row>
        <row r="1812">
          <cell r="A1812" t="str">
            <v>N001</v>
          </cell>
          <cell r="B1812" t="str">
            <v>NATIONAL SALES CORPORATION</v>
          </cell>
        </row>
        <row r="1813">
          <cell r="A1813" t="str">
            <v>N002</v>
          </cell>
          <cell r="B1813" t="str">
            <v>NARULA ENGG. UDYOG</v>
          </cell>
        </row>
        <row r="1814">
          <cell r="A1814" t="str">
            <v>N003</v>
          </cell>
          <cell r="B1814" t="str">
            <v>NAVIN POLYCON</v>
          </cell>
        </row>
        <row r="1815">
          <cell r="A1815" t="str">
            <v>N004</v>
          </cell>
          <cell r="B1815" t="str">
            <v>NATIONAL BUILDING PRODUCTS</v>
          </cell>
        </row>
        <row r="1816">
          <cell r="A1816" t="str">
            <v>N005</v>
          </cell>
          <cell r="B1816" t="str">
            <v>NATIONAL CEMENT &amp; LIME STORES</v>
          </cell>
        </row>
        <row r="1817">
          <cell r="A1817" t="str">
            <v>N006</v>
          </cell>
          <cell r="B1817" t="str">
            <v>NATIONAL INSTRUMENTS LTD.</v>
          </cell>
        </row>
        <row r="1818">
          <cell r="A1818" t="str">
            <v>N007</v>
          </cell>
          <cell r="B1818" t="str">
            <v>NEW KRISHI SEWAK</v>
          </cell>
        </row>
        <row r="1819">
          <cell r="A1819" t="str">
            <v>N008</v>
          </cell>
          <cell r="B1819" t="str">
            <v>NUCHEM LIMITED</v>
          </cell>
        </row>
        <row r="1820">
          <cell r="A1820" t="str">
            <v>N009</v>
          </cell>
          <cell r="B1820" t="str">
            <v>NICCO CORPORATION LTD</v>
          </cell>
        </row>
        <row r="1821">
          <cell r="A1821" t="str">
            <v>N010</v>
          </cell>
          <cell r="B1821" t="str">
            <v>NANDA &amp; NANDA</v>
          </cell>
        </row>
        <row r="1822">
          <cell r="A1822" t="str">
            <v>N011</v>
          </cell>
          <cell r="B1822" t="str">
            <v>N.M. ENTERPRISES</v>
          </cell>
        </row>
        <row r="1823">
          <cell r="A1823" t="str">
            <v>N012</v>
          </cell>
          <cell r="B1823" t="str">
            <v>NEWAGE SCAFFOLDING ENTERPRISES</v>
          </cell>
        </row>
        <row r="1824">
          <cell r="A1824" t="str">
            <v>N013</v>
          </cell>
          <cell r="B1824" t="str">
            <v>N.K.ROUT</v>
          </cell>
        </row>
        <row r="1825">
          <cell r="A1825" t="str">
            <v>N014</v>
          </cell>
          <cell r="B1825" t="str">
            <v>NARULA RAXINE &amp; FOAM HOUSE</v>
          </cell>
        </row>
        <row r="1826">
          <cell r="A1826" t="str">
            <v>N015</v>
          </cell>
          <cell r="B1826" t="str">
            <v>NIMCO TILES</v>
          </cell>
        </row>
        <row r="1827">
          <cell r="A1827" t="str">
            <v>N016</v>
          </cell>
          <cell r="B1827" t="str">
            <v>NAHAR SINGH</v>
          </cell>
        </row>
        <row r="1828">
          <cell r="A1828" t="str">
            <v>N017</v>
          </cell>
          <cell r="B1828" t="str">
            <v>NEELAM STEEL CORPORATION</v>
          </cell>
        </row>
        <row r="1829">
          <cell r="A1829" t="str">
            <v>N018</v>
          </cell>
          <cell r="B1829" t="str">
            <v>NAVAL KISHORE</v>
          </cell>
        </row>
        <row r="1830">
          <cell r="A1830" t="str">
            <v>N019</v>
          </cell>
          <cell r="B1830" t="str">
            <v>NIZAMMUDIN</v>
          </cell>
        </row>
        <row r="1831">
          <cell r="A1831" t="str">
            <v>N020</v>
          </cell>
          <cell r="B1831" t="str">
            <v>NAGENDRA SHARMA</v>
          </cell>
        </row>
        <row r="1832">
          <cell r="A1832" t="str">
            <v>N021</v>
          </cell>
          <cell r="B1832" t="str">
            <v>NARAYAN JHA</v>
          </cell>
        </row>
        <row r="1833">
          <cell r="A1833" t="str">
            <v>N022</v>
          </cell>
          <cell r="B1833" t="str">
            <v>NEST CONSTRUCTION &amp; CO.</v>
          </cell>
        </row>
        <row r="1834">
          <cell r="A1834" t="str">
            <v>N023</v>
          </cell>
          <cell r="B1834" t="str">
            <v>NIRVANA EARTH MOVERS</v>
          </cell>
        </row>
        <row r="1835">
          <cell r="A1835" t="str">
            <v>N024</v>
          </cell>
          <cell r="B1835" t="str">
            <v>NIMCO PREFAB</v>
          </cell>
        </row>
        <row r="1836">
          <cell r="A1836" t="str">
            <v>N025</v>
          </cell>
          <cell r="B1836" t="str">
            <v>NAWAL LISHORE PRASHAD</v>
          </cell>
        </row>
        <row r="1837">
          <cell r="A1837" t="str">
            <v>N026</v>
          </cell>
          <cell r="B1837" t="str">
            <v>NANNU RAM</v>
          </cell>
        </row>
        <row r="1838">
          <cell r="A1838" t="str">
            <v>N027</v>
          </cell>
          <cell r="B1838" t="str">
            <v>NIRFAN</v>
          </cell>
        </row>
        <row r="1839">
          <cell r="A1839" t="str">
            <v>N028</v>
          </cell>
          <cell r="B1839" t="str">
            <v>NARENDER KUMAR</v>
          </cell>
        </row>
        <row r="1840">
          <cell r="A1840" t="str">
            <v>N029</v>
          </cell>
          <cell r="B1840" t="str">
            <v>NATIONAL FABRICATION STEEL WORKS</v>
          </cell>
        </row>
        <row r="1841">
          <cell r="A1841" t="str">
            <v>N030</v>
          </cell>
          <cell r="B1841" t="str">
            <v>NEW MASTER TYRES</v>
          </cell>
        </row>
        <row r="1842">
          <cell r="A1842" t="str">
            <v>N031</v>
          </cell>
          <cell r="B1842" t="str">
            <v>NOTES 'N' NIBS</v>
          </cell>
        </row>
        <row r="1843">
          <cell r="A1843" t="str">
            <v>N032</v>
          </cell>
          <cell r="B1843" t="str">
            <v>NIRANJAN PUBLISHERS &amp; BOOK SELLERS</v>
          </cell>
        </row>
        <row r="1844">
          <cell r="A1844" t="str">
            <v>N033</v>
          </cell>
          <cell r="B1844" t="str">
            <v>NAGENDRA CONTRACTOR</v>
          </cell>
        </row>
        <row r="1845">
          <cell r="A1845" t="str">
            <v>N034</v>
          </cell>
          <cell r="B1845" t="str">
            <v>NORTHERN INDIA MARBLE CO.</v>
          </cell>
        </row>
        <row r="1846">
          <cell r="A1846" t="str">
            <v>N035</v>
          </cell>
          <cell r="B1846" t="str">
            <v>N S V CONSTRUCTIONS</v>
          </cell>
        </row>
        <row r="1847">
          <cell r="A1847" t="str">
            <v>N036</v>
          </cell>
          <cell r="B1847" t="str">
            <v>NEK CHAND</v>
          </cell>
        </row>
        <row r="1848">
          <cell r="A1848" t="str">
            <v>N037</v>
          </cell>
          <cell r="B1848" t="str">
            <v>N MANDAL</v>
          </cell>
        </row>
        <row r="1849">
          <cell r="A1849" t="str">
            <v>N038</v>
          </cell>
          <cell r="B1849" t="str">
            <v>NAND LAL</v>
          </cell>
        </row>
        <row r="1850">
          <cell r="A1850" t="str">
            <v>N039</v>
          </cell>
          <cell r="B1850" t="str">
            <v>NAWAL SINGH</v>
          </cell>
        </row>
        <row r="1851">
          <cell r="A1851" t="str">
            <v>N040</v>
          </cell>
          <cell r="B1851" t="str">
            <v>NOOR MOHD.</v>
          </cell>
        </row>
        <row r="1852">
          <cell r="A1852" t="str">
            <v>N041</v>
          </cell>
          <cell r="B1852" t="str">
            <v>NIRAJ YADAV</v>
          </cell>
        </row>
        <row r="1853">
          <cell r="A1853" t="str">
            <v>N042</v>
          </cell>
          <cell r="B1853" t="str">
            <v>NATIONAL CONSTRUCTION</v>
          </cell>
        </row>
        <row r="1854">
          <cell r="A1854" t="str">
            <v>N043</v>
          </cell>
          <cell r="B1854" t="str">
            <v>NIKHIL CONTRACTS</v>
          </cell>
        </row>
        <row r="1855">
          <cell r="A1855" t="str">
            <v>N044</v>
          </cell>
          <cell r="B1855" t="str">
            <v>NEELAM AHUJA</v>
          </cell>
        </row>
        <row r="1856">
          <cell r="A1856" t="str">
            <v>N045</v>
          </cell>
          <cell r="B1856" t="str">
            <v>N K JEENA</v>
          </cell>
        </row>
        <row r="1857">
          <cell r="A1857" t="str">
            <v>N046</v>
          </cell>
          <cell r="B1857" t="str">
            <v>NATIONAL ELECTRIC &amp; CONSTRUCTION CO.</v>
          </cell>
        </row>
        <row r="1858">
          <cell r="A1858" t="str">
            <v>N047</v>
          </cell>
          <cell r="B1858" t="str">
            <v>NORTHERN MINERALS LTD.</v>
          </cell>
        </row>
        <row r="1859">
          <cell r="A1859" t="str">
            <v>N048</v>
          </cell>
          <cell r="B1859" t="str">
            <v>NAV NIDHI BUILDERS</v>
          </cell>
        </row>
        <row r="1860">
          <cell r="A1860" t="str">
            <v>N049</v>
          </cell>
          <cell r="B1860" t="str">
            <v>NARENDER BUILDING MATERIAL SUPPLIER</v>
          </cell>
        </row>
        <row r="1861">
          <cell r="A1861" t="str">
            <v>N050</v>
          </cell>
          <cell r="B1861" t="str">
            <v>NIHON NIRMAN LTD.</v>
          </cell>
        </row>
        <row r="1862">
          <cell r="A1862" t="str">
            <v>N051</v>
          </cell>
          <cell r="B1862" t="str">
            <v>NAIK SANITATION</v>
          </cell>
        </row>
        <row r="1863">
          <cell r="A1863" t="str">
            <v>N052</v>
          </cell>
          <cell r="B1863" t="str">
            <v>NAV NIRMAN ENTERPRISES</v>
          </cell>
        </row>
        <row r="1864">
          <cell r="A1864" t="str">
            <v>N053</v>
          </cell>
          <cell r="B1864" t="str">
            <v>NISHANT BUILDERS</v>
          </cell>
        </row>
        <row r="1865">
          <cell r="A1865" t="str">
            <v>N054</v>
          </cell>
          <cell r="B1865" t="str">
            <v>NITAM ENTERPRISES</v>
          </cell>
        </row>
        <row r="1866">
          <cell r="A1866" t="str">
            <v>N055</v>
          </cell>
          <cell r="B1866" t="str">
            <v>NATIONAL SANITARY INSTALLATION</v>
          </cell>
        </row>
        <row r="1867">
          <cell r="A1867" t="str">
            <v>N056</v>
          </cell>
          <cell r="B1867" t="str">
            <v>NARINDER &amp; CO.</v>
          </cell>
        </row>
        <row r="1868">
          <cell r="A1868" t="str">
            <v>N057</v>
          </cell>
          <cell r="B1868" t="str">
            <v>NARINDER SINGH</v>
          </cell>
        </row>
        <row r="1869">
          <cell r="A1869" t="str">
            <v>N058</v>
          </cell>
          <cell r="B1869" t="str">
            <v>NIRAJ YADAV</v>
          </cell>
        </row>
        <row r="1870">
          <cell r="A1870" t="str">
            <v>N059</v>
          </cell>
          <cell r="B1870" t="str">
            <v>NABLE SANITARY</v>
          </cell>
        </row>
        <row r="1871">
          <cell r="A1871" t="str">
            <v>N060</v>
          </cell>
          <cell r="B1871" t="str">
            <v>NANDAN(INOP.)</v>
          </cell>
        </row>
        <row r="1872">
          <cell r="A1872" t="str">
            <v>N061</v>
          </cell>
          <cell r="B1872" t="str">
            <v>N.K.SAHOO</v>
          </cell>
        </row>
        <row r="1873">
          <cell r="A1873" t="str">
            <v>N062</v>
          </cell>
          <cell r="B1873" t="str">
            <v>NARAYAN SINGH(INOP.)</v>
          </cell>
        </row>
        <row r="1874">
          <cell r="A1874" t="str">
            <v>N063</v>
          </cell>
          <cell r="B1874" t="str">
            <v>NIRMAL PAINTS PVT LTD(INOP.)</v>
          </cell>
        </row>
        <row r="1875">
          <cell r="A1875" t="str">
            <v>N064</v>
          </cell>
          <cell r="B1875" t="str">
            <v>NAIR ARKIMETAL (P) LTD</v>
          </cell>
        </row>
        <row r="1876">
          <cell r="A1876" t="str">
            <v>N065</v>
          </cell>
          <cell r="B1876" t="str">
            <v>NET WORK CONSTRUCTION CO.(INOP.)</v>
          </cell>
        </row>
        <row r="1877">
          <cell r="A1877" t="str">
            <v>N066</v>
          </cell>
          <cell r="B1877" t="str">
            <v>NAV JYOTI CONSTRUCTION CO.(INOP.)</v>
          </cell>
        </row>
        <row r="1878">
          <cell r="A1878" t="str">
            <v>N067</v>
          </cell>
          <cell r="B1878" t="str">
            <v>NEOPOR SYSTEM GMBH</v>
          </cell>
        </row>
        <row r="1879">
          <cell r="A1879" t="str">
            <v>N068</v>
          </cell>
          <cell r="B1879" t="str">
            <v>NAV JYOTI ROLLING SHUTTER INDUSTRIES</v>
          </cell>
        </row>
        <row r="1880">
          <cell r="A1880" t="str">
            <v>N069</v>
          </cell>
          <cell r="B1880" t="str">
            <v>NEOMER-A DIVISION OF ALEMBIC CHEM.WORKS</v>
          </cell>
        </row>
        <row r="1881">
          <cell r="A1881" t="str">
            <v>N070</v>
          </cell>
          <cell r="B1881" t="str">
            <v>N K JAIN</v>
          </cell>
        </row>
        <row r="1882">
          <cell r="A1882" t="str">
            <v>N071</v>
          </cell>
          <cell r="B1882" t="str">
            <v>NEELKANTH MOTORS</v>
          </cell>
        </row>
        <row r="1883">
          <cell r="A1883" t="str">
            <v>N072</v>
          </cell>
          <cell r="B1883" t="str">
            <v>NETLON INDIA-A DIVISION OF PERRY CO. LTD</v>
          </cell>
        </row>
        <row r="1884">
          <cell r="A1884" t="str">
            <v>N073</v>
          </cell>
          <cell r="B1884" t="str">
            <v>N.I.I.T</v>
          </cell>
        </row>
        <row r="1885">
          <cell r="A1885" t="str">
            <v>N074</v>
          </cell>
          <cell r="B1885" t="str">
            <v>NATIONAL ELECTRONICS</v>
          </cell>
        </row>
        <row r="1886">
          <cell r="A1886" t="str">
            <v>N075</v>
          </cell>
          <cell r="B1886" t="str">
            <v>NCL ALLTEK LTD.</v>
          </cell>
        </row>
        <row r="1887">
          <cell r="A1887" t="str">
            <v>N076</v>
          </cell>
          <cell r="B1887" t="str">
            <v>NAVAIR INTERNATIONAL LTD.</v>
          </cell>
        </row>
        <row r="1888">
          <cell r="A1888" t="str">
            <v>N077</v>
          </cell>
          <cell r="B1888" t="str">
            <v>NEERAJ STEELS</v>
          </cell>
        </row>
        <row r="1889">
          <cell r="A1889" t="str">
            <v>N078</v>
          </cell>
          <cell r="B1889" t="str">
            <v>NEW CAPITAL MOTORS</v>
          </cell>
        </row>
        <row r="1890">
          <cell r="A1890" t="str">
            <v>N079</v>
          </cell>
          <cell r="B1890" t="str">
            <v>NAVKAR IRON STORE</v>
          </cell>
        </row>
        <row r="1891">
          <cell r="A1891" t="str">
            <v>N080</v>
          </cell>
          <cell r="B1891" t="str">
            <v>NABAL SANITARY</v>
          </cell>
        </row>
        <row r="1892">
          <cell r="A1892" t="str">
            <v>N081</v>
          </cell>
          <cell r="B1892" t="str">
            <v>NCL SECCOLOR LTD.</v>
          </cell>
        </row>
        <row r="1893">
          <cell r="A1893" t="str">
            <v>N082</v>
          </cell>
          <cell r="B1893" t="str">
            <v>NITCO MARBLE &amp; GRANITE PVT. LTD.</v>
          </cell>
        </row>
        <row r="1894">
          <cell r="A1894" t="str">
            <v>N083</v>
          </cell>
          <cell r="B1894" t="str">
            <v>NARESH KUMAR</v>
          </cell>
        </row>
        <row r="1895">
          <cell r="A1895" t="str">
            <v>N084</v>
          </cell>
          <cell r="B1895" t="str">
            <v>NARESH KUMAR YADAV</v>
          </cell>
        </row>
        <row r="1896">
          <cell r="A1896" t="str">
            <v>N085</v>
          </cell>
          <cell r="B1896" t="str">
            <v>N.P. TRAVELS</v>
          </cell>
        </row>
        <row r="1897">
          <cell r="A1897" t="str">
            <v>N086</v>
          </cell>
          <cell r="B1897" t="str">
            <v>NEW IRON STORE</v>
          </cell>
        </row>
        <row r="1898">
          <cell r="A1898" t="str">
            <v>N087</v>
          </cell>
          <cell r="B1898" t="str">
            <v>NITIN PRINTO CRAFTS</v>
          </cell>
        </row>
        <row r="1899">
          <cell r="A1899" t="str">
            <v>N088</v>
          </cell>
          <cell r="B1899" t="str">
            <v>NESTLE CARGO CORRIER</v>
          </cell>
        </row>
        <row r="1900">
          <cell r="A1900" t="str">
            <v>N089</v>
          </cell>
          <cell r="B1900" t="str">
            <v>NARENDRA ENTERPRISES</v>
          </cell>
        </row>
        <row r="1901">
          <cell r="A1901" t="str">
            <v>N090</v>
          </cell>
          <cell r="B1901" t="str">
            <v>NATIONAL TIMBER TRADERS</v>
          </cell>
        </row>
        <row r="1902">
          <cell r="A1902" t="str">
            <v>N091</v>
          </cell>
          <cell r="B1902" t="str">
            <v>N C DUGGAL (CONSULTANT)</v>
          </cell>
        </row>
        <row r="1903">
          <cell r="A1903" t="str">
            <v>N092</v>
          </cell>
          <cell r="B1903" t="str">
            <v>NEER SHREE CEMENT(UNIT OF MANGALAM CEM.)</v>
          </cell>
        </row>
        <row r="1904">
          <cell r="A1904" t="str">
            <v>N093</v>
          </cell>
          <cell r="B1904" t="str">
            <v>N K OVERSEAS TRADERS (P) LTD.</v>
          </cell>
        </row>
        <row r="1905">
          <cell r="A1905" t="str">
            <v>N094</v>
          </cell>
          <cell r="B1905" t="str">
            <v>JAIN POWER TOOLS &amp;REPAIR CENTRE</v>
          </cell>
        </row>
        <row r="1906">
          <cell r="A1906" t="str">
            <v>N095</v>
          </cell>
          <cell r="B1906" t="str">
            <v>NATIONAL THERMAL POWER CORPORATION</v>
          </cell>
        </row>
        <row r="1907">
          <cell r="A1907" t="str">
            <v>N096</v>
          </cell>
          <cell r="B1907" t="str">
            <v>NORTHERN INDIA ELECTRICALS</v>
          </cell>
        </row>
        <row r="1908">
          <cell r="A1908" t="str">
            <v>N097</v>
          </cell>
          <cell r="B1908" t="str">
            <v>NAGADI CONSULTANTS (P) LTD.</v>
          </cell>
        </row>
        <row r="1909">
          <cell r="A1909" t="str">
            <v>N098</v>
          </cell>
          <cell r="B1909" t="str">
            <v>NATIONAL HANDICRAFTS</v>
          </cell>
        </row>
        <row r="1910">
          <cell r="A1910" t="str">
            <v>N099</v>
          </cell>
          <cell r="B1910" t="str">
            <v>NACHI KETA FLUIDICS PVT. LTD.</v>
          </cell>
        </row>
        <row r="1911">
          <cell r="A1911" t="str">
            <v>N100</v>
          </cell>
          <cell r="B1911" t="str">
            <v>N K BHATT</v>
          </cell>
        </row>
        <row r="1912">
          <cell r="A1912" t="str">
            <v>N101</v>
          </cell>
          <cell r="B1912" t="str">
            <v>N K SHARMA</v>
          </cell>
        </row>
        <row r="1913">
          <cell r="A1913" t="str">
            <v>N102</v>
          </cell>
          <cell r="B1913" t="str">
            <v>NATIONAL SAFETY COUNCIL</v>
          </cell>
        </row>
        <row r="1914">
          <cell r="A1914" t="str">
            <v>N103</v>
          </cell>
          <cell r="B1914" t="str">
            <v>NIMCO PREFAB (BR. OFFICE)</v>
          </cell>
        </row>
        <row r="1915">
          <cell r="A1915" t="str">
            <v>N104</v>
          </cell>
          <cell r="B1915" t="str">
            <v>THE NATIONAL SCIENTIFIC INSTRUMENTS CO.</v>
          </cell>
        </row>
        <row r="1916">
          <cell r="A1916" t="str">
            <v>N105</v>
          </cell>
          <cell r="B1916" t="str">
            <v>N N PRASAD</v>
          </cell>
        </row>
        <row r="1917">
          <cell r="A1917" t="str">
            <v>N106</v>
          </cell>
          <cell r="B1917" t="str">
            <v>NALINI BISWAS</v>
          </cell>
        </row>
        <row r="1918">
          <cell r="A1918" t="str">
            <v>N107</v>
          </cell>
          <cell r="B1918" t="str">
            <v>NOBEL ELECTRIC CORPORATION</v>
          </cell>
        </row>
        <row r="1919">
          <cell r="A1919" t="str">
            <v>N108</v>
          </cell>
          <cell r="B1919" t="str">
            <v>NOBLE &amp; HEWITT</v>
          </cell>
        </row>
        <row r="1920">
          <cell r="A1920" t="str">
            <v>N109</v>
          </cell>
          <cell r="B1920" t="str">
            <v>NEERAJ ENTERPRISES</v>
          </cell>
        </row>
        <row r="1921">
          <cell r="A1921" t="str">
            <v>N110</v>
          </cell>
          <cell r="B1921" t="str">
            <v>NEW INDIA ASSURANCE CO. LTD.</v>
          </cell>
        </row>
        <row r="1922">
          <cell r="A1922" t="str">
            <v>N111</v>
          </cell>
          <cell r="B1922" t="str">
            <v>NOVELTY RADIO &amp; WATCH EXPERT CO. PVT.LTD</v>
          </cell>
        </row>
        <row r="1923">
          <cell r="A1923" t="str">
            <v>N112</v>
          </cell>
          <cell r="B1923" t="str">
            <v>NISHANT BUILDING MATERIAL CARRIER</v>
          </cell>
        </row>
        <row r="1924">
          <cell r="A1924" t="str">
            <v>N113</v>
          </cell>
          <cell r="B1924" t="str">
            <v>NATIONAL CABLE INDUSTRIES</v>
          </cell>
        </row>
        <row r="1925">
          <cell r="A1925" t="str">
            <v>N114</v>
          </cell>
          <cell r="B1925" t="str">
            <v>NARAIN BUILDERS</v>
          </cell>
        </row>
        <row r="1926">
          <cell r="A1926" t="str">
            <v>N115</v>
          </cell>
          <cell r="B1926" t="str">
            <v>NEW INDIA SANITARY ENGINEERS</v>
          </cell>
        </row>
        <row r="1927">
          <cell r="A1927" t="str">
            <v>N116</v>
          </cell>
          <cell r="B1927" t="str">
            <v>N K S BUILDERS</v>
          </cell>
        </row>
        <row r="1928">
          <cell r="A1928" t="str">
            <v>N117</v>
          </cell>
          <cell r="B1928" t="str">
            <v>NATIONAL CEMENT CONCRET WORKS</v>
          </cell>
        </row>
        <row r="1929">
          <cell r="A1929" t="str">
            <v>N118</v>
          </cell>
          <cell r="B1929" t="str">
            <v>NOVA WATER PROOFING CO.</v>
          </cell>
        </row>
        <row r="1930">
          <cell r="A1930" t="str">
            <v>N119</v>
          </cell>
          <cell r="B1930" t="str">
            <v>NISAG FIRE SYSTEMS PVT. LTD.</v>
          </cell>
        </row>
        <row r="1931">
          <cell r="A1931" t="str">
            <v>N120</v>
          </cell>
          <cell r="B1931" t="str">
            <v>N T KOTHARI &amp; CO.</v>
          </cell>
        </row>
        <row r="1932">
          <cell r="A1932" t="str">
            <v>N121</v>
          </cell>
          <cell r="B1932" t="str">
            <v>NARENDER KUMAR JAIN</v>
          </cell>
        </row>
        <row r="1933">
          <cell r="A1933" t="str">
            <v>N122</v>
          </cell>
          <cell r="B1933" t="str">
            <v>NIRMAL MOTOR WORKSHOP</v>
          </cell>
        </row>
        <row r="1934">
          <cell r="A1934" t="str">
            <v>N123</v>
          </cell>
          <cell r="B1934" t="str">
            <v>NICMAR</v>
          </cell>
        </row>
        <row r="1935">
          <cell r="A1935" t="str">
            <v>N124</v>
          </cell>
          <cell r="B1935" t="str">
            <v>NIHAL SINGH BHATTA COMPANY</v>
          </cell>
        </row>
        <row r="1936">
          <cell r="A1936" t="str">
            <v>N125</v>
          </cell>
          <cell r="B1936" t="str">
            <v>NEW AGE HOSE MANUFACTURING CO.</v>
          </cell>
        </row>
        <row r="1937">
          <cell r="A1937" t="str">
            <v>N126</v>
          </cell>
          <cell r="B1937" t="str">
            <v>NEW AGE INDUSTRIES</v>
          </cell>
        </row>
        <row r="1938">
          <cell r="A1938" t="str">
            <v>N127</v>
          </cell>
          <cell r="B1938" t="str">
            <v>NAGPAL &amp; SONS</v>
          </cell>
        </row>
        <row r="1939">
          <cell r="A1939" t="str">
            <v>N128</v>
          </cell>
          <cell r="B1939" t="str">
            <v>NALKOOP INDIA</v>
          </cell>
        </row>
        <row r="1940">
          <cell r="A1940" t="str">
            <v>N129</v>
          </cell>
          <cell r="B1940" t="str">
            <v>NATIONAL FABRICATORS</v>
          </cell>
        </row>
        <row r="1941">
          <cell r="A1941" t="str">
            <v>N130</v>
          </cell>
          <cell r="B1941" t="str">
            <v>NITCO TILES LTD.</v>
          </cell>
        </row>
        <row r="1942">
          <cell r="A1942" t="str">
            <v>N131</v>
          </cell>
          <cell r="B1942" t="str">
            <v>NIRMAL CONTRACTS</v>
          </cell>
        </row>
        <row r="1943">
          <cell r="A1943" t="str">
            <v>N132</v>
          </cell>
          <cell r="B1943" t="str">
            <v>NIPOON COMPUTER AIDS (PVT.) LTD.</v>
          </cell>
        </row>
        <row r="1944">
          <cell r="A1944" t="str">
            <v>N133</v>
          </cell>
          <cell r="B1944" t="str">
            <v>NIMATYA ASSOCIATES</v>
          </cell>
        </row>
        <row r="1945">
          <cell r="A1945" t="str">
            <v>N134</v>
          </cell>
          <cell r="B1945" t="str">
            <v>NARESH KUMAR</v>
          </cell>
        </row>
        <row r="1946">
          <cell r="A1946" t="str">
            <v>N135</v>
          </cell>
          <cell r="B1946" t="str">
            <v>N.C.MEHTA &amp; CO.</v>
          </cell>
        </row>
        <row r="1947">
          <cell r="A1947" t="str">
            <v>N136</v>
          </cell>
          <cell r="B1947" t="str">
            <v>NETCOM TECHNOLOGIES</v>
          </cell>
        </row>
        <row r="1948">
          <cell r="A1948" t="str">
            <v>N137</v>
          </cell>
          <cell r="B1948" t="str">
            <v>NEW ERA ELECTRICAL WORKS</v>
          </cell>
        </row>
        <row r="1949">
          <cell r="A1949" t="str">
            <v>N138</v>
          </cell>
          <cell r="B1949" t="str">
            <v>NORTH INDIA COMPUTERS</v>
          </cell>
        </row>
        <row r="1950">
          <cell r="A1950" t="str">
            <v>N139</v>
          </cell>
          <cell r="B1950" t="str">
            <v>NUTECH HYDROBLASTERS PVT/LTD.</v>
          </cell>
        </row>
        <row r="1951">
          <cell r="A1951" t="str">
            <v>N140</v>
          </cell>
          <cell r="B1951" t="str">
            <v>NANDJI DECORATOR</v>
          </cell>
        </row>
        <row r="1952">
          <cell r="A1952" t="str">
            <v>N141</v>
          </cell>
          <cell r="B1952" t="str">
            <v>NANIKA INTERNATIONAL</v>
          </cell>
        </row>
        <row r="1953">
          <cell r="A1953" t="str">
            <v>N142</v>
          </cell>
          <cell r="B1953" t="str">
            <v>NAGENDRA PAL</v>
          </cell>
        </row>
        <row r="1954">
          <cell r="A1954" t="str">
            <v>N143</v>
          </cell>
          <cell r="B1954" t="str">
            <v>NEW TECH PNEUMATICS (P) LTD</v>
          </cell>
        </row>
        <row r="1955">
          <cell r="A1955" t="str">
            <v>N144</v>
          </cell>
          <cell r="B1955" t="str">
            <v>NEERAJ KUMAR</v>
          </cell>
        </row>
        <row r="1956">
          <cell r="A1956" t="str">
            <v>N801</v>
          </cell>
          <cell r="B1956" t="str">
            <v>NIRMALA DEVI</v>
          </cell>
        </row>
        <row r="1957">
          <cell r="A1957" t="str">
            <v>N802</v>
          </cell>
          <cell r="B1957" t="str">
            <v>NEELAM BEDI</v>
          </cell>
        </row>
        <row r="1958">
          <cell r="A1958" t="str">
            <v>N803</v>
          </cell>
          <cell r="B1958" t="str">
            <v>NITA GOEL</v>
          </cell>
        </row>
        <row r="1959">
          <cell r="A1959" t="str">
            <v>N804</v>
          </cell>
          <cell r="B1959" t="str">
            <v>N.R.GOEL &amp; SONS (HUF)</v>
          </cell>
        </row>
        <row r="1960">
          <cell r="A1960" t="str">
            <v>N805</v>
          </cell>
          <cell r="B1960" t="str">
            <v>NCL SECCOLOR LTD.</v>
          </cell>
        </row>
        <row r="1961">
          <cell r="A1961" t="str">
            <v>N806</v>
          </cell>
          <cell r="B1961" t="str">
            <v>NITIN PRINTO CRAFTS</v>
          </cell>
        </row>
        <row r="1962">
          <cell r="A1962" t="str">
            <v>N807</v>
          </cell>
          <cell r="B1962" t="str">
            <v>MRS. NEELAM KAPOOR</v>
          </cell>
        </row>
        <row r="1963">
          <cell r="A1963" t="str">
            <v>N808</v>
          </cell>
          <cell r="B1963" t="str">
            <v>NATHU SINGH RAWAT</v>
          </cell>
        </row>
        <row r="1964">
          <cell r="A1964" t="str">
            <v>N901</v>
          </cell>
          <cell r="B1964" t="str">
            <v>NAYAN DECOR(INOP.)</v>
          </cell>
        </row>
        <row r="1965">
          <cell r="A1965" t="str">
            <v>N902</v>
          </cell>
          <cell r="B1965" t="str">
            <v>NAND KISHORE CONSTRUCTION CO.(INOP.)</v>
          </cell>
        </row>
        <row r="1966">
          <cell r="A1966" t="str">
            <v>O001</v>
          </cell>
          <cell r="B1966" t="str">
            <v>OM PRAKASH KALU RAM</v>
          </cell>
        </row>
        <row r="1967">
          <cell r="A1967" t="str">
            <v>O002</v>
          </cell>
          <cell r="B1967" t="str">
            <v>OM PRAKSH SAT NARAIN</v>
          </cell>
        </row>
        <row r="1968">
          <cell r="A1968" t="str">
            <v>O003</v>
          </cell>
          <cell r="B1968" t="str">
            <v>ORIENTAL ROSEWOOD</v>
          </cell>
        </row>
        <row r="1969">
          <cell r="A1969" t="str">
            <v>O004</v>
          </cell>
          <cell r="B1969" t="str">
            <v>OVERSEAS WATERPROOFING CORP.</v>
          </cell>
        </row>
        <row r="1970">
          <cell r="A1970" t="str">
            <v>O005</v>
          </cell>
          <cell r="B1970" t="str">
            <v>OVERNITE EXPRESS LTD.</v>
          </cell>
        </row>
        <row r="1971">
          <cell r="A1971" t="str">
            <v>O006</v>
          </cell>
          <cell r="B1971" t="str">
            <v>OM DUTT YADAV</v>
          </cell>
        </row>
        <row r="1972">
          <cell r="A1972" t="str">
            <v>O007</v>
          </cell>
          <cell r="B1972" t="str">
            <v>ORIENT ENGINEERS</v>
          </cell>
        </row>
        <row r="1973">
          <cell r="A1973" t="str">
            <v>O008</v>
          </cell>
          <cell r="B1973" t="str">
            <v>OTIS ELEVATORS CO.</v>
          </cell>
        </row>
        <row r="1974">
          <cell r="A1974" t="str">
            <v>O009</v>
          </cell>
          <cell r="B1974" t="str">
            <v>OM PARKASH</v>
          </cell>
        </row>
        <row r="1975">
          <cell r="A1975" t="str">
            <v>O010</v>
          </cell>
          <cell r="B1975" t="str">
            <v>OMRESH CONTRACTOR</v>
          </cell>
        </row>
        <row r="1976">
          <cell r="A1976" t="str">
            <v>O011</v>
          </cell>
          <cell r="B1976" t="str">
            <v>ONKAR STONE CRUSHING CO.</v>
          </cell>
        </row>
        <row r="1977">
          <cell r="A1977" t="str">
            <v>O012</v>
          </cell>
          <cell r="B1977" t="str">
            <v>OM ELECTRIC WORKS</v>
          </cell>
        </row>
        <row r="1978">
          <cell r="A1978" t="str">
            <v>O013</v>
          </cell>
          <cell r="B1978" t="str">
            <v>OM BUILDING MATERIAL SUPPLIER</v>
          </cell>
        </row>
        <row r="1979">
          <cell r="A1979" t="str">
            <v>O014</v>
          </cell>
          <cell r="B1979" t="str">
            <v>ON JOB CONSTRUCTION PVT. LTD.</v>
          </cell>
        </row>
        <row r="1980">
          <cell r="A1980" t="str">
            <v>O015</v>
          </cell>
          <cell r="B1980" t="str">
            <v>O P KAPOOR &amp; CO.</v>
          </cell>
        </row>
        <row r="1981">
          <cell r="A1981" t="str">
            <v>O016</v>
          </cell>
          <cell r="B1981" t="str">
            <v>OMPAL ENGINEERING WORKS</v>
          </cell>
        </row>
        <row r="1982">
          <cell r="A1982" t="str">
            <v>O017</v>
          </cell>
          <cell r="B1982" t="str">
            <v>ORIENT AIRCONDISION SERVICES</v>
          </cell>
        </row>
        <row r="1983">
          <cell r="A1983" t="str">
            <v>O018</v>
          </cell>
          <cell r="B1983" t="str">
            <v>ORIENT AGENCY</v>
          </cell>
        </row>
        <row r="1984">
          <cell r="A1984" t="str">
            <v>O019</v>
          </cell>
          <cell r="B1984" t="str">
            <v>OM ENTERPRISES</v>
          </cell>
        </row>
        <row r="1985">
          <cell r="A1985" t="str">
            <v>O020</v>
          </cell>
          <cell r="B1985" t="str">
            <v>OVERSEAS COMMERCIAL CORP.</v>
          </cell>
        </row>
        <row r="1986">
          <cell r="A1986" t="str">
            <v>O021</v>
          </cell>
          <cell r="B1986" t="str">
            <v>OMAM CONSULTANTS PRIVATE LIMITED</v>
          </cell>
        </row>
        <row r="1987">
          <cell r="A1987" t="str">
            <v>O022</v>
          </cell>
          <cell r="B1987" t="str">
            <v>OM PRAKASH</v>
          </cell>
        </row>
        <row r="1988">
          <cell r="A1988" t="str">
            <v>O023</v>
          </cell>
          <cell r="B1988" t="str">
            <v>ORACLE SOFTWARE INDIA LTD</v>
          </cell>
        </row>
        <row r="1989">
          <cell r="A1989" t="str">
            <v>O024</v>
          </cell>
          <cell r="B1989" t="str">
            <v>ORIENTAL TRADING CO.</v>
          </cell>
        </row>
        <row r="1990">
          <cell r="A1990" t="str">
            <v>O025</v>
          </cell>
          <cell r="B1990" t="str">
            <v>ORIENT TRANSPORT AGENCY</v>
          </cell>
        </row>
        <row r="1991">
          <cell r="A1991" t="str">
            <v>O026</v>
          </cell>
          <cell r="B1991" t="str">
            <v>OM ENGG. &amp; CONTRACTORS</v>
          </cell>
        </row>
        <row r="1992">
          <cell r="A1992" t="str">
            <v>O027</v>
          </cell>
          <cell r="B1992" t="str">
            <v>OM PRAKASH</v>
          </cell>
        </row>
        <row r="1993">
          <cell r="A1993" t="str">
            <v>O028</v>
          </cell>
          <cell r="B1993" t="str">
            <v>OLD IRON STORE</v>
          </cell>
        </row>
        <row r="1994">
          <cell r="A1994" t="str">
            <v>O029</v>
          </cell>
          <cell r="B1994" t="str">
            <v>ORGANISATION DEVELOPMENT INSTITUTE</v>
          </cell>
        </row>
        <row r="1995">
          <cell r="A1995" t="str">
            <v>O030</v>
          </cell>
          <cell r="B1995" t="str">
            <v>OSWAL MOTORS</v>
          </cell>
        </row>
        <row r="1996">
          <cell r="A1996" t="str">
            <v>O031</v>
          </cell>
          <cell r="B1996" t="str">
            <v>RAM DEV</v>
          </cell>
        </row>
        <row r="1997">
          <cell r="A1997" t="str">
            <v>O032</v>
          </cell>
          <cell r="B1997" t="str">
            <v>OM PRAKASH &amp; SONS</v>
          </cell>
        </row>
        <row r="1998">
          <cell r="A1998" t="str">
            <v>O033</v>
          </cell>
          <cell r="B1998" t="str">
            <v>OD CONSULTANT (P) LTD</v>
          </cell>
        </row>
        <row r="1999">
          <cell r="A1999" t="str">
            <v>P001</v>
          </cell>
          <cell r="B1999" t="str">
            <v>PARKASH LAL &amp; CO.</v>
          </cell>
        </row>
        <row r="2000">
          <cell r="A2000" t="str">
            <v>P002</v>
          </cell>
          <cell r="B2000" t="str">
            <v>PARKASH INDUSTRIAL CORP.</v>
          </cell>
        </row>
        <row r="2001">
          <cell r="A2001" t="str">
            <v>P003</v>
          </cell>
          <cell r="B2001" t="str">
            <v>P. S. BEHNIWAL BLDG. MATERIAL CARRIER</v>
          </cell>
        </row>
        <row r="2002">
          <cell r="A2002" t="str">
            <v>P004</v>
          </cell>
          <cell r="B2002" t="str">
            <v>PRICISION ELECTRICALS</v>
          </cell>
        </row>
        <row r="2003">
          <cell r="A2003" t="str">
            <v>P005</v>
          </cell>
          <cell r="B2003" t="str">
            <v>PANEL BUILDERS</v>
          </cell>
        </row>
        <row r="2004">
          <cell r="A2004" t="str">
            <v>P006</v>
          </cell>
          <cell r="B2004" t="str">
            <v>POLY PLAST INERNATIONAL</v>
          </cell>
        </row>
        <row r="2005">
          <cell r="A2005" t="str">
            <v>P007</v>
          </cell>
          <cell r="B2005" t="str">
            <v>P. N. CONSTRUCTION EQUIPMENT CO.</v>
          </cell>
        </row>
        <row r="2006">
          <cell r="A2006" t="str">
            <v>P008</v>
          </cell>
          <cell r="B2006" t="str">
            <v>PRAKASH SANITARY APPLIANCES PVT. LTD.</v>
          </cell>
        </row>
        <row r="2007">
          <cell r="A2007" t="str">
            <v>P009</v>
          </cell>
          <cell r="B2007" t="str">
            <v>P. N. SAFETECH PVT LTD.</v>
          </cell>
        </row>
        <row r="2008">
          <cell r="A2008" t="str">
            <v>P010</v>
          </cell>
          <cell r="B2008" t="str">
            <v>PRAHLAD</v>
          </cell>
        </row>
        <row r="2009">
          <cell r="A2009" t="str">
            <v>P011</v>
          </cell>
          <cell r="B2009" t="str">
            <v>PAPUL SARKAR</v>
          </cell>
        </row>
        <row r="2010">
          <cell r="A2010" t="str">
            <v>P012</v>
          </cell>
          <cell r="B2010" t="str">
            <v>PASHUPATI CONSTRUCTION &amp; ENGINEERING</v>
          </cell>
        </row>
        <row r="2011">
          <cell r="A2011" t="str">
            <v>P013</v>
          </cell>
          <cell r="B2011" t="str">
            <v>PREM OIL CO.</v>
          </cell>
        </row>
        <row r="2012">
          <cell r="A2012" t="str">
            <v>P014</v>
          </cell>
          <cell r="B2012" t="str">
            <v>P. N. KHALIFA</v>
          </cell>
        </row>
        <row r="2013">
          <cell r="A2013" t="str">
            <v>P015</v>
          </cell>
          <cell r="B2013" t="str">
            <v>PADAM DECORATORS</v>
          </cell>
        </row>
        <row r="2014">
          <cell r="A2014" t="str">
            <v>P016</v>
          </cell>
          <cell r="B2014" t="str">
            <v>PELHORA CONSTRUCTION</v>
          </cell>
        </row>
        <row r="2015">
          <cell r="A2015" t="str">
            <v>P017</v>
          </cell>
          <cell r="B2015" t="str">
            <v>PROAPP</v>
          </cell>
        </row>
        <row r="2016">
          <cell r="A2016" t="str">
            <v>P018</v>
          </cell>
          <cell r="B2016" t="str">
            <v>PRINCE AUTOMOBILES</v>
          </cell>
        </row>
        <row r="2017">
          <cell r="A2017" t="str">
            <v>P019</v>
          </cell>
          <cell r="B2017" t="str">
            <v>PRITHU NATH &amp; CO.</v>
          </cell>
        </row>
        <row r="2018">
          <cell r="A2018" t="str">
            <v>P020</v>
          </cell>
          <cell r="B2018" t="str">
            <v>PANKAJ ELECTRICALS</v>
          </cell>
        </row>
        <row r="2019">
          <cell r="A2019" t="str">
            <v>P021</v>
          </cell>
          <cell r="B2019" t="str">
            <v>PILCO MARKETING AND MANUFACTURE CORP.</v>
          </cell>
        </row>
        <row r="2020">
          <cell r="A2020" t="str">
            <v>P022</v>
          </cell>
          <cell r="B2020" t="str">
            <v>PARU CONSTRUCTION</v>
          </cell>
        </row>
        <row r="2021">
          <cell r="A2021" t="str">
            <v>P023</v>
          </cell>
          <cell r="B2021" t="str">
            <v>PARKAR COMPUTER CENTRE</v>
          </cell>
        </row>
        <row r="2022">
          <cell r="A2022" t="str">
            <v>P024</v>
          </cell>
          <cell r="B2022" t="str">
            <v>PARK MOTORS</v>
          </cell>
        </row>
        <row r="2023">
          <cell r="A2023" t="str">
            <v>P025</v>
          </cell>
          <cell r="B2023" t="str">
            <v>PROMPT TRANSPORT</v>
          </cell>
        </row>
        <row r="2024">
          <cell r="A2024" t="str">
            <v>P026</v>
          </cell>
          <cell r="B2024" t="str">
            <v>PRATIBODH</v>
          </cell>
        </row>
        <row r="2025">
          <cell r="A2025" t="str">
            <v>P027</v>
          </cell>
          <cell r="B2025" t="str">
            <v>PRICE WATER HOUSE</v>
          </cell>
        </row>
        <row r="2026">
          <cell r="A2026" t="str">
            <v>P028</v>
          </cell>
          <cell r="B2026" t="str">
            <v>PUNJAB DISTRIBUTORS PVT. LTD.</v>
          </cell>
        </row>
        <row r="2027">
          <cell r="A2027" t="str">
            <v>P029</v>
          </cell>
          <cell r="B2027" t="str">
            <v>PREMIER HORTICULTURE</v>
          </cell>
        </row>
        <row r="2028">
          <cell r="A2028" t="str">
            <v>P030</v>
          </cell>
          <cell r="B2028" t="str">
            <v>P S BENEWAL BUILDING MATERIAL CARRIER</v>
          </cell>
        </row>
        <row r="2029">
          <cell r="A2029" t="str">
            <v>P031</v>
          </cell>
          <cell r="B2029" t="str">
            <v>PRABHAKAR NATH</v>
          </cell>
        </row>
        <row r="2030">
          <cell r="A2030" t="str">
            <v>P032</v>
          </cell>
          <cell r="B2030" t="str">
            <v>PURAN SHARMA</v>
          </cell>
        </row>
        <row r="2031">
          <cell r="A2031" t="str">
            <v>P033</v>
          </cell>
          <cell r="B2031" t="str">
            <v>PAWAN CONSTRUCTION CO.</v>
          </cell>
        </row>
        <row r="2032">
          <cell r="A2032" t="str">
            <v>P034</v>
          </cell>
          <cell r="B2032" t="str">
            <v>PREM CHAND</v>
          </cell>
        </row>
        <row r="2033">
          <cell r="A2033" t="str">
            <v>P035</v>
          </cell>
          <cell r="B2033" t="str">
            <v>PARKHITRAN SINGH</v>
          </cell>
        </row>
        <row r="2034">
          <cell r="A2034" t="str">
            <v>P036</v>
          </cell>
          <cell r="B2034" t="str">
            <v>PAWAN KUMARI</v>
          </cell>
        </row>
        <row r="2035">
          <cell r="A2035" t="str">
            <v>P037</v>
          </cell>
          <cell r="B2035" t="str">
            <v>PIONEER ELECTRICAL ENGG.</v>
          </cell>
        </row>
        <row r="2036">
          <cell r="A2036" t="str">
            <v>P038</v>
          </cell>
          <cell r="B2036" t="str">
            <v>PARVEEN CHAUHAN</v>
          </cell>
        </row>
        <row r="2037">
          <cell r="A2037" t="str">
            <v>P039</v>
          </cell>
          <cell r="B2037" t="str">
            <v>PARAS RAM</v>
          </cell>
        </row>
        <row r="2038">
          <cell r="A2038" t="str">
            <v>P040</v>
          </cell>
          <cell r="B2038" t="str">
            <v>PATTI LAL</v>
          </cell>
        </row>
        <row r="2039">
          <cell r="A2039" t="str">
            <v>P041</v>
          </cell>
          <cell r="B2039" t="str">
            <v>PAPPU</v>
          </cell>
        </row>
        <row r="2040">
          <cell r="A2040" t="str">
            <v>P042</v>
          </cell>
          <cell r="B2040" t="str">
            <v>PRATAP SINGH</v>
          </cell>
        </row>
        <row r="2041">
          <cell r="A2041" t="str">
            <v>P043</v>
          </cell>
          <cell r="B2041" t="str">
            <v>PERRY &amp; CO.</v>
          </cell>
        </row>
        <row r="2042">
          <cell r="A2042" t="str">
            <v>P044</v>
          </cell>
          <cell r="B2042" t="str">
            <v>PREET SINGH</v>
          </cell>
        </row>
        <row r="2043">
          <cell r="A2043" t="str">
            <v>P045</v>
          </cell>
          <cell r="B2043" t="str">
            <v>PRAKASH CHAND BARIK</v>
          </cell>
        </row>
        <row r="2044">
          <cell r="A2044" t="str">
            <v>P046</v>
          </cell>
          <cell r="B2044" t="str">
            <v>PANMARK CONSULTANTS</v>
          </cell>
        </row>
        <row r="2045">
          <cell r="A2045" t="str">
            <v>P047</v>
          </cell>
          <cell r="B2045" t="str">
            <v>PANCHAM ELECTRICALS</v>
          </cell>
        </row>
        <row r="2046">
          <cell r="A2046" t="str">
            <v>P048</v>
          </cell>
          <cell r="B2046" t="str">
            <v>PYARE LAL &amp; SONS (EAST PUNJAB) LTD.</v>
          </cell>
        </row>
        <row r="2047">
          <cell r="A2047" t="str">
            <v>P049</v>
          </cell>
          <cell r="B2047" t="str">
            <v>PEST CONTROL CO.</v>
          </cell>
        </row>
        <row r="2048">
          <cell r="A2048" t="str">
            <v>P050</v>
          </cell>
          <cell r="B2048" t="str">
            <v>POOJA SANITARY</v>
          </cell>
        </row>
        <row r="2049">
          <cell r="A2049" t="str">
            <v>P051</v>
          </cell>
          <cell r="B2049" t="str">
            <v>PRABHU DAYAL</v>
          </cell>
        </row>
        <row r="2050">
          <cell r="A2050" t="str">
            <v>P052</v>
          </cell>
          <cell r="B2050" t="str">
            <v>POTENTIAL ELECTRIC CO. PVT. LTD.</v>
          </cell>
        </row>
        <row r="2051">
          <cell r="A2051" t="str">
            <v>P053</v>
          </cell>
          <cell r="B2051" t="str">
            <v>PREM DECORATORS</v>
          </cell>
        </row>
        <row r="2052">
          <cell r="A2052" t="str">
            <v>P054</v>
          </cell>
          <cell r="B2052" t="str">
            <v>PREMIER AGENCIES</v>
          </cell>
        </row>
        <row r="2053">
          <cell r="A2053" t="str">
            <v>P055</v>
          </cell>
          <cell r="B2053" t="str">
            <v>PARKASH ELECTRICALS</v>
          </cell>
        </row>
        <row r="2054">
          <cell r="A2054" t="str">
            <v>P056</v>
          </cell>
          <cell r="B2054" t="str">
            <v>PORTA CABIN</v>
          </cell>
        </row>
        <row r="2055">
          <cell r="A2055" t="str">
            <v>P057</v>
          </cell>
          <cell r="B2055" t="str">
            <v>PATEL ROADWAYA LTD.</v>
          </cell>
        </row>
        <row r="2056">
          <cell r="A2056" t="str">
            <v>P058</v>
          </cell>
          <cell r="B2056" t="str">
            <v>P P GHOSH</v>
          </cell>
        </row>
        <row r="2057">
          <cell r="A2057" t="str">
            <v>P059</v>
          </cell>
          <cell r="B2057" t="str">
            <v>PLUS POINT</v>
          </cell>
        </row>
        <row r="2058">
          <cell r="A2058" t="str">
            <v>P060</v>
          </cell>
          <cell r="B2058" t="str">
            <v>PERFECT CONSTRUCTION(INOP.)</v>
          </cell>
        </row>
        <row r="2059">
          <cell r="A2059" t="str">
            <v>P061</v>
          </cell>
          <cell r="B2059" t="str">
            <v>PAWITRA BISWAS(INOP.)</v>
          </cell>
        </row>
        <row r="2060">
          <cell r="A2060" t="str">
            <v>P062</v>
          </cell>
          <cell r="B2060" t="str">
            <v>PATHIC ENGINEERING WORKS</v>
          </cell>
        </row>
        <row r="2061">
          <cell r="A2061" t="str">
            <v>P063</v>
          </cell>
          <cell r="B2061" t="str">
            <v>PEE GEE ENTERPRISES(INOP.)</v>
          </cell>
        </row>
        <row r="2062">
          <cell r="A2062" t="str">
            <v>P064</v>
          </cell>
          <cell r="B2062" t="str">
            <v>PRITAM SINGH GABRIA(INOP.)</v>
          </cell>
        </row>
        <row r="2063">
          <cell r="A2063" t="str">
            <v>P065</v>
          </cell>
          <cell r="B2063" t="str">
            <v>PARHLAD YADAV(INOP.)</v>
          </cell>
        </row>
        <row r="2064">
          <cell r="A2064" t="str">
            <v>P066</v>
          </cell>
          <cell r="B2064" t="str">
            <v>PRAMOD KUMAR</v>
          </cell>
        </row>
        <row r="2065">
          <cell r="A2065" t="str">
            <v>P067</v>
          </cell>
          <cell r="B2065" t="str">
            <v>PUNJAB NATIONAL BANK A/C CUSTOM DUTY</v>
          </cell>
        </row>
        <row r="2066">
          <cell r="A2066" t="str">
            <v>P068</v>
          </cell>
          <cell r="B2066" t="str">
            <v>PRATEEK TRANSPORT</v>
          </cell>
        </row>
        <row r="2067">
          <cell r="A2067" t="str">
            <v>P069</v>
          </cell>
          <cell r="B2067" t="str">
            <v>PROGRESSIVE SURVEYING SYSTEMS (P) LTD.</v>
          </cell>
        </row>
        <row r="2068">
          <cell r="A2068" t="str">
            <v>P070</v>
          </cell>
          <cell r="B2068" t="str">
            <v>PUSHKAR SINGH</v>
          </cell>
        </row>
        <row r="2069">
          <cell r="A2069" t="str">
            <v>P071</v>
          </cell>
          <cell r="B2069" t="str">
            <v>P.S.INTERIORS</v>
          </cell>
        </row>
        <row r="2070">
          <cell r="A2070" t="str">
            <v>P072</v>
          </cell>
          <cell r="B2070" t="str">
            <v>PANEL BUILDERS INDIA PVT. LTD.</v>
          </cell>
        </row>
        <row r="2071">
          <cell r="A2071" t="str">
            <v>P073</v>
          </cell>
          <cell r="B2071" t="str">
            <v>PINTU NURSERY</v>
          </cell>
        </row>
        <row r="2072">
          <cell r="A2072" t="str">
            <v>P074</v>
          </cell>
          <cell r="B2072" t="str">
            <v>PARTAP NURSERY</v>
          </cell>
        </row>
        <row r="2073">
          <cell r="A2073" t="str">
            <v>P075</v>
          </cell>
          <cell r="B2073" t="str">
            <v>PRADHAN NURSERY</v>
          </cell>
        </row>
        <row r="2074">
          <cell r="A2074" t="str">
            <v>P076</v>
          </cell>
          <cell r="B2074" t="str">
            <v>PRIVAT HOSPITAL</v>
          </cell>
        </row>
        <row r="2075">
          <cell r="A2075" t="str">
            <v>P103</v>
          </cell>
          <cell r="B2075" t="str">
            <v>SILVER OAKS</v>
          </cell>
        </row>
        <row r="2076">
          <cell r="A2076" t="str">
            <v>P111</v>
          </cell>
          <cell r="B2076" t="str">
            <v>TOWN HOUSES PHASE-III</v>
          </cell>
        </row>
        <row r="2077">
          <cell r="A2077" t="str">
            <v>P112</v>
          </cell>
          <cell r="B2077" t="str">
            <v>PRECISION ENGINEERS</v>
          </cell>
        </row>
        <row r="2078">
          <cell r="A2078" t="str">
            <v>P115</v>
          </cell>
          <cell r="B2078" t="str">
            <v>ADD. TOWN HOUSES</v>
          </cell>
        </row>
        <row r="2079">
          <cell r="A2079" t="str">
            <v>P121</v>
          </cell>
          <cell r="B2079" t="str">
            <v>SECTOR ROAD</v>
          </cell>
        </row>
        <row r="2080">
          <cell r="A2080" t="str">
            <v>P124</v>
          </cell>
          <cell r="B2080" t="str">
            <v>MARUTI HOUSING</v>
          </cell>
        </row>
        <row r="2081">
          <cell r="A2081" t="str">
            <v>P128</v>
          </cell>
          <cell r="B2081" t="str">
            <v>MARKETING OFFICE</v>
          </cell>
        </row>
        <row r="2082">
          <cell r="A2082" t="str">
            <v>P129</v>
          </cell>
          <cell r="B2082" t="str">
            <v>OVERSEAS PROJECT  KUWAIT</v>
          </cell>
        </row>
        <row r="2083">
          <cell r="A2083" t="str">
            <v>P130</v>
          </cell>
          <cell r="B2083" t="str">
            <v>PARK &amp; SHOP</v>
          </cell>
        </row>
        <row r="2084">
          <cell r="A2084" t="str">
            <v>P131</v>
          </cell>
          <cell r="B2084" t="str">
            <v>GAIL AURIYA</v>
          </cell>
        </row>
        <row r="2085">
          <cell r="A2085" t="str">
            <v>P132</v>
          </cell>
          <cell r="B2085" t="str">
            <v>N D D B</v>
          </cell>
        </row>
        <row r="2086">
          <cell r="A2086" t="str">
            <v>P133</v>
          </cell>
          <cell r="B2086" t="str">
            <v>BEVERLY PARK-I</v>
          </cell>
        </row>
        <row r="2087">
          <cell r="A2087" t="str">
            <v>P134</v>
          </cell>
          <cell r="B2087" t="str">
            <v>I O C L</v>
          </cell>
        </row>
        <row r="2088">
          <cell r="A2088" t="str">
            <v>P135</v>
          </cell>
          <cell r="B2088" t="str">
            <v>UGP - S OAKS</v>
          </cell>
        </row>
        <row r="2089">
          <cell r="A2089" t="str">
            <v>P137</v>
          </cell>
          <cell r="B2089" t="str">
            <v>SILVER OAKS EWS</v>
          </cell>
        </row>
        <row r="2090">
          <cell r="A2090" t="str">
            <v>P138</v>
          </cell>
          <cell r="B2090" t="str">
            <v>SILVER OAKS BLD. 120/121/122</v>
          </cell>
        </row>
        <row r="2091">
          <cell r="A2091" t="str">
            <v>P139</v>
          </cell>
          <cell r="B2091" t="str">
            <v>UNDERGROUND 'B' &amp; 'C'</v>
          </cell>
        </row>
        <row r="2092">
          <cell r="A2092" t="str">
            <v>P140</v>
          </cell>
          <cell r="B2092" t="str">
            <v>STOP &amp; SHOP</v>
          </cell>
        </row>
        <row r="2093">
          <cell r="A2093" t="str">
            <v>P141</v>
          </cell>
          <cell r="B2093" t="str">
            <v>BEVERLY PARK-II</v>
          </cell>
        </row>
        <row r="2094">
          <cell r="A2094" t="str">
            <v>P142</v>
          </cell>
          <cell r="B2094" t="str">
            <v>EXE. HOMES</v>
          </cell>
        </row>
        <row r="2095">
          <cell r="A2095" t="str">
            <v>P143</v>
          </cell>
          <cell r="B2095" t="str">
            <v>SUPER MART-I</v>
          </cell>
        </row>
        <row r="2096">
          <cell r="A2096" t="str">
            <v>P144</v>
          </cell>
          <cell r="B2096" t="str">
            <v>CENTRAL BATCHING PLANT</v>
          </cell>
        </row>
        <row r="2097">
          <cell r="A2097" t="str">
            <v>P145</v>
          </cell>
          <cell r="B2097" t="str">
            <v>CENTRAL EQUIPMENT POOL</v>
          </cell>
        </row>
        <row r="2098">
          <cell r="A2098" t="str">
            <v>P146</v>
          </cell>
          <cell r="B2098" t="str">
            <v>SUPER MART-II</v>
          </cell>
        </row>
        <row r="2099">
          <cell r="A2099" t="str">
            <v>P147</v>
          </cell>
          <cell r="B2099" t="str">
            <v>PREMIER IRRIGATION EQUIPMENT LTD.</v>
          </cell>
        </row>
        <row r="2100">
          <cell r="A2100" t="str">
            <v>P148</v>
          </cell>
          <cell r="B2100" t="str">
            <v>CORPORATE PARK</v>
          </cell>
        </row>
        <row r="2101">
          <cell r="A2101" t="str">
            <v>P150</v>
          </cell>
          <cell r="B2101" t="str">
            <v>MISC. DEVELOPMENT</v>
          </cell>
        </row>
        <row r="2102">
          <cell r="A2102" t="str">
            <v>P151</v>
          </cell>
          <cell r="B2102" t="str">
            <v>PHASE-V MISC. DEV.</v>
          </cell>
        </row>
        <row r="2103">
          <cell r="A2103" t="str">
            <v>P162</v>
          </cell>
          <cell r="B2103" t="str">
            <v>REGENCY PARK</v>
          </cell>
        </row>
        <row r="2104">
          <cell r="A2104" t="str">
            <v>P163</v>
          </cell>
          <cell r="B2104" t="str">
            <v>SFS CHARITABLE TRUST</v>
          </cell>
        </row>
        <row r="2105">
          <cell r="A2105" t="str">
            <v>P164</v>
          </cell>
          <cell r="B2105" t="str">
            <v>SILVER OAKS UPGRADATION</v>
          </cell>
        </row>
        <row r="2106">
          <cell r="A2106" t="str">
            <v>P165</v>
          </cell>
          <cell r="B2106" t="str">
            <v>NEW TOWN HOUSES</v>
          </cell>
        </row>
        <row r="2107">
          <cell r="A2107" t="str">
            <v>P166</v>
          </cell>
          <cell r="B2107" t="str">
            <v>PANKAJ FURNITURE CO.(INOP.)</v>
          </cell>
        </row>
        <row r="2108">
          <cell r="A2108" t="str">
            <v>P167</v>
          </cell>
          <cell r="B2108" t="str">
            <v>PLASTO CRAFT INDUSTRIAL CORP.</v>
          </cell>
        </row>
        <row r="2109">
          <cell r="A2109" t="str">
            <v>P168</v>
          </cell>
          <cell r="B2109" t="str">
            <v>PAL MOTORS</v>
          </cell>
        </row>
        <row r="2110">
          <cell r="A2110" t="str">
            <v>P169</v>
          </cell>
          <cell r="B2110" t="str">
            <v>PARKASH YADAV</v>
          </cell>
        </row>
        <row r="2111">
          <cell r="A2111" t="str">
            <v>P170</v>
          </cell>
          <cell r="B2111" t="str">
            <v>PROOFWELL SERVICES</v>
          </cell>
        </row>
        <row r="2112">
          <cell r="A2112" t="str">
            <v>P171</v>
          </cell>
          <cell r="B2112" t="str">
            <v>PARK HOTEL</v>
          </cell>
        </row>
        <row r="2113">
          <cell r="A2113" t="str">
            <v>P172</v>
          </cell>
          <cell r="B2113" t="str">
            <v>PRATAP SINGH YADAV</v>
          </cell>
        </row>
        <row r="2114">
          <cell r="A2114" t="str">
            <v>P173</v>
          </cell>
          <cell r="B2114" t="str">
            <v>PARVESH C JETHI ASSOCIATES</v>
          </cell>
        </row>
        <row r="2115">
          <cell r="A2115" t="str">
            <v>P174</v>
          </cell>
          <cell r="B2115" t="str">
            <v>PRESTIGE MARBLES</v>
          </cell>
        </row>
        <row r="2116">
          <cell r="A2116" t="str">
            <v>P175</v>
          </cell>
          <cell r="B2116" t="str">
            <v>PAHUJA BUILDING MATERIAL STORE</v>
          </cell>
        </row>
        <row r="2117">
          <cell r="A2117" t="str">
            <v>P176</v>
          </cell>
          <cell r="B2117" t="str">
            <v>PLAZA STEEL ROLLING MILLS (P) LTD.</v>
          </cell>
        </row>
        <row r="2118">
          <cell r="A2118" t="str">
            <v>P177</v>
          </cell>
          <cell r="B2118" t="str">
            <v>PIPE LINKERS</v>
          </cell>
        </row>
        <row r="2119">
          <cell r="A2119" t="str">
            <v>P178</v>
          </cell>
          <cell r="B2119" t="str">
            <v>P V KAUSHAL &amp; CO</v>
          </cell>
        </row>
        <row r="2120">
          <cell r="A2120" t="str">
            <v>P179</v>
          </cell>
          <cell r="B2120" t="str">
            <v>POWERTRONIX MARKETING</v>
          </cell>
        </row>
        <row r="2121">
          <cell r="A2121" t="str">
            <v>P180</v>
          </cell>
          <cell r="B2121" t="str">
            <v>P JAGIRDAR</v>
          </cell>
        </row>
        <row r="2122">
          <cell r="A2122" t="str">
            <v>P181</v>
          </cell>
          <cell r="B2122" t="str">
            <v>PROACTIVE DATA SYSTEMS PVT LTD</v>
          </cell>
        </row>
        <row r="2123">
          <cell r="A2123" t="str">
            <v>P182</v>
          </cell>
          <cell r="B2123" t="str">
            <v>POOJA TRAVELS</v>
          </cell>
        </row>
        <row r="2124">
          <cell r="A2124" t="str">
            <v>P183</v>
          </cell>
          <cell r="B2124" t="str">
            <v>PUBLIC WORKS DEPARTMENT</v>
          </cell>
        </row>
        <row r="2125">
          <cell r="A2125" t="str">
            <v>P184</v>
          </cell>
          <cell r="B2125" t="str">
            <v>PRESTIGE MARBLES</v>
          </cell>
        </row>
        <row r="2126">
          <cell r="A2126" t="str">
            <v>P185</v>
          </cell>
          <cell r="B2126" t="str">
            <v>PUNJAB PIPES</v>
          </cell>
        </row>
        <row r="2127">
          <cell r="A2127" t="str">
            <v>P186</v>
          </cell>
          <cell r="B2127" t="str">
            <v>PROBE INTELLIGENCE SERVICE</v>
          </cell>
        </row>
        <row r="2128">
          <cell r="A2128" t="str">
            <v>P187</v>
          </cell>
          <cell r="B2128" t="str">
            <v>PEST CONTROL &amp; ERADICATION SERVICES</v>
          </cell>
        </row>
        <row r="2129">
          <cell r="A2129" t="str">
            <v>P188</v>
          </cell>
          <cell r="B2129" t="str">
            <v>PERFECT SERVICES</v>
          </cell>
        </row>
        <row r="2130">
          <cell r="A2130" t="str">
            <v>P189</v>
          </cell>
          <cell r="B2130" t="str">
            <v>PIONEER PETROCHEM PVT. LTD.</v>
          </cell>
        </row>
        <row r="2131">
          <cell r="A2131" t="str">
            <v>P190</v>
          </cell>
          <cell r="B2131" t="str">
            <v>PRECISION ELECTRICALS</v>
          </cell>
        </row>
        <row r="2132">
          <cell r="A2132" t="str">
            <v>P191</v>
          </cell>
          <cell r="B2132" t="str">
            <v>M/S PYARE LAL ANIL KUMAR</v>
          </cell>
        </row>
        <row r="2133">
          <cell r="A2133" t="str">
            <v>P192</v>
          </cell>
          <cell r="B2133" t="str">
            <v>PAL TAXI SERVICE</v>
          </cell>
        </row>
        <row r="2134">
          <cell r="A2134" t="str">
            <v>P193</v>
          </cell>
          <cell r="B2134" t="str">
            <v>PECMA AIR SYSTEMS PVT. LTD.</v>
          </cell>
        </row>
        <row r="2135">
          <cell r="A2135" t="str">
            <v>P194</v>
          </cell>
          <cell r="B2135" t="str">
            <v>PRAKASH TENT HOUSE</v>
          </cell>
        </row>
        <row r="2136">
          <cell r="A2136" t="str">
            <v>P195</v>
          </cell>
          <cell r="B2136" t="str">
            <v>PAUL &amp; COMPANY</v>
          </cell>
        </row>
        <row r="2137">
          <cell r="A2137" t="str">
            <v>P196</v>
          </cell>
          <cell r="B2137" t="str">
            <v>PHOOL SINGH YADAV</v>
          </cell>
        </row>
        <row r="2138">
          <cell r="A2138" t="str">
            <v>P197</v>
          </cell>
          <cell r="B2138" t="str">
            <v>PURMA AIR TRAVEL AGENCY</v>
          </cell>
        </row>
        <row r="2139">
          <cell r="A2139" t="str">
            <v>P198</v>
          </cell>
          <cell r="B2139" t="str">
            <v>PAPPU IRON STORE</v>
          </cell>
        </row>
        <row r="2140">
          <cell r="A2140" t="str">
            <v>P199</v>
          </cell>
          <cell r="B2140" t="str">
            <v>PARQUET FURNISHERS PVT LTD</v>
          </cell>
        </row>
        <row r="2141">
          <cell r="A2141" t="str">
            <v>P200</v>
          </cell>
          <cell r="B2141" t="str">
            <v>PHD CHAMBER OF COMMERCE AND INDUSTRY</v>
          </cell>
        </row>
        <row r="2142">
          <cell r="A2142" t="str">
            <v>P201</v>
          </cell>
          <cell r="B2142" t="str">
            <v>PUSHPA KALRA</v>
          </cell>
        </row>
        <row r="2143">
          <cell r="A2143" t="str">
            <v>P202</v>
          </cell>
          <cell r="B2143" t="str">
            <v>PRAGATI MARKETING CO.</v>
          </cell>
        </row>
        <row r="2144">
          <cell r="A2144" t="str">
            <v>P203</v>
          </cell>
          <cell r="B2144" t="str">
            <v>POWERTECH ENGINEERS</v>
          </cell>
        </row>
        <row r="2145">
          <cell r="A2145" t="str">
            <v>P204</v>
          </cell>
          <cell r="B2145" t="str">
            <v>PRATEEK MULTI ENGINEERING</v>
          </cell>
        </row>
        <row r="2146">
          <cell r="A2146" t="str">
            <v>P205</v>
          </cell>
          <cell r="B2146" t="str">
            <v>PABITRA BISWAS</v>
          </cell>
        </row>
        <row r="2147">
          <cell r="A2147" t="str">
            <v>P206</v>
          </cell>
          <cell r="B2147" t="str">
            <v>PRINCE GENERATORS</v>
          </cell>
        </row>
        <row r="2148">
          <cell r="A2148" t="str">
            <v>P207</v>
          </cell>
          <cell r="B2148" t="str">
            <v>P S SARIN &amp; CO.</v>
          </cell>
        </row>
        <row r="2149">
          <cell r="A2149" t="str">
            <v>P208</v>
          </cell>
          <cell r="B2149" t="str">
            <v>PRINCE PIPES &amp; FITTINGS PVT. LTD.</v>
          </cell>
        </row>
        <row r="2150">
          <cell r="A2150" t="str">
            <v>P209</v>
          </cell>
          <cell r="B2150" t="str">
            <v>PROSPEROUS PERSPECTIVE</v>
          </cell>
        </row>
        <row r="2151">
          <cell r="A2151" t="str">
            <v>P210</v>
          </cell>
          <cell r="B2151" t="str">
            <v>POOJA ENTERPRISES</v>
          </cell>
        </row>
        <row r="2152">
          <cell r="A2152" t="str">
            <v>P211</v>
          </cell>
          <cell r="B2152" t="str">
            <v>PARIKHIT RAN SINGH</v>
          </cell>
        </row>
        <row r="2153">
          <cell r="A2153" t="str">
            <v>P212</v>
          </cell>
          <cell r="B2153" t="str">
            <v>P C SHARMA &amp; CO.</v>
          </cell>
        </row>
        <row r="2154">
          <cell r="A2154" t="str">
            <v>P213</v>
          </cell>
          <cell r="B2154" t="str">
            <v>PROMPT</v>
          </cell>
        </row>
        <row r="2155">
          <cell r="A2155" t="str">
            <v>P214</v>
          </cell>
          <cell r="B2155" t="str">
            <v>PARUPKAR MEDICAL STORE</v>
          </cell>
        </row>
        <row r="2156">
          <cell r="A2156" t="str">
            <v>P215</v>
          </cell>
          <cell r="B2156" t="str">
            <v>PREMIER TRADING CORPORATION</v>
          </cell>
        </row>
        <row r="2157">
          <cell r="A2157" t="str">
            <v>P216</v>
          </cell>
          <cell r="B2157" t="str">
            <v>PRAGATI ASSOCIATES</v>
          </cell>
        </row>
        <row r="2158">
          <cell r="A2158" t="str">
            <v>P217</v>
          </cell>
          <cell r="B2158" t="str">
            <v>PARTAP BUILDING MATERIAL CARRIER</v>
          </cell>
        </row>
        <row r="2159">
          <cell r="A2159" t="str">
            <v>P218</v>
          </cell>
          <cell r="B2159" t="str">
            <v>PERFECT COMPUTERS</v>
          </cell>
        </row>
        <row r="2160">
          <cell r="A2160" t="str">
            <v>P219</v>
          </cell>
          <cell r="B2160" t="str">
            <v>PANCHAL INDIA</v>
          </cell>
        </row>
        <row r="2161">
          <cell r="A2161" t="str">
            <v>P220</v>
          </cell>
          <cell r="B2161" t="str">
            <v>PEGASUS SERVICES</v>
          </cell>
        </row>
        <row r="2162">
          <cell r="A2162" t="str">
            <v>P221</v>
          </cell>
          <cell r="B2162" t="str">
            <v>PALTECH COOLING TOWERS &amp; EQUIPMENT P.LTD</v>
          </cell>
        </row>
        <row r="2163">
          <cell r="A2163" t="str">
            <v>P222</v>
          </cell>
          <cell r="B2163" t="str">
            <v>PARVIS CONSTRUCTIONS</v>
          </cell>
        </row>
        <row r="2164">
          <cell r="A2164" t="str">
            <v>P223</v>
          </cell>
          <cell r="B2164" t="str">
            <v>PARTAB SINGH</v>
          </cell>
        </row>
        <row r="2165">
          <cell r="A2165" t="str">
            <v>P224</v>
          </cell>
          <cell r="B2165" t="str">
            <v>PARIS AUTO STORES</v>
          </cell>
        </row>
        <row r="2166">
          <cell r="A2166" t="str">
            <v>P225</v>
          </cell>
          <cell r="B2166" t="str">
            <v>P R YADAV</v>
          </cell>
        </row>
        <row r="2167">
          <cell r="A2167" t="str">
            <v>P226</v>
          </cell>
          <cell r="B2167" t="str">
            <v>PRJ SANITARY APPLIANCES (P) LTD.</v>
          </cell>
        </row>
        <row r="2168">
          <cell r="A2168" t="str">
            <v>P227</v>
          </cell>
          <cell r="B2168" t="str">
            <v>PARTAP STEELS</v>
          </cell>
        </row>
        <row r="2169">
          <cell r="A2169" t="str">
            <v>P228</v>
          </cell>
          <cell r="B2169" t="str">
            <v>PILLARS INDIA</v>
          </cell>
        </row>
        <row r="2170">
          <cell r="A2170" t="str">
            <v>P229</v>
          </cell>
          <cell r="B2170" t="str">
            <v>PRIDE PROJECT PRIVATE LIMITED</v>
          </cell>
        </row>
        <row r="2171">
          <cell r="A2171" t="str">
            <v>P230</v>
          </cell>
          <cell r="B2171" t="str">
            <v>POMILLA REPRO GRAPHICS</v>
          </cell>
        </row>
        <row r="2172">
          <cell r="A2172" t="str">
            <v>P231</v>
          </cell>
          <cell r="B2172" t="str">
            <v>PARDEEP CARRIER</v>
          </cell>
        </row>
        <row r="2173">
          <cell r="A2173" t="str">
            <v>P232</v>
          </cell>
          <cell r="B2173" t="str">
            <v>PRASH TRADING (P) LTD.</v>
          </cell>
        </row>
        <row r="2174">
          <cell r="A2174" t="str">
            <v>P233</v>
          </cell>
          <cell r="B2174" t="str">
            <v>PONDY MARBLE PROCESSORS</v>
          </cell>
        </row>
        <row r="2175">
          <cell r="A2175" t="str">
            <v>P234</v>
          </cell>
          <cell r="B2175" t="str">
            <v>PRINITY TIMBERS (P) LTD.</v>
          </cell>
        </row>
        <row r="2176">
          <cell r="A2176" t="str">
            <v>P235</v>
          </cell>
          <cell r="B2176" t="str">
            <v>P N GHOSH &amp; ASSOCIATES</v>
          </cell>
        </row>
        <row r="2177">
          <cell r="A2177" t="str">
            <v>P236</v>
          </cell>
          <cell r="B2177" t="str">
            <v>PARVEEN KUMAR</v>
          </cell>
        </row>
        <row r="2178">
          <cell r="A2178" t="str">
            <v>P237</v>
          </cell>
          <cell r="B2178" t="str">
            <v>PASCO AUTOMOBILES</v>
          </cell>
        </row>
        <row r="2179">
          <cell r="A2179" t="str">
            <v>P238</v>
          </cell>
          <cell r="B2179" t="str">
            <v>POWER CONTROL CORPORATION</v>
          </cell>
        </row>
        <row r="2180">
          <cell r="A2180" t="str">
            <v>P239</v>
          </cell>
          <cell r="B2180" t="str">
            <v>PRACHTEL INFOCOM SYSTEMS</v>
          </cell>
        </row>
        <row r="2181">
          <cell r="A2181" t="str">
            <v>P240</v>
          </cell>
          <cell r="B2181" t="str">
            <v>PEARL HOUSE</v>
          </cell>
        </row>
        <row r="2182">
          <cell r="A2182" t="str">
            <v>P241</v>
          </cell>
          <cell r="B2182" t="str">
            <v>POOJA MARBLE</v>
          </cell>
        </row>
        <row r="2183">
          <cell r="A2183" t="str">
            <v>P242</v>
          </cell>
          <cell r="B2183" t="str">
            <v>PHOOL WATI</v>
          </cell>
        </row>
        <row r="2184">
          <cell r="A2184" t="str">
            <v>P243</v>
          </cell>
          <cell r="B2184" t="str">
            <v>PRADHAN BROTHERS</v>
          </cell>
        </row>
        <row r="2185">
          <cell r="A2185" t="str">
            <v>P244</v>
          </cell>
          <cell r="B2185" t="str">
            <v>PANKHURI DESIGNS</v>
          </cell>
        </row>
        <row r="2186">
          <cell r="A2186" t="str">
            <v>P245</v>
          </cell>
          <cell r="B2186" t="str">
            <v>P.JAGIRDAR (ADVOCATE)</v>
          </cell>
        </row>
        <row r="2187">
          <cell r="A2187" t="str">
            <v>P246</v>
          </cell>
          <cell r="B2187" t="str">
            <v>PANKAJ ELECTRONICS</v>
          </cell>
        </row>
        <row r="2188">
          <cell r="A2188" t="str">
            <v>P247</v>
          </cell>
          <cell r="B2188" t="str">
            <v>MRS. PUSHPA RAWAT</v>
          </cell>
        </row>
        <row r="2189">
          <cell r="A2189" t="str">
            <v>P248</v>
          </cell>
          <cell r="B2189" t="str">
            <v>PRAMOD KUMAR</v>
          </cell>
        </row>
        <row r="2190">
          <cell r="A2190" t="str">
            <v>P249</v>
          </cell>
          <cell r="B2190" t="str">
            <v>POOJA PARQUET</v>
          </cell>
        </row>
        <row r="2191">
          <cell r="A2191" t="str">
            <v>P250</v>
          </cell>
          <cell r="B2191" t="str">
            <v>PICTURESQUE</v>
          </cell>
        </row>
        <row r="2192">
          <cell r="A2192" t="str">
            <v>P251</v>
          </cell>
          <cell r="B2192" t="str">
            <v>PACIFIC FIRE CONTROLS</v>
          </cell>
        </row>
        <row r="2193">
          <cell r="A2193" t="str">
            <v>P252</v>
          </cell>
          <cell r="B2193" t="str">
            <v>PREM NATH BRIJ KUMAR</v>
          </cell>
        </row>
        <row r="2194">
          <cell r="A2194" t="str">
            <v>P253</v>
          </cell>
          <cell r="B2194" t="str">
            <v>PAUL &amp; PAUL</v>
          </cell>
        </row>
        <row r="2195">
          <cell r="A2195" t="str">
            <v>P254</v>
          </cell>
          <cell r="B2195" t="str">
            <v>PROJECT ENGINEERING TRADERS</v>
          </cell>
        </row>
        <row r="2196">
          <cell r="A2196" t="str">
            <v>P801</v>
          </cell>
          <cell r="B2196" t="str">
            <v>P K GARG</v>
          </cell>
        </row>
        <row r="2197">
          <cell r="A2197" t="str">
            <v>P802</v>
          </cell>
          <cell r="B2197" t="str">
            <v>P V SAMANT</v>
          </cell>
        </row>
        <row r="2198">
          <cell r="A2198" t="str">
            <v>P803</v>
          </cell>
          <cell r="B2198" t="str">
            <v>P N BACEJA</v>
          </cell>
        </row>
        <row r="2199">
          <cell r="A2199" t="str">
            <v>P804</v>
          </cell>
          <cell r="B2199" t="str">
            <v>PUSHPA KAUL</v>
          </cell>
        </row>
        <row r="2200">
          <cell r="A2200" t="str">
            <v>P805</v>
          </cell>
          <cell r="B2200" t="str">
            <v>PRAKASH M NENE</v>
          </cell>
        </row>
        <row r="2201">
          <cell r="A2201" t="str">
            <v>P806</v>
          </cell>
          <cell r="B2201" t="str">
            <v>P P DHIR</v>
          </cell>
        </row>
        <row r="2202">
          <cell r="A2202" t="str">
            <v>P807</v>
          </cell>
          <cell r="B2202" t="str">
            <v>TO BE CHECKED</v>
          </cell>
        </row>
        <row r="2203">
          <cell r="A2203" t="str">
            <v>P808</v>
          </cell>
          <cell r="B2203" t="str">
            <v>P.R.JUMRANI</v>
          </cell>
        </row>
        <row r="2204">
          <cell r="A2204" t="str">
            <v>P809</v>
          </cell>
          <cell r="B2204" t="str">
            <v>PREM MADAN</v>
          </cell>
        </row>
        <row r="2205">
          <cell r="A2205" t="str">
            <v>P810</v>
          </cell>
          <cell r="B2205" t="str">
            <v>PARDEEP TARA</v>
          </cell>
        </row>
        <row r="2206">
          <cell r="A2206" t="str">
            <v>P811</v>
          </cell>
          <cell r="B2206" t="str">
            <v>P.R. SINGH</v>
          </cell>
        </row>
        <row r="2207">
          <cell r="A2207" t="str">
            <v>P812</v>
          </cell>
          <cell r="B2207" t="str">
            <v>MRS. PRITAM KRISHAN</v>
          </cell>
        </row>
        <row r="2208">
          <cell r="A2208" t="str">
            <v>P813</v>
          </cell>
          <cell r="B2208" t="str">
            <v>PREM SAGAR GUJRAL</v>
          </cell>
        </row>
        <row r="2209">
          <cell r="A2209" t="str">
            <v>Q001</v>
          </cell>
          <cell r="B2209" t="str">
            <v>QUTAB ENCLAVE CONTRACTORS</v>
          </cell>
        </row>
        <row r="2210">
          <cell r="A2210" t="str">
            <v>Q002</v>
          </cell>
          <cell r="B2210" t="str">
            <v>QUALITY STRATEGIST</v>
          </cell>
        </row>
        <row r="2211">
          <cell r="A2211" t="str">
            <v>Q003</v>
          </cell>
          <cell r="B2211" t="str">
            <v>QUANTUN SYSTEM (P) LTD.</v>
          </cell>
        </row>
        <row r="2212">
          <cell r="A2212" t="str">
            <v>R001</v>
          </cell>
          <cell r="B2212" t="str">
            <v>RAM CHAND TARA CHAND</v>
          </cell>
        </row>
        <row r="2213">
          <cell r="A2213" t="str">
            <v>R002</v>
          </cell>
          <cell r="B2213" t="str">
            <v>ROHINI COMMERCIAL SERVICES</v>
          </cell>
        </row>
        <row r="2214">
          <cell r="A2214" t="str">
            <v>R003</v>
          </cell>
          <cell r="B2214" t="str">
            <v>RAM NATH SUDARSHAN KUMAR</v>
          </cell>
        </row>
        <row r="2215">
          <cell r="A2215" t="str">
            <v>R004</v>
          </cell>
          <cell r="B2215" t="str">
            <v>RAINBOW CONSTRUCTION CO.</v>
          </cell>
        </row>
        <row r="2216">
          <cell r="A2216" t="str">
            <v>R005</v>
          </cell>
          <cell r="B2216" t="str">
            <v>RAINBOW PAINTS  &amp; CHEMICALS</v>
          </cell>
        </row>
        <row r="2217">
          <cell r="A2217" t="str">
            <v>R006</v>
          </cell>
          <cell r="B2217" t="str">
            <v>R.K STONEWARE (P) LTD.</v>
          </cell>
        </row>
        <row r="2218">
          <cell r="A2218" t="str">
            <v>R007</v>
          </cell>
          <cell r="B2218" t="str">
            <v>ROHIT TRADING COMPANY</v>
          </cell>
        </row>
        <row r="2219">
          <cell r="A2219" t="str">
            <v>R008</v>
          </cell>
          <cell r="B2219" t="str">
            <v>RAYMUS STRUCTURALS &amp; ENGINEERING (P) LTD</v>
          </cell>
        </row>
        <row r="2220">
          <cell r="A2220" t="str">
            <v>R009</v>
          </cell>
          <cell r="B2220" t="str">
            <v>RAMA &amp; COMPANY</v>
          </cell>
        </row>
        <row r="2221">
          <cell r="A2221" t="str">
            <v>R010</v>
          </cell>
          <cell r="B2221" t="str">
            <v>RAO BRICK CENTRE</v>
          </cell>
        </row>
        <row r="2222">
          <cell r="A2222" t="str">
            <v>R011</v>
          </cell>
          <cell r="B2222" t="str">
            <v>RAJPAL &amp; ASSOCIATES</v>
          </cell>
        </row>
        <row r="2223">
          <cell r="A2223" t="str">
            <v>R012</v>
          </cell>
          <cell r="B2223" t="str">
            <v>RAMLAL</v>
          </cell>
        </row>
        <row r="2224">
          <cell r="A2224" t="str">
            <v>R013</v>
          </cell>
          <cell r="B2224" t="str">
            <v>RADHA KISHAN</v>
          </cell>
        </row>
        <row r="2225">
          <cell r="A2225" t="str">
            <v>R014</v>
          </cell>
          <cell r="B2225" t="str">
            <v>RAMA BUILDER</v>
          </cell>
        </row>
        <row r="2226">
          <cell r="A2226" t="str">
            <v>R015</v>
          </cell>
          <cell r="B2226" t="str">
            <v>RAMESH</v>
          </cell>
        </row>
        <row r="2227">
          <cell r="A2227" t="str">
            <v>R016</v>
          </cell>
          <cell r="B2227" t="str">
            <v>RAM MURTI</v>
          </cell>
        </row>
        <row r="2228">
          <cell r="A2228" t="str">
            <v>R017</v>
          </cell>
          <cell r="B2228" t="str">
            <v>RATHI UDYOG LTD.</v>
          </cell>
        </row>
        <row r="2229">
          <cell r="A2229" t="str">
            <v>R018</v>
          </cell>
          <cell r="B2229" t="str">
            <v>RAMKHILARI</v>
          </cell>
        </row>
        <row r="2230">
          <cell r="A2230" t="str">
            <v>R019</v>
          </cell>
          <cell r="B2230" t="str">
            <v>RAJU SINGH</v>
          </cell>
        </row>
        <row r="2231">
          <cell r="A2231" t="str">
            <v>R020</v>
          </cell>
          <cell r="B2231" t="str">
            <v>RAMA BUILDERS</v>
          </cell>
        </row>
        <row r="2232">
          <cell r="A2232" t="str">
            <v>R021</v>
          </cell>
          <cell r="B2232" t="str">
            <v>RAM CHANDER MISHRA</v>
          </cell>
        </row>
        <row r="2233">
          <cell r="A2233" t="str">
            <v>R022</v>
          </cell>
          <cell r="B2233" t="str">
            <v>RAM PRASAD</v>
          </cell>
        </row>
        <row r="2234">
          <cell r="A2234" t="str">
            <v>R023</v>
          </cell>
          <cell r="B2234" t="str">
            <v>RAMA ROLLING SHUTTER INDUSTRIES</v>
          </cell>
        </row>
        <row r="2235">
          <cell r="A2235" t="str">
            <v>R024</v>
          </cell>
          <cell r="B2235" t="str">
            <v>R.K.AUTOMOTIVE CORP</v>
          </cell>
        </row>
        <row r="2236">
          <cell r="A2236" t="str">
            <v>R025</v>
          </cell>
          <cell r="B2236" t="str">
            <v>R P KASNIA</v>
          </cell>
        </row>
        <row r="2237">
          <cell r="A2237" t="str">
            <v>R026</v>
          </cell>
          <cell r="B2237" t="str">
            <v>RPG RICOH LTD.</v>
          </cell>
        </row>
        <row r="2238">
          <cell r="A2238" t="str">
            <v>R027</v>
          </cell>
          <cell r="B2238" t="str">
            <v>RANA CONTRACTS</v>
          </cell>
        </row>
        <row r="2239">
          <cell r="A2239" t="str">
            <v>R028</v>
          </cell>
          <cell r="B2239" t="str">
            <v>RAM NIWAS</v>
          </cell>
        </row>
        <row r="2240">
          <cell r="A2240" t="str">
            <v>R029</v>
          </cell>
          <cell r="B2240" t="str">
            <v>RATTAN LAL</v>
          </cell>
        </row>
        <row r="2241">
          <cell r="A2241" t="str">
            <v>R030</v>
          </cell>
          <cell r="B2241" t="str">
            <v>R K EARTMOVERS</v>
          </cell>
        </row>
        <row r="2242">
          <cell r="A2242" t="str">
            <v>R031</v>
          </cell>
          <cell r="B2242" t="str">
            <v>RAHUL CONSTRUCTION COMPANY</v>
          </cell>
        </row>
        <row r="2243">
          <cell r="A2243" t="str">
            <v>R032</v>
          </cell>
          <cell r="B2243" t="str">
            <v>RAM SWARTH RAI</v>
          </cell>
        </row>
        <row r="2244">
          <cell r="A2244" t="str">
            <v>R033</v>
          </cell>
          <cell r="B2244" t="str">
            <v>RAMPRIT SHARMA</v>
          </cell>
        </row>
        <row r="2245">
          <cell r="A2245" t="str">
            <v>R034</v>
          </cell>
          <cell r="B2245" t="str">
            <v>RAM NIWAS BUILDER</v>
          </cell>
        </row>
        <row r="2246">
          <cell r="A2246" t="str">
            <v>R035</v>
          </cell>
          <cell r="B2246" t="str">
            <v>RAMESH CHAND CONTRACTOR &amp; CO.</v>
          </cell>
        </row>
        <row r="2247">
          <cell r="A2247" t="str">
            <v>R036</v>
          </cell>
          <cell r="B2247" t="str">
            <v>R C MISHRA</v>
          </cell>
        </row>
        <row r="2248">
          <cell r="A2248" t="str">
            <v>R037</v>
          </cell>
          <cell r="B2248" t="str">
            <v>RAJESH ENTERPRISES</v>
          </cell>
        </row>
        <row r="2249">
          <cell r="A2249" t="str">
            <v>R038</v>
          </cell>
          <cell r="B2249" t="str">
            <v>ROSHNI ROADLINES</v>
          </cell>
        </row>
        <row r="2250">
          <cell r="A2250" t="str">
            <v>R039</v>
          </cell>
          <cell r="B2250" t="str">
            <v>RAM NIWAS</v>
          </cell>
        </row>
        <row r="2251">
          <cell r="A2251" t="str">
            <v>R040</v>
          </cell>
          <cell r="B2251" t="str">
            <v>RAJBAHADUR</v>
          </cell>
        </row>
        <row r="2252">
          <cell r="A2252" t="str">
            <v>R041</v>
          </cell>
          <cell r="B2252" t="str">
            <v>R R BUILDERS</v>
          </cell>
        </row>
        <row r="2253">
          <cell r="A2253" t="str">
            <v>R042</v>
          </cell>
          <cell r="B2253" t="str">
            <v>RAM LOCHAN SHAH</v>
          </cell>
        </row>
        <row r="2254">
          <cell r="A2254" t="str">
            <v>R043</v>
          </cell>
          <cell r="B2254" t="str">
            <v>RAMA KANT CHAUHAN</v>
          </cell>
        </row>
        <row r="2255">
          <cell r="A2255" t="str">
            <v>R044</v>
          </cell>
          <cell r="B2255" t="str">
            <v>R N RATHEE</v>
          </cell>
        </row>
        <row r="2256">
          <cell r="A2256" t="str">
            <v>R045</v>
          </cell>
          <cell r="B2256" t="str">
            <v>RAJ AUTOWAYS</v>
          </cell>
        </row>
        <row r="2257">
          <cell r="A2257" t="str">
            <v>R046</v>
          </cell>
          <cell r="B2257" t="str">
            <v>R S PRINTER</v>
          </cell>
        </row>
        <row r="2258">
          <cell r="A2258" t="str">
            <v>R047</v>
          </cell>
          <cell r="B2258" t="str">
            <v>RAJ NARAYAN</v>
          </cell>
        </row>
        <row r="2259">
          <cell r="A2259" t="str">
            <v>R048</v>
          </cell>
          <cell r="B2259" t="str">
            <v>RAMINDER SINGH</v>
          </cell>
        </row>
        <row r="2260">
          <cell r="A2260" t="str">
            <v>R049</v>
          </cell>
          <cell r="B2260" t="str">
            <v>R M TRANSPORT</v>
          </cell>
        </row>
        <row r="2261">
          <cell r="A2261" t="str">
            <v>R050</v>
          </cell>
          <cell r="B2261" t="str">
            <v>RAJAN AUTO CARE</v>
          </cell>
        </row>
        <row r="2262">
          <cell r="A2262" t="str">
            <v>R051</v>
          </cell>
          <cell r="B2262" t="str">
            <v>RAO LEKH RAM</v>
          </cell>
        </row>
        <row r="2263">
          <cell r="A2263" t="str">
            <v>R052</v>
          </cell>
          <cell r="B2263" t="str">
            <v>RAJEEV KUMAR</v>
          </cell>
        </row>
        <row r="2264">
          <cell r="A2264" t="str">
            <v>R053</v>
          </cell>
          <cell r="B2264" t="str">
            <v>RAJANDER YADAV</v>
          </cell>
        </row>
        <row r="2265">
          <cell r="A2265" t="str">
            <v>R054</v>
          </cell>
          <cell r="B2265" t="str">
            <v>RAMADHAR GOR</v>
          </cell>
        </row>
        <row r="2266">
          <cell r="A2266" t="str">
            <v>R055</v>
          </cell>
          <cell r="B2266" t="str">
            <v>RANDHIR SINGH BUILDING MATERIAL SUPPLIER</v>
          </cell>
        </row>
        <row r="2267">
          <cell r="A2267" t="str">
            <v>R056</v>
          </cell>
          <cell r="B2267" t="str">
            <v>RAVI TRADING CO.</v>
          </cell>
        </row>
        <row r="2268">
          <cell r="A2268" t="str">
            <v>R057</v>
          </cell>
          <cell r="B2268" t="str">
            <v>RAMA KANT SINGH</v>
          </cell>
        </row>
        <row r="2269">
          <cell r="A2269" t="str">
            <v>R058</v>
          </cell>
          <cell r="B2269" t="str">
            <v>RAVI CARRIERS</v>
          </cell>
        </row>
        <row r="2270">
          <cell r="A2270" t="str">
            <v>R059</v>
          </cell>
          <cell r="B2270" t="str">
            <v>RAJ VAISHALI ENGG.</v>
          </cell>
        </row>
        <row r="2271">
          <cell r="A2271" t="str">
            <v>R060</v>
          </cell>
          <cell r="B2271" t="str">
            <v>RATISVAR UDYOG</v>
          </cell>
        </row>
        <row r="2272">
          <cell r="A2272" t="str">
            <v>R061</v>
          </cell>
          <cell r="B2272" t="str">
            <v>RAM SAWROOP</v>
          </cell>
        </row>
        <row r="2273">
          <cell r="A2273" t="str">
            <v>R062</v>
          </cell>
          <cell r="B2273" t="str">
            <v>RAJU YADAV</v>
          </cell>
        </row>
        <row r="2274">
          <cell r="A2274" t="str">
            <v>R063</v>
          </cell>
          <cell r="B2274" t="str">
            <v>RANBIR SINGH</v>
          </cell>
        </row>
        <row r="2275">
          <cell r="A2275" t="str">
            <v>R064</v>
          </cell>
          <cell r="B2275" t="str">
            <v>ROYAL SALES CORPORATION</v>
          </cell>
        </row>
        <row r="2276">
          <cell r="A2276" t="str">
            <v>R065</v>
          </cell>
          <cell r="B2276" t="str">
            <v>RAJBIR RANA</v>
          </cell>
        </row>
        <row r="2277">
          <cell r="A2277" t="str">
            <v>R066</v>
          </cell>
          <cell r="B2277" t="str">
            <v>R P KASHNIA</v>
          </cell>
        </row>
        <row r="2278">
          <cell r="A2278" t="str">
            <v>R067</v>
          </cell>
          <cell r="B2278" t="str">
            <v>R K ANAND</v>
          </cell>
        </row>
        <row r="2279">
          <cell r="A2279" t="str">
            <v>R068</v>
          </cell>
          <cell r="B2279" t="str">
            <v>RAJ KUMAR</v>
          </cell>
        </row>
        <row r="2280">
          <cell r="A2280" t="str">
            <v>R069</v>
          </cell>
          <cell r="B2280" t="str">
            <v>RAM BEHARI</v>
          </cell>
        </row>
        <row r="2281">
          <cell r="A2281" t="str">
            <v>R070</v>
          </cell>
          <cell r="B2281" t="str">
            <v>RAJ CONSTRUCTION</v>
          </cell>
        </row>
        <row r="2282">
          <cell r="A2282" t="str">
            <v>R071</v>
          </cell>
          <cell r="B2282" t="str">
            <v>RAM DAYAL</v>
          </cell>
        </row>
        <row r="2283">
          <cell r="A2283" t="str">
            <v>R072</v>
          </cell>
          <cell r="B2283" t="str">
            <v>RAM DHAN BANSI LAL BUILDER</v>
          </cell>
        </row>
        <row r="2284">
          <cell r="A2284" t="str">
            <v>R073</v>
          </cell>
          <cell r="B2284" t="str">
            <v>R P MISHRA</v>
          </cell>
        </row>
        <row r="2285">
          <cell r="A2285" t="str">
            <v>R074</v>
          </cell>
          <cell r="B2285" t="str">
            <v>RAJESH BHARSWAJ</v>
          </cell>
        </row>
        <row r="2286">
          <cell r="A2286" t="str">
            <v>R075</v>
          </cell>
          <cell r="B2286" t="str">
            <v>RAJA</v>
          </cell>
        </row>
        <row r="2287">
          <cell r="A2287" t="str">
            <v>R076</v>
          </cell>
          <cell r="B2287" t="str">
            <v>RASHTRIYA ISPAT NIGAM LTD.</v>
          </cell>
        </row>
        <row r="2288">
          <cell r="A2288" t="str">
            <v>R077</v>
          </cell>
          <cell r="B2288" t="str">
            <v>RAMA SHANKER PANDEY</v>
          </cell>
        </row>
        <row r="2289">
          <cell r="A2289" t="str">
            <v>R078</v>
          </cell>
          <cell r="B2289" t="str">
            <v>R K MAHTO(INOP.)</v>
          </cell>
        </row>
        <row r="2290">
          <cell r="A2290" t="str">
            <v>R079</v>
          </cell>
          <cell r="B2290" t="str">
            <v>RAM MURAT</v>
          </cell>
        </row>
        <row r="2291">
          <cell r="A2291" t="str">
            <v>R080</v>
          </cell>
          <cell r="B2291" t="str">
            <v>RUBI FABRICATORS</v>
          </cell>
        </row>
        <row r="2292">
          <cell r="A2292" t="str">
            <v>R081</v>
          </cell>
          <cell r="B2292" t="str">
            <v>RAM ASHRAY</v>
          </cell>
        </row>
        <row r="2293">
          <cell r="A2293" t="str">
            <v>R082</v>
          </cell>
          <cell r="B2293" t="str">
            <v>RAM PAL</v>
          </cell>
        </row>
        <row r="2294">
          <cell r="A2294" t="str">
            <v>R083</v>
          </cell>
          <cell r="B2294" t="str">
            <v>RAJESH GUPTA</v>
          </cell>
        </row>
        <row r="2295">
          <cell r="A2295" t="str">
            <v>R084</v>
          </cell>
          <cell r="B2295" t="str">
            <v>RAJ MANGAL YADAV</v>
          </cell>
        </row>
        <row r="2296">
          <cell r="A2296" t="str">
            <v>R085</v>
          </cell>
          <cell r="B2296" t="str">
            <v>RAM NARAIN</v>
          </cell>
        </row>
        <row r="2297">
          <cell r="A2297" t="str">
            <v>R086</v>
          </cell>
          <cell r="B2297" t="str">
            <v>RAMESH KUMAR</v>
          </cell>
        </row>
        <row r="2298">
          <cell r="A2298" t="str">
            <v>R087</v>
          </cell>
          <cell r="B2298" t="str">
            <v>RAJ GOPAL YADAV</v>
          </cell>
        </row>
        <row r="2299">
          <cell r="A2299" t="str">
            <v>R088</v>
          </cell>
          <cell r="B2299" t="str">
            <v>RASSIK WOODWORTH</v>
          </cell>
        </row>
        <row r="2300">
          <cell r="A2300" t="str">
            <v>R089</v>
          </cell>
          <cell r="B2300" t="str">
            <v>RAJ SINGH DAHIYA</v>
          </cell>
        </row>
        <row r="2301">
          <cell r="A2301" t="str">
            <v>R090</v>
          </cell>
          <cell r="B2301" t="str">
            <v>RAJESH KUMAR</v>
          </cell>
        </row>
        <row r="2302">
          <cell r="A2302" t="str">
            <v>R091</v>
          </cell>
          <cell r="B2302" t="str">
            <v>RAM LAKHAN</v>
          </cell>
        </row>
        <row r="2303">
          <cell r="A2303" t="str">
            <v>R092</v>
          </cell>
          <cell r="B2303" t="str">
            <v>RAJ KUMAR KESAR</v>
          </cell>
        </row>
        <row r="2304">
          <cell r="A2304" t="str">
            <v>R093</v>
          </cell>
          <cell r="B2304" t="str">
            <v>RAVINDER SINGH</v>
          </cell>
        </row>
        <row r="2305">
          <cell r="A2305" t="str">
            <v>R094</v>
          </cell>
          <cell r="B2305" t="str">
            <v>ROYAL FURNITURES</v>
          </cell>
        </row>
        <row r="2306">
          <cell r="A2306" t="str">
            <v>R095</v>
          </cell>
          <cell r="B2306" t="str">
            <v>R C BHATTA</v>
          </cell>
        </row>
        <row r="2307">
          <cell r="A2307" t="str">
            <v>R096</v>
          </cell>
          <cell r="B2307" t="str">
            <v>RATAN MARBLES</v>
          </cell>
        </row>
        <row r="2308">
          <cell r="A2308" t="str">
            <v>R097</v>
          </cell>
          <cell r="B2308" t="str">
            <v>RAVINDER YADAV</v>
          </cell>
        </row>
        <row r="2309">
          <cell r="A2309" t="str">
            <v>R098</v>
          </cell>
          <cell r="B2309" t="str">
            <v>RAM KUMAR</v>
          </cell>
        </row>
        <row r="2310">
          <cell r="A2310" t="str">
            <v>R099</v>
          </cell>
          <cell r="B2310" t="str">
            <v>RAMJI LAL</v>
          </cell>
        </row>
        <row r="2311">
          <cell r="A2311" t="str">
            <v>R100</v>
          </cell>
          <cell r="B2311" t="str">
            <v>RAJESH SHARMA</v>
          </cell>
        </row>
        <row r="2312">
          <cell r="A2312" t="str">
            <v>R101</v>
          </cell>
          <cell r="B2312" t="str">
            <v>REMCO INDIA</v>
          </cell>
        </row>
        <row r="2313">
          <cell r="A2313" t="str">
            <v>R102</v>
          </cell>
          <cell r="B2313" t="str">
            <v>RANA BUILDING MATERIAL SUPPLIER</v>
          </cell>
        </row>
        <row r="2314">
          <cell r="A2314" t="str">
            <v>R103</v>
          </cell>
          <cell r="B2314" t="str">
            <v>R K YADAV</v>
          </cell>
        </row>
        <row r="2315">
          <cell r="A2315" t="str">
            <v>R104</v>
          </cell>
          <cell r="B2315" t="str">
            <v>RAJ KUMAR SAINI</v>
          </cell>
        </row>
        <row r="2316">
          <cell r="A2316" t="str">
            <v>R105</v>
          </cell>
          <cell r="B2316" t="str">
            <v>RAJESH KUMAR YADAV</v>
          </cell>
        </row>
        <row r="2317">
          <cell r="A2317" t="str">
            <v>R106</v>
          </cell>
          <cell r="B2317" t="str">
            <v>RAM BEHL</v>
          </cell>
        </row>
        <row r="2318">
          <cell r="A2318" t="str">
            <v>R107</v>
          </cell>
          <cell r="B2318" t="str">
            <v>RAJASRHAN CEMENT TILES INDUSTRIES</v>
          </cell>
        </row>
        <row r="2319">
          <cell r="A2319" t="str">
            <v>R108</v>
          </cell>
          <cell r="B2319" t="str">
            <v>RADHE SHYAM GUPTA</v>
          </cell>
        </row>
        <row r="2320">
          <cell r="A2320" t="str">
            <v>R109</v>
          </cell>
          <cell r="B2320" t="str">
            <v>R S PRADAHAN</v>
          </cell>
        </row>
        <row r="2321">
          <cell r="A2321" t="str">
            <v>R110</v>
          </cell>
          <cell r="B2321" t="str">
            <v>R ROUT</v>
          </cell>
        </row>
        <row r="2322">
          <cell r="A2322" t="str">
            <v>R111</v>
          </cell>
          <cell r="B2322" t="str">
            <v>R P SHARMA</v>
          </cell>
        </row>
        <row r="2323">
          <cell r="A2323" t="str">
            <v>R112</v>
          </cell>
          <cell r="B2323" t="str">
            <v>ROTO POWER ENGG PVT. LTD.</v>
          </cell>
        </row>
        <row r="2324">
          <cell r="A2324" t="str">
            <v>R113</v>
          </cell>
          <cell r="B2324" t="str">
            <v>R B WATER PROOFING PVT. LTD.</v>
          </cell>
        </row>
        <row r="2325">
          <cell r="A2325" t="str">
            <v>R114</v>
          </cell>
          <cell r="B2325" t="str">
            <v>R R STEEL FABRICATORS</v>
          </cell>
        </row>
        <row r="2326">
          <cell r="A2326" t="str">
            <v>R115</v>
          </cell>
          <cell r="B2326" t="str">
            <v>RAM CHANDRA SAMAL</v>
          </cell>
        </row>
        <row r="2327">
          <cell r="A2327" t="str">
            <v>R116</v>
          </cell>
          <cell r="B2327" t="str">
            <v>R S CONSTRUCTION CO.</v>
          </cell>
        </row>
        <row r="2328">
          <cell r="A2328" t="str">
            <v>R117</v>
          </cell>
          <cell r="B2328" t="str">
            <v>R A SHARMA</v>
          </cell>
        </row>
        <row r="2329">
          <cell r="A2329" t="str">
            <v>R118</v>
          </cell>
          <cell r="B2329" t="str">
            <v>RAJINDER SINGH KUSANIA</v>
          </cell>
        </row>
        <row r="2330">
          <cell r="A2330" t="str">
            <v>R119</v>
          </cell>
          <cell r="B2330" t="str">
            <v>RAMESH CHANDRA</v>
          </cell>
        </row>
        <row r="2331">
          <cell r="A2331" t="str">
            <v>R120</v>
          </cell>
          <cell r="B2331" t="str">
            <v>ROSHAN BROTHERS</v>
          </cell>
        </row>
        <row r="2332">
          <cell r="A2332" t="str">
            <v>R121</v>
          </cell>
          <cell r="B2332" t="str">
            <v>RAM PREET SINGH</v>
          </cell>
        </row>
        <row r="2333">
          <cell r="A2333" t="str">
            <v>R122</v>
          </cell>
          <cell r="B2333" t="str">
            <v>RAM GATI</v>
          </cell>
        </row>
        <row r="2334">
          <cell r="A2334" t="str">
            <v>R123</v>
          </cell>
          <cell r="B2334" t="str">
            <v>RAM CHANDER SHUWAL SINGH</v>
          </cell>
        </row>
        <row r="2335">
          <cell r="A2335" t="str">
            <v>R124</v>
          </cell>
          <cell r="B2335" t="str">
            <v>ROOFERS COMBINE LIMITED(INOP.)</v>
          </cell>
        </row>
        <row r="2336">
          <cell r="A2336" t="str">
            <v>R125</v>
          </cell>
          <cell r="B2336" t="str">
            <v>RAJIV GODARI *NOT FOR USE*(INOP.)</v>
          </cell>
        </row>
        <row r="2337">
          <cell r="A2337" t="str">
            <v>R126</v>
          </cell>
          <cell r="B2337" t="str">
            <v>RAMA NAND RISHI DEV(INOP.)</v>
          </cell>
        </row>
        <row r="2338">
          <cell r="A2338" t="str">
            <v>R127</v>
          </cell>
          <cell r="B2338" t="str">
            <v>RAM PRAKASH MAHAJAN(INOP.)</v>
          </cell>
        </row>
        <row r="2339">
          <cell r="A2339" t="str">
            <v>R128</v>
          </cell>
          <cell r="B2339" t="str">
            <v>RAGHUBIR SINGH(INOP.)</v>
          </cell>
        </row>
        <row r="2340">
          <cell r="A2340" t="str">
            <v>R129</v>
          </cell>
          <cell r="B2340" t="str">
            <v>RAM PRASAD BUILDERS(INOP.)</v>
          </cell>
        </row>
        <row r="2341">
          <cell r="A2341" t="str">
            <v>R130</v>
          </cell>
          <cell r="B2341" t="str">
            <v>RAJESHWARI ENTERPRISES</v>
          </cell>
        </row>
        <row r="2342">
          <cell r="A2342" t="str">
            <v>R131</v>
          </cell>
          <cell r="B2342" t="str">
            <v>RISHI(INOP.)</v>
          </cell>
        </row>
        <row r="2343">
          <cell r="A2343" t="str">
            <v>R132</v>
          </cell>
          <cell r="B2343" t="str">
            <v>RISHABH TRAVELS</v>
          </cell>
        </row>
        <row r="2344">
          <cell r="A2344" t="str">
            <v>R133</v>
          </cell>
          <cell r="B2344" t="str">
            <v>RAK ELECTRONICS(INOP.)</v>
          </cell>
        </row>
        <row r="2345">
          <cell r="A2345" t="str">
            <v>R134</v>
          </cell>
          <cell r="B2345" t="str">
            <v>RAM DEV(INOP.)</v>
          </cell>
        </row>
        <row r="2346">
          <cell r="A2346" t="str">
            <v>R135</v>
          </cell>
          <cell r="B2346" t="str">
            <v>R.S.MEERWAL</v>
          </cell>
        </row>
        <row r="2347">
          <cell r="A2347" t="str">
            <v>R136</v>
          </cell>
          <cell r="B2347" t="str">
            <v>RAM MURATH(INOP.)</v>
          </cell>
        </row>
        <row r="2348">
          <cell r="A2348" t="str">
            <v>R137</v>
          </cell>
          <cell r="B2348" t="str">
            <v>RAJ KUMAR SHUKLA</v>
          </cell>
        </row>
        <row r="2349">
          <cell r="A2349" t="str">
            <v>R138</v>
          </cell>
          <cell r="B2349" t="str">
            <v>RISHI DEV(INOP.)</v>
          </cell>
        </row>
        <row r="2350">
          <cell r="A2350" t="str">
            <v>R139</v>
          </cell>
          <cell r="B2350" t="str">
            <v>RAM AVTAR(INOP.)</v>
          </cell>
        </row>
        <row r="2351">
          <cell r="A2351" t="str">
            <v>R140</v>
          </cell>
          <cell r="B2351" t="str">
            <v>RAJASTHAN RAJ-PATH FILLING STATION</v>
          </cell>
        </row>
        <row r="2352">
          <cell r="A2352" t="str">
            <v>R141</v>
          </cell>
          <cell r="B2352" t="str">
            <v>RAJ TRADERS</v>
          </cell>
        </row>
        <row r="2353">
          <cell r="A2353" t="str">
            <v>R142</v>
          </cell>
          <cell r="B2353" t="str">
            <v>RAMESH MOTORS</v>
          </cell>
        </row>
        <row r="2354">
          <cell r="A2354" t="str">
            <v>R143</v>
          </cell>
          <cell r="B2354" t="str">
            <v>R.P.YADAV</v>
          </cell>
        </row>
        <row r="2355">
          <cell r="A2355" t="str">
            <v>R144</v>
          </cell>
          <cell r="B2355" t="str">
            <v>R.S.BHATTA CO.</v>
          </cell>
        </row>
        <row r="2356">
          <cell r="A2356" t="str">
            <v>R145</v>
          </cell>
          <cell r="B2356" t="str">
            <v>RAJ BUILDING PRODUCTS</v>
          </cell>
        </row>
        <row r="2357">
          <cell r="A2357" t="str">
            <v>R146</v>
          </cell>
          <cell r="B2357" t="str">
            <v>RAJBIR BHATTA CO.</v>
          </cell>
        </row>
        <row r="2358">
          <cell r="A2358" t="str">
            <v>R147</v>
          </cell>
          <cell r="B2358" t="str">
            <v>RAMESHWAR DYAL AGGARWAL &amp; SONS</v>
          </cell>
        </row>
        <row r="2359">
          <cell r="A2359" t="str">
            <v>R148</v>
          </cell>
          <cell r="B2359" t="str">
            <v>RAJENDRA</v>
          </cell>
        </row>
        <row r="2360">
          <cell r="A2360" t="str">
            <v>R149</v>
          </cell>
          <cell r="B2360" t="str">
            <v>RANJANA MATHUR</v>
          </cell>
        </row>
        <row r="2361">
          <cell r="A2361" t="str">
            <v>R150</v>
          </cell>
          <cell r="B2361" t="str">
            <v>ROYAL BUILDERS</v>
          </cell>
        </row>
        <row r="2362">
          <cell r="A2362" t="str">
            <v>R151</v>
          </cell>
          <cell r="B2362" t="str">
            <v>R K BUILDING MATERIAL SUPPLIER</v>
          </cell>
        </row>
        <row r="2363">
          <cell r="A2363" t="str">
            <v>R152</v>
          </cell>
          <cell r="B2363" t="str">
            <v>R R STEEL FABRICATORS</v>
          </cell>
        </row>
        <row r="2364">
          <cell r="A2364" t="str">
            <v>R153</v>
          </cell>
          <cell r="B2364" t="str">
            <v>RAJIV CONSTRUCTION CO.</v>
          </cell>
        </row>
        <row r="2365">
          <cell r="A2365" t="str">
            <v>R154</v>
          </cell>
          <cell r="B2365" t="str">
            <v>RAJINDER SINGH &amp; CO.</v>
          </cell>
        </row>
        <row r="2366">
          <cell r="A2366" t="str">
            <v>R155</v>
          </cell>
          <cell r="B2366" t="str">
            <v>RIHANT ENGINEERING CORPORATION</v>
          </cell>
        </row>
        <row r="2367">
          <cell r="A2367" t="str">
            <v>R156</v>
          </cell>
          <cell r="B2367" t="str">
            <v>RAM KISHAN</v>
          </cell>
        </row>
        <row r="2368">
          <cell r="A2368" t="str">
            <v>R157</v>
          </cell>
          <cell r="B2368" t="str">
            <v>RAJ KISHORE GUPTA</v>
          </cell>
        </row>
        <row r="2369">
          <cell r="A2369" t="str">
            <v>R158</v>
          </cell>
          <cell r="B2369" t="str">
            <v>RAM KISHAN</v>
          </cell>
        </row>
        <row r="2370">
          <cell r="A2370" t="str">
            <v>R159</v>
          </cell>
          <cell r="B2370" t="str">
            <v>R K ENTERPRISES</v>
          </cell>
        </row>
        <row r="2371">
          <cell r="A2371" t="str">
            <v>R160</v>
          </cell>
          <cell r="B2371" t="str">
            <v>RAMPAL</v>
          </cell>
        </row>
        <row r="2372">
          <cell r="A2372" t="str">
            <v>R161</v>
          </cell>
          <cell r="B2372" t="str">
            <v>RAJIV MOTORS LTD</v>
          </cell>
        </row>
        <row r="2373">
          <cell r="A2373" t="str">
            <v>R162</v>
          </cell>
          <cell r="B2373" t="str">
            <v>RISHI BHAGWAN</v>
          </cell>
        </row>
        <row r="2374">
          <cell r="A2374" t="str">
            <v>R163</v>
          </cell>
          <cell r="B2374" t="str">
            <v>R.K. ANAND</v>
          </cell>
        </row>
        <row r="2375">
          <cell r="A2375" t="str">
            <v>R164</v>
          </cell>
          <cell r="B2375" t="str">
            <v>RAJ KUMAR CHUG</v>
          </cell>
        </row>
        <row r="2376">
          <cell r="A2376" t="str">
            <v>R165</v>
          </cell>
          <cell r="B2376" t="str">
            <v>RAMSHNEHI</v>
          </cell>
        </row>
        <row r="2377">
          <cell r="A2377" t="str">
            <v>R166</v>
          </cell>
          <cell r="B2377" t="str">
            <v>RPG PAGING SERVICES LTD</v>
          </cell>
        </row>
        <row r="2378">
          <cell r="A2378" t="str">
            <v>R167</v>
          </cell>
          <cell r="B2378" t="str">
            <v>RAVI J SHHARE</v>
          </cell>
        </row>
        <row r="2379">
          <cell r="A2379" t="str">
            <v>R168</v>
          </cell>
          <cell r="B2379" t="str">
            <v>RAVI RAJ CONSTRUCTIONS</v>
          </cell>
        </row>
        <row r="2380">
          <cell r="A2380" t="str">
            <v>R169</v>
          </cell>
          <cell r="B2380" t="str">
            <v>RAJA RAM AGGRAWAL</v>
          </cell>
        </row>
        <row r="2381">
          <cell r="A2381" t="str">
            <v>R170</v>
          </cell>
          <cell r="B2381" t="str">
            <v>RADHA KISHAN NURSERIES &amp; FLORIST</v>
          </cell>
        </row>
        <row r="2382">
          <cell r="A2382" t="str">
            <v>R171</v>
          </cell>
          <cell r="B2382" t="str">
            <v>REASEARCH ENGINEERS PVT. LTD.</v>
          </cell>
        </row>
        <row r="2383">
          <cell r="A2383" t="str">
            <v>R172</v>
          </cell>
          <cell r="B2383" t="str">
            <v>R R TRAVELS</v>
          </cell>
        </row>
        <row r="2384">
          <cell r="A2384" t="str">
            <v>R173</v>
          </cell>
          <cell r="B2384" t="str">
            <v>RABAN PULP &amp; PAPERS</v>
          </cell>
        </row>
        <row r="2385">
          <cell r="A2385" t="str">
            <v>R174</v>
          </cell>
          <cell r="B2385" t="str">
            <v>R K TRAVELS</v>
          </cell>
        </row>
        <row r="2386">
          <cell r="A2386" t="str">
            <v>R177</v>
          </cell>
          <cell r="B2386" t="str">
            <v>RAJ HARASH &amp; COMPANY</v>
          </cell>
        </row>
        <row r="2387">
          <cell r="A2387" t="str">
            <v>R178</v>
          </cell>
          <cell r="B2387" t="str">
            <v>RAVI STEELS</v>
          </cell>
        </row>
        <row r="2388">
          <cell r="A2388" t="str">
            <v>R179</v>
          </cell>
          <cell r="B2388" t="str">
            <v>RAJ RAJESHWAR CLOUR LAB &amp; STUDIO</v>
          </cell>
        </row>
        <row r="2389">
          <cell r="A2389" t="str">
            <v>R180</v>
          </cell>
          <cell r="B2389" t="str">
            <v>RNA AGENCIES PVT. LTD.</v>
          </cell>
        </row>
        <row r="2390">
          <cell r="A2390" t="str">
            <v>R181</v>
          </cell>
          <cell r="B2390" t="str">
            <v>RAVITEL AGRI  INDUSTRIAL PT. LTD.</v>
          </cell>
        </row>
        <row r="2391">
          <cell r="A2391" t="str">
            <v>R182</v>
          </cell>
          <cell r="B2391" t="str">
            <v>RITES LTD.</v>
          </cell>
        </row>
        <row r="2392">
          <cell r="A2392" t="str">
            <v>R183</v>
          </cell>
          <cell r="B2392" t="str">
            <v>R K ENTERPRISES</v>
          </cell>
        </row>
        <row r="2393">
          <cell r="A2393" t="str">
            <v>R184</v>
          </cell>
          <cell r="B2393" t="str">
            <v>ROY CIVIL CONTRACTOR</v>
          </cell>
        </row>
        <row r="2394">
          <cell r="A2394" t="str">
            <v>R185</v>
          </cell>
          <cell r="B2394" t="str">
            <v>RITU GRANITE &amp; MARBLE</v>
          </cell>
        </row>
        <row r="2395">
          <cell r="A2395" t="str">
            <v>R186</v>
          </cell>
          <cell r="B2395" t="str">
            <v>RUBBER TRADERS (INDIA) PVT. LTD.</v>
          </cell>
        </row>
        <row r="2396">
          <cell r="A2396" t="str">
            <v>R187</v>
          </cell>
          <cell r="B2396" t="str">
            <v>RAJ HARASH &amp; CO. (BR)</v>
          </cell>
        </row>
        <row r="2397">
          <cell r="A2397" t="str">
            <v>R188</v>
          </cell>
          <cell r="B2397" t="str">
            <v>RBI AIC COMMISSIONER OF CUSTOMS J.N.P.</v>
          </cell>
        </row>
        <row r="2398">
          <cell r="A2398" t="str">
            <v>R189</v>
          </cell>
          <cell r="B2398" t="str">
            <v>R.K. ASSOCIATES</v>
          </cell>
        </row>
        <row r="2399">
          <cell r="A2399" t="str">
            <v>R190</v>
          </cell>
          <cell r="B2399" t="str">
            <v>R K ANAND ENTERPRISES</v>
          </cell>
        </row>
        <row r="2400">
          <cell r="A2400" t="str">
            <v>R191</v>
          </cell>
          <cell r="B2400" t="str">
            <v>RAJU AUTO ELECTRIC WORKS</v>
          </cell>
        </row>
        <row r="2401">
          <cell r="A2401" t="str">
            <v>R192</v>
          </cell>
          <cell r="B2401" t="str">
            <v>RAMESH BHOLA</v>
          </cell>
        </row>
        <row r="2402">
          <cell r="A2402" t="str">
            <v>R193</v>
          </cell>
          <cell r="B2402" t="str">
            <v>RAPERIA BROTHERS B M SUPPLIER</v>
          </cell>
        </row>
        <row r="2403">
          <cell r="A2403" t="str">
            <v>R194</v>
          </cell>
          <cell r="B2403" t="str">
            <v>RAM PARKASH YADAV (MALBA MTRL. CARRIERS)</v>
          </cell>
        </row>
        <row r="2404">
          <cell r="A2404" t="str">
            <v>R195</v>
          </cell>
          <cell r="B2404" t="str">
            <v>RISHI RAJ AUTOMILES SERVICE P. LTD.</v>
          </cell>
        </row>
        <row r="2405">
          <cell r="A2405" t="str">
            <v>R196</v>
          </cell>
          <cell r="B2405" t="str">
            <v>RAM SAROOP</v>
          </cell>
        </row>
        <row r="2406">
          <cell r="A2406" t="str">
            <v>R197</v>
          </cell>
          <cell r="B2406" t="str">
            <v>RAJPAL WATER &amp; BUILDING MATERIAL CARRIER</v>
          </cell>
        </row>
        <row r="2407">
          <cell r="A2407" t="str">
            <v>R198</v>
          </cell>
          <cell r="B2407" t="str">
            <v>S. RADHAKRISHNAN</v>
          </cell>
        </row>
        <row r="2408">
          <cell r="A2408" t="str">
            <v>R199</v>
          </cell>
          <cell r="B2408" t="str">
            <v>RANJIT NANDA &amp; ASSOCIATES</v>
          </cell>
        </row>
        <row r="2409">
          <cell r="A2409" t="str">
            <v>R200</v>
          </cell>
          <cell r="B2409" t="str">
            <v>RAMESHWAR</v>
          </cell>
        </row>
        <row r="2410">
          <cell r="A2410" t="str">
            <v>R201</v>
          </cell>
          <cell r="B2410" t="str">
            <v>RAJINDER ENTERPRISES</v>
          </cell>
        </row>
        <row r="2411">
          <cell r="A2411" t="str">
            <v>R202</v>
          </cell>
          <cell r="B2411" t="str">
            <v>RITU STONES (PVT.) LIMITED</v>
          </cell>
        </row>
        <row r="2412">
          <cell r="A2412" t="str">
            <v>R203</v>
          </cell>
          <cell r="B2412" t="str">
            <v>R R ROAD CARRIERS</v>
          </cell>
        </row>
        <row r="2413">
          <cell r="A2413" t="str">
            <v>R204</v>
          </cell>
          <cell r="B2413" t="str">
            <v>R C TRANSPORT</v>
          </cell>
        </row>
        <row r="2414">
          <cell r="A2414" t="str">
            <v>R205</v>
          </cell>
          <cell r="B2414" t="str">
            <v>R V ENTERPRISES</v>
          </cell>
        </row>
        <row r="2415">
          <cell r="A2415" t="str">
            <v>R206</v>
          </cell>
          <cell r="B2415" t="str">
            <v>RAJENDRA SINGH</v>
          </cell>
        </row>
        <row r="2416">
          <cell r="A2416" t="str">
            <v>R207</v>
          </cell>
          <cell r="B2416" t="str">
            <v>RAJEEV AND COMPANY</v>
          </cell>
        </row>
        <row r="2417">
          <cell r="A2417" t="str">
            <v>R208</v>
          </cell>
          <cell r="B2417" t="str">
            <v>R P SHUKLA &amp; SONS</v>
          </cell>
        </row>
        <row r="2418">
          <cell r="A2418" t="str">
            <v>R209</v>
          </cell>
          <cell r="B2418" t="str">
            <v>RAJ KUMAR TIMBER STORE</v>
          </cell>
        </row>
        <row r="2419">
          <cell r="A2419" t="str">
            <v>R210</v>
          </cell>
          <cell r="B2419" t="str">
            <v>R P BUILDING MATERIAL CARRIER</v>
          </cell>
        </row>
        <row r="2420">
          <cell r="A2420" t="str">
            <v>R211</v>
          </cell>
          <cell r="B2420" t="str">
            <v>R M TRADING CORPORATION</v>
          </cell>
        </row>
        <row r="2421">
          <cell r="A2421" t="str">
            <v>R212</v>
          </cell>
          <cell r="B2421" t="str">
            <v>R S SERVICES</v>
          </cell>
        </row>
        <row r="2422">
          <cell r="A2422" t="str">
            <v>R213</v>
          </cell>
          <cell r="B2422" t="str">
            <v>R P BUILDING MATERIAL CARRIER</v>
          </cell>
        </row>
        <row r="2423">
          <cell r="A2423" t="str">
            <v>R214</v>
          </cell>
          <cell r="B2423" t="str">
            <v>RAVI FREIGHT CARRIER</v>
          </cell>
        </row>
        <row r="2424">
          <cell r="A2424" t="str">
            <v>R215</v>
          </cell>
          <cell r="B2424" t="str">
            <v>R A CASSETTES</v>
          </cell>
        </row>
        <row r="2425">
          <cell r="A2425" t="str">
            <v>R216</v>
          </cell>
          <cell r="B2425" t="str">
            <v>RAM GOPAL DCM RETAIL STOCKIST</v>
          </cell>
        </row>
        <row r="2426">
          <cell r="A2426" t="str">
            <v>R217</v>
          </cell>
          <cell r="B2426" t="str">
            <v>R K M ASSOCIATES</v>
          </cell>
        </row>
        <row r="2427">
          <cell r="A2427" t="str">
            <v>R218</v>
          </cell>
          <cell r="B2427" t="str">
            <v>RAJ TRADING CO.</v>
          </cell>
        </row>
        <row r="2428">
          <cell r="A2428" t="str">
            <v>R219</v>
          </cell>
          <cell r="B2428" t="str">
            <v>R K AUTOMOBILES (P) LTD.</v>
          </cell>
        </row>
        <row r="2429">
          <cell r="A2429" t="str">
            <v>R220</v>
          </cell>
          <cell r="B2429" t="str">
            <v>RATHI SUPER STEEL LTD.</v>
          </cell>
        </row>
        <row r="2430">
          <cell r="A2430" t="str">
            <v>R221</v>
          </cell>
          <cell r="B2430" t="str">
            <v>RAMDEV YADAV</v>
          </cell>
        </row>
        <row r="2431">
          <cell r="A2431" t="str">
            <v>R222</v>
          </cell>
          <cell r="B2431" t="str">
            <v>THE RELIABLE WAT. SUPP SERV OF(I)(P.)LTD</v>
          </cell>
        </row>
        <row r="2432">
          <cell r="A2432" t="str">
            <v>R223</v>
          </cell>
          <cell r="B2432" t="str">
            <v>RAM BHAGAT JHAKHADH</v>
          </cell>
        </row>
        <row r="2433">
          <cell r="A2433" t="str">
            <v>R224</v>
          </cell>
          <cell r="B2433" t="str">
            <v>RAM GOPAL</v>
          </cell>
        </row>
        <row r="2434">
          <cell r="A2434" t="str">
            <v>R225</v>
          </cell>
          <cell r="B2434" t="str">
            <v>REENA SINGH (TOUR &amp; TRAVEL)</v>
          </cell>
        </row>
        <row r="2435">
          <cell r="A2435" t="str">
            <v>R226</v>
          </cell>
          <cell r="B2435" t="str">
            <v>R N WATTS &amp; COMPANY</v>
          </cell>
        </row>
        <row r="2436">
          <cell r="A2436" t="str">
            <v>R227</v>
          </cell>
          <cell r="B2436" t="str">
            <v>RAJA TILES &amp; SANITARY STORES</v>
          </cell>
        </row>
        <row r="2437">
          <cell r="A2437" t="str">
            <v>R228</v>
          </cell>
          <cell r="B2437" t="str">
            <v>RITA SHARMA</v>
          </cell>
        </row>
        <row r="2438">
          <cell r="A2438" t="str">
            <v>R229</v>
          </cell>
          <cell r="B2438" t="str">
            <v>R R EQUIPMENT</v>
          </cell>
        </row>
        <row r="2439">
          <cell r="A2439" t="str">
            <v>R230</v>
          </cell>
          <cell r="B2439" t="str">
            <v>RAJANDERA EARTH MOVERS</v>
          </cell>
        </row>
        <row r="2440">
          <cell r="A2440" t="str">
            <v>R231</v>
          </cell>
          <cell r="B2440" t="str">
            <v>RITA CHANDRASEKAR</v>
          </cell>
        </row>
        <row r="2441">
          <cell r="A2441" t="str">
            <v>R232</v>
          </cell>
          <cell r="B2441" t="str">
            <v>RITA CHANDERSEKHAR</v>
          </cell>
        </row>
        <row r="2442">
          <cell r="A2442" t="str">
            <v>R233</v>
          </cell>
          <cell r="B2442" t="str">
            <v>RICHA BUILDERS</v>
          </cell>
        </row>
        <row r="2443">
          <cell r="A2443" t="str">
            <v>R234</v>
          </cell>
          <cell r="B2443" t="str">
            <v>RISHI ENTERPRISES</v>
          </cell>
        </row>
        <row r="2444">
          <cell r="A2444" t="str">
            <v>R235</v>
          </cell>
          <cell r="B2444" t="str">
            <v>RAJ CARRIERS</v>
          </cell>
        </row>
        <row r="2445">
          <cell r="A2445" t="str">
            <v>R236</v>
          </cell>
          <cell r="B2445" t="str">
            <v>RAJENDRA KUMAR ANAND</v>
          </cell>
        </row>
        <row r="2446">
          <cell r="A2446" t="str">
            <v>R237</v>
          </cell>
          <cell r="B2446" t="str">
            <v>R K ELECTRIC COMPANY</v>
          </cell>
        </row>
        <row r="2447">
          <cell r="A2447" t="str">
            <v>R238</v>
          </cell>
          <cell r="B2447" t="str">
            <v>RAJ BUILDING PRODUCTS</v>
          </cell>
        </row>
        <row r="2448">
          <cell r="A2448" t="str">
            <v>R239</v>
          </cell>
          <cell r="B2448" t="str">
            <v>RAMESH MOTOR ENGG. WORKS</v>
          </cell>
        </row>
        <row r="2449">
          <cell r="A2449" t="str">
            <v>R240</v>
          </cell>
          <cell r="B2449" t="str">
            <v>ROYAL AUTOMOBILES</v>
          </cell>
        </row>
        <row r="2450">
          <cell r="A2450" t="str">
            <v>R241</v>
          </cell>
          <cell r="B2450" t="str">
            <v>RAJESH KUMAR K R</v>
          </cell>
        </row>
        <row r="2451">
          <cell r="A2451" t="str">
            <v>R242</v>
          </cell>
          <cell r="B2451" t="str">
            <v>RUNGTA IRRIGATION LTD.</v>
          </cell>
        </row>
        <row r="2452">
          <cell r="A2452" t="str">
            <v>R243</v>
          </cell>
          <cell r="B2452" t="str">
            <v>RAJINDER ALLOYS LIMITED</v>
          </cell>
        </row>
        <row r="2453">
          <cell r="A2453" t="str">
            <v>R244</v>
          </cell>
          <cell r="B2453" t="str">
            <v>RIPPLE ENGINEERING PVT LTD</v>
          </cell>
        </row>
        <row r="2454">
          <cell r="A2454" t="str">
            <v>R245</v>
          </cell>
          <cell r="B2454" t="str">
            <v>RAM LAL SEHRAWAT</v>
          </cell>
        </row>
        <row r="2455">
          <cell r="A2455" t="str">
            <v>R246</v>
          </cell>
          <cell r="B2455" t="str">
            <v>RAMA NAND</v>
          </cell>
        </row>
        <row r="2456">
          <cell r="A2456" t="str">
            <v>R247</v>
          </cell>
          <cell r="B2456" t="str">
            <v>ROY CHOUDHARY &amp; ASSOCIATES</v>
          </cell>
        </row>
        <row r="2457">
          <cell r="A2457" t="str">
            <v>R248</v>
          </cell>
          <cell r="B2457" t="str">
            <v>RELIEF INDIA</v>
          </cell>
        </row>
        <row r="2458">
          <cell r="A2458" t="str">
            <v>R249</v>
          </cell>
          <cell r="B2458" t="str">
            <v>RISHAL SINGH</v>
          </cell>
        </row>
        <row r="2459">
          <cell r="A2459" t="str">
            <v>R250</v>
          </cell>
          <cell r="B2459" t="str">
            <v>RATHI INDUSTRIES LTD.</v>
          </cell>
        </row>
        <row r="2460">
          <cell r="A2460" t="str">
            <v>R251</v>
          </cell>
          <cell r="B2460" t="str">
            <v>ROHIT FABRICATOR &amp; ERRECTORS</v>
          </cell>
        </row>
        <row r="2461">
          <cell r="A2461" t="str">
            <v>R252</v>
          </cell>
          <cell r="B2461" t="str">
            <v>RAVI SHARMA(ADVOCATE)</v>
          </cell>
        </row>
        <row r="2462">
          <cell r="A2462" t="str">
            <v>R253</v>
          </cell>
          <cell r="B2462" t="str">
            <v>RADHA KRISHAN &amp; SONS</v>
          </cell>
        </row>
        <row r="2463">
          <cell r="A2463" t="str">
            <v>R254</v>
          </cell>
          <cell r="B2463" t="str">
            <v>RAYMUS PORTABUILDINGS LIMITED</v>
          </cell>
        </row>
        <row r="2464">
          <cell r="A2464" t="str">
            <v>R255</v>
          </cell>
          <cell r="B2464" t="str">
            <v>RAVINDER SINGH</v>
          </cell>
        </row>
        <row r="2465">
          <cell r="A2465" t="str">
            <v>R256</v>
          </cell>
          <cell r="B2465" t="str">
            <v>RAHISH AHMED</v>
          </cell>
        </row>
        <row r="2466">
          <cell r="A2466" t="str">
            <v>R257</v>
          </cell>
          <cell r="B2466" t="str">
            <v>R.S.TRANSPORT COMPANY</v>
          </cell>
        </row>
        <row r="2467">
          <cell r="A2467" t="str">
            <v>R258</v>
          </cell>
          <cell r="B2467" t="str">
            <v>RAJINDER SINGH CONTRACTOR</v>
          </cell>
        </row>
        <row r="2468">
          <cell r="A2468" t="str">
            <v>R259</v>
          </cell>
          <cell r="B2468" t="str">
            <v>R.K.ENTERPRISES</v>
          </cell>
        </row>
        <row r="2469">
          <cell r="A2469" t="str">
            <v>R260</v>
          </cell>
          <cell r="B2469" t="str">
            <v>RIMARI INDIA PVT. LTD.</v>
          </cell>
        </row>
        <row r="2470">
          <cell r="A2470" t="str">
            <v>R261</v>
          </cell>
          <cell r="B2470" t="str">
            <v>RAJENDRA KUMAR</v>
          </cell>
        </row>
        <row r="2471">
          <cell r="A2471" t="str">
            <v>R262</v>
          </cell>
          <cell r="B2471" t="str">
            <v>RIMARI INDIA PVT. LTD.</v>
          </cell>
        </row>
        <row r="2472">
          <cell r="A2472" t="str">
            <v>R263</v>
          </cell>
          <cell r="B2472" t="str">
            <v>RAGHUPATI LEASING &amp; FINANCE LTD.</v>
          </cell>
        </row>
        <row r="2473">
          <cell r="A2473" t="str">
            <v>R264</v>
          </cell>
          <cell r="B2473" t="str">
            <v>RAM DEV</v>
          </cell>
        </row>
        <row r="2474">
          <cell r="A2474" t="str">
            <v>R265</v>
          </cell>
          <cell r="B2474" t="str">
            <v>RAHUL RUBBER PVT. LTD.</v>
          </cell>
        </row>
        <row r="2475">
          <cell r="A2475" t="str">
            <v>R266</v>
          </cell>
          <cell r="B2475" t="str">
            <v>RAM KARAN KAMLESH KUMAR SAINI</v>
          </cell>
        </row>
        <row r="2476">
          <cell r="A2476" t="str">
            <v>R267</v>
          </cell>
          <cell r="B2476" t="str">
            <v>REAL VALUE MARKETING SERVICES LTD.</v>
          </cell>
        </row>
        <row r="2477">
          <cell r="A2477" t="str">
            <v>R268</v>
          </cell>
          <cell r="B2477" t="str">
            <v>RANJEET SINGH</v>
          </cell>
        </row>
        <row r="2478">
          <cell r="A2478" t="str">
            <v>R269</v>
          </cell>
          <cell r="B2478" t="str">
            <v>R N ENGINEERS &amp; FABRICATORS</v>
          </cell>
        </row>
        <row r="2479">
          <cell r="A2479" t="str">
            <v>R270</v>
          </cell>
          <cell r="B2479" t="str">
            <v>RAGHAV AUTOMOBILES</v>
          </cell>
        </row>
        <row r="2480">
          <cell r="A2480" t="str">
            <v>R271</v>
          </cell>
          <cell r="B2480" t="str">
            <v>RISHAB'S COMMUNICATIONS</v>
          </cell>
        </row>
        <row r="2481">
          <cell r="A2481" t="str">
            <v>R272</v>
          </cell>
          <cell r="B2481" t="str">
            <v>RAM PAL SINGH</v>
          </cell>
        </row>
        <row r="2482">
          <cell r="A2482" t="str">
            <v>R273</v>
          </cell>
          <cell r="B2482" t="str">
            <v>RECTIFIERS &amp; CONTROLS</v>
          </cell>
        </row>
        <row r="2483">
          <cell r="A2483" t="str">
            <v>R274</v>
          </cell>
          <cell r="B2483" t="str">
            <v>REGAL ELECTRONICS</v>
          </cell>
        </row>
        <row r="2484">
          <cell r="A2484" t="str">
            <v>R275</v>
          </cell>
          <cell r="B2484" t="str">
            <v>REGENT AUTOMOBILE LTD.</v>
          </cell>
        </row>
        <row r="2485">
          <cell r="A2485" t="str">
            <v>R801</v>
          </cell>
          <cell r="B2485" t="str">
            <v>RITU VATS</v>
          </cell>
        </row>
        <row r="2486">
          <cell r="A2486" t="str">
            <v>R802</v>
          </cell>
          <cell r="B2486" t="str">
            <v>RAMESH MOTWANI</v>
          </cell>
        </row>
        <row r="2487">
          <cell r="A2487" t="str">
            <v>R803</v>
          </cell>
          <cell r="B2487" t="str">
            <v>R S CHADHA</v>
          </cell>
        </row>
        <row r="2488">
          <cell r="A2488" t="str">
            <v>R806</v>
          </cell>
          <cell r="B2488" t="str">
            <v>RANI CHAWLA</v>
          </cell>
        </row>
        <row r="2489">
          <cell r="A2489" t="str">
            <v>R807</v>
          </cell>
          <cell r="B2489" t="str">
            <v>R S MADAN</v>
          </cell>
        </row>
        <row r="2490">
          <cell r="A2490" t="str">
            <v>R808</v>
          </cell>
          <cell r="B2490" t="str">
            <v>REETA PRADEEP KUMAR</v>
          </cell>
        </row>
        <row r="2491">
          <cell r="A2491" t="str">
            <v>R809</v>
          </cell>
          <cell r="B2491" t="str">
            <v>RAMLA MANDAL</v>
          </cell>
        </row>
        <row r="2492">
          <cell r="A2492" t="str">
            <v>R810</v>
          </cell>
          <cell r="B2492" t="str">
            <v>RANJANA NENE</v>
          </cell>
        </row>
        <row r="2493">
          <cell r="A2493" t="str">
            <v>R811</v>
          </cell>
          <cell r="B2493" t="str">
            <v>RAJNI SANWAL</v>
          </cell>
        </row>
        <row r="2494">
          <cell r="A2494" t="str">
            <v>R812</v>
          </cell>
          <cell r="B2494" t="str">
            <v>RITA SHARMA</v>
          </cell>
        </row>
        <row r="2495">
          <cell r="A2495" t="str">
            <v>R813</v>
          </cell>
          <cell r="B2495" t="str">
            <v>REANU KOHLEE</v>
          </cell>
        </row>
        <row r="2496">
          <cell r="A2496" t="str">
            <v>R814</v>
          </cell>
          <cell r="B2496" t="str">
            <v>R.N. BAKSHI (AIR CDR.)</v>
          </cell>
        </row>
        <row r="2497">
          <cell r="A2497" t="str">
            <v>R815</v>
          </cell>
          <cell r="B2497" t="str">
            <v>RENUKA SAWHNEY</v>
          </cell>
        </row>
        <row r="2498">
          <cell r="A2498" t="str">
            <v>R901</v>
          </cell>
          <cell r="B2498" t="str">
            <v>RAMDHYAN(INOP.)</v>
          </cell>
        </row>
        <row r="2499">
          <cell r="A2499" t="str">
            <v>R902</v>
          </cell>
          <cell r="B2499" t="str">
            <v>RAM AASHISH CHAUHAN(INOP.)</v>
          </cell>
        </row>
        <row r="2500">
          <cell r="A2500" t="str">
            <v>S001</v>
          </cell>
          <cell r="B2500" t="str">
            <v>SURYA ROSHNI LTD.</v>
          </cell>
        </row>
        <row r="2501">
          <cell r="A2501" t="str">
            <v>S002</v>
          </cell>
          <cell r="B2501" t="str">
            <v>SQUARE WAVE CONTROLS</v>
          </cell>
        </row>
        <row r="2502">
          <cell r="A2502" t="str">
            <v>S003</v>
          </cell>
          <cell r="B2502" t="str">
            <v>SEKHRI BROTHERS</v>
          </cell>
        </row>
        <row r="2503">
          <cell r="A2503" t="str">
            <v>S004</v>
          </cell>
          <cell r="B2503" t="str">
            <v>SHREEWOOD PRODUCTS (P) LTD.</v>
          </cell>
        </row>
        <row r="2504">
          <cell r="A2504" t="str">
            <v>S005</v>
          </cell>
          <cell r="B2504" t="str">
            <v>SUPREME INDUSTRIES LIMITED</v>
          </cell>
        </row>
        <row r="2505">
          <cell r="A2505" t="str">
            <v>S006</v>
          </cell>
          <cell r="B2505" t="str">
            <v>SOM DATTA GOEL &amp; SONS</v>
          </cell>
        </row>
        <row r="2506">
          <cell r="A2506" t="str">
            <v>S007</v>
          </cell>
          <cell r="B2506" t="str">
            <v>SUPRA ENTERPRISES</v>
          </cell>
        </row>
        <row r="2507">
          <cell r="A2507" t="str">
            <v>S008</v>
          </cell>
          <cell r="B2507" t="str">
            <v>S.P YADAV</v>
          </cell>
        </row>
        <row r="2508">
          <cell r="A2508" t="str">
            <v>S009</v>
          </cell>
          <cell r="B2508" t="str">
            <v>SUPER FIREL PVT. LTD.</v>
          </cell>
        </row>
        <row r="2509">
          <cell r="A2509" t="str">
            <v>S010</v>
          </cell>
          <cell r="B2509" t="str">
            <v>SHIV CARRIER</v>
          </cell>
        </row>
        <row r="2510">
          <cell r="A2510" t="str">
            <v>S011</v>
          </cell>
          <cell r="B2510" t="str">
            <v>SUNIL RANA</v>
          </cell>
        </row>
        <row r="2511">
          <cell r="A2511" t="str">
            <v>S012</v>
          </cell>
          <cell r="B2511" t="str">
            <v>SUPER PEST CONTROL (P) LTD.</v>
          </cell>
        </row>
        <row r="2512">
          <cell r="A2512" t="str">
            <v>S013</v>
          </cell>
          <cell r="B2512" t="str">
            <v>S.N INDUSTRIES</v>
          </cell>
        </row>
        <row r="2513">
          <cell r="A2513" t="str">
            <v>S014</v>
          </cell>
          <cell r="B2513" t="str">
            <v>S.M  &amp; SONS</v>
          </cell>
        </row>
        <row r="2514">
          <cell r="A2514" t="str">
            <v>S015</v>
          </cell>
          <cell r="B2514" t="str">
            <v>SET INC PRECISSION ENGG (P) LTD</v>
          </cell>
        </row>
        <row r="2515">
          <cell r="A2515" t="str">
            <v>S016</v>
          </cell>
          <cell r="B2515" t="str">
            <v>SACHDEVA GLASS HOUSE</v>
          </cell>
        </row>
        <row r="2516">
          <cell r="A2516" t="str">
            <v>S017</v>
          </cell>
          <cell r="B2516" t="str">
            <v>SHREE CEMENT LIMITED</v>
          </cell>
        </row>
        <row r="2517">
          <cell r="A2517" t="str">
            <v>S018</v>
          </cell>
          <cell r="B2517" t="str">
            <v>SUPER BLUE STONE GRIT CARRIER</v>
          </cell>
        </row>
        <row r="2518">
          <cell r="A2518" t="str">
            <v>S019</v>
          </cell>
          <cell r="B2518" t="str">
            <v>SHIVJI BHATTA COMPANY</v>
          </cell>
        </row>
        <row r="2519">
          <cell r="A2519" t="str">
            <v>S020</v>
          </cell>
          <cell r="B2519" t="str">
            <v>SITAPUR PLYWOOD MANUFACTURES LTD.</v>
          </cell>
        </row>
        <row r="2520">
          <cell r="A2520" t="str">
            <v>S021</v>
          </cell>
          <cell r="B2520" t="str">
            <v>SIDDARTH AND COMPANY</v>
          </cell>
        </row>
        <row r="2521">
          <cell r="A2521" t="str">
            <v>S022</v>
          </cell>
          <cell r="B2521" t="str">
            <v>SANJAY KUMAR SINGH</v>
          </cell>
        </row>
        <row r="2522">
          <cell r="A2522" t="str">
            <v>S023</v>
          </cell>
          <cell r="B2522" t="str">
            <v>SECURITY VIGILANCE SERVICE</v>
          </cell>
        </row>
        <row r="2523">
          <cell r="A2523" t="str">
            <v>S024</v>
          </cell>
          <cell r="B2523" t="str">
            <v>SOMANI MOZAK TILES</v>
          </cell>
        </row>
        <row r="2524">
          <cell r="A2524" t="str">
            <v>S025</v>
          </cell>
          <cell r="B2524" t="str">
            <v>SUPER BOND</v>
          </cell>
        </row>
        <row r="2525">
          <cell r="A2525" t="str">
            <v>S026</v>
          </cell>
          <cell r="B2525" t="str">
            <v>SATISH IRON &amp; CHARPAI STORE</v>
          </cell>
        </row>
        <row r="2526">
          <cell r="A2526" t="str">
            <v>S027</v>
          </cell>
          <cell r="B2526" t="str">
            <v>SUMAN &amp; SINGH CO.</v>
          </cell>
        </row>
        <row r="2527">
          <cell r="A2527" t="str">
            <v>S028</v>
          </cell>
          <cell r="B2527" t="str">
            <v>SOJI RAM</v>
          </cell>
        </row>
        <row r="2528">
          <cell r="A2528" t="str">
            <v>S029</v>
          </cell>
          <cell r="B2528" t="str">
            <v>SWATI CONSTRUCTION CO.</v>
          </cell>
        </row>
        <row r="2529">
          <cell r="A2529" t="str">
            <v>S030</v>
          </cell>
          <cell r="B2529" t="str">
            <v>SHAKTI BUILDERS</v>
          </cell>
        </row>
        <row r="2530">
          <cell r="A2530" t="str">
            <v>S031</v>
          </cell>
          <cell r="B2530" t="str">
            <v>S.K PRADHAN &amp; CO.</v>
          </cell>
        </row>
        <row r="2531">
          <cell r="A2531" t="str">
            <v>S032</v>
          </cell>
          <cell r="B2531" t="str">
            <v>SUBAS ELECTRICAL</v>
          </cell>
        </row>
        <row r="2532">
          <cell r="A2532" t="str">
            <v>S033</v>
          </cell>
          <cell r="B2532" t="str">
            <v>SINDHWANI BROS.</v>
          </cell>
        </row>
        <row r="2533">
          <cell r="A2533" t="str">
            <v>S034</v>
          </cell>
          <cell r="B2533" t="str">
            <v>SAGAR MOTOR CO.</v>
          </cell>
        </row>
        <row r="2534">
          <cell r="A2534" t="str">
            <v>S035</v>
          </cell>
          <cell r="B2534" t="str">
            <v>S.K.BATTERY &amp; AUTO ELECTRICAL PARTS</v>
          </cell>
        </row>
        <row r="2535">
          <cell r="A2535" t="str">
            <v>S036</v>
          </cell>
          <cell r="B2535" t="str">
            <v>SVAM POWER PLANTS PVT.LTD.</v>
          </cell>
        </row>
        <row r="2536">
          <cell r="A2536" t="str">
            <v>S037</v>
          </cell>
          <cell r="B2536" t="str">
            <v>STANDARD WIRE PRODUCTS</v>
          </cell>
        </row>
        <row r="2537">
          <cell r="A2537" t="str">
            <v>S038</v>
          </cell>
          <cell r="B2537" t="str">
            <v>SWASTIK RUBBER PRODUCTS LTD.</v>
          </cell>
        </row>
        <row r="2538">
          <cell r="A2538" t="str">
            <v>S039</v>
          </cell>
          <cell r="B2538" t="str">
            <v>SURENDER KUMAR</v>
          </cell>
        </row>
        <row r="2539">
          <cell r="A2539" t="str">
            <v>S040</v>
          </cell>
          <cell r="B2539" t="str">
            <v>SUBHASH &amp; SONS</v>
          </cell>
        </row>
        <row r="2540">
          <cell r="A2540" t="str">
            <v>S041</v>
          </cell>
          <cell r="B2540" t="str">
            <v>SHIVA CONSTRUCTION</v>
          </cell>
        </row>
        <row r="2541">
          <cell r="A2541" t="str">
            <v>S042</v>
          </cell>
          <cell r="B2541" t="str">
            <v>SHANKAR LAL</v>
          </cell>
        </row>
        <row r="2542">
          <cell r="A2542" t="str">
            <v>S043</v>
          </cell>
          <cell r="B2542" t="str">
            <v>SUNRISE ELECTRICALS</v>
          </cell>
        </row>
        <row r="2543">
          <cell r="A2543" t="str">
            <v>S044</v>
          </cell>
          <cell r="B2543" t="str">
            <v>SURAJ STEEL COMPANY</v>
          </cell>
        </row>
        <row r="2544">
          <cell r="A2544" t="str">
            <v>S045</v>
          </cell>
          <cell r="B2544" t="str">
            <v>SARAFAT ALI</v>
          </cell>
        </row>
        <row r="2545">
          <cell r="A2545" t="str">
            <v>S046</v>
          </cell>
          <cell r="B2545" t="str">
            <v>STRUCTURAL WATERPROOFING CO. PVT. LTD.</v>
          </cell>
        </row>
        <row r="2546">
          <cell r="A2546" t="str">
            <v>S047</v>
          </cell>
          <cell r="B2546" t="str">
            <v>SAI RAM CONSTRUCTION CO.</v>
          </cell>
        </row>
        <row r="2547">
          <cell r="A2547" t="str">
            <v>S048</v>
          </cell>
          <cell r="B2547" t="str">
            <v>SUNRISE CONSTRUCTION</v>
          </cell>
        </row>
        <row r="2548">
          <cell r="A2548" t="str">
            <v>S049</v>
          </cell>
          <cell r="B2548" t="str">
            <v>SHAFIQUE AHMED</v>
          </cell>
        </row>
        <row r="2549">
          <cell r="A2549" t="str">
            <v>S050</v>
          </cell>
          <cell r="B2549" t="str">
            <v>SATPAL SHARMA</v>
          </cell>
        </row>
        <row r="2550">
          <cell r="A2550" t="str">
            <v>S051</v>
          </cell>
          <cell r="B2550" t="str">
            <v>SWASTIK INDUSTRIES</v>
          </cell>
        </row>
        <row r="2551">
          <cell r="A2551" t="str">
            <v>S052</v>
          </cell>
          <cell r="B2551" t="str">
            <v>SHRI BANKEY BEHARI EARTH MOVERS</v>
          </cell>
        </row>
        <row r="2552">
          <cell r="A2552" t="str">
            <v>S053</v>
          </cell>
          <cell r="B2552" t="str">
            <v>SAJAWAT</v>
          </cell>
        </row>
        <row r="2553">
          <cell r="A2553" t="str">
            <v>S054</v>
          </cell>
          <cell r="B2553" t="str">
            <v>SUMAN INTERNATIONAL</v>
          </cell>
        </row>
        <row r="2554">
          <cell r="A2554" t="str">
            <v>S055</v>
          </cell>
          <cell r="B2554" t="str">
            <v>SUPER STAR GRIT UDYOG</v>
          </cell>
        </row>
        <row r="2555">
          <cell r="A2555" t="str">
            <v>S056</v>
          </cell>
          <cell r="B2555" t="str">
            <v>SATISH PAINTS &amp; HARDWARE STORE</v>
          </cell>
        </row>
        <row r="2556">
          <cell r="A2556" t="str">
            <v>S057</v>
          </cell>
          <cell r="B2556" t="str">
            <v>S K BISWAS (SHABU BISWAS)</v>
          </cell>
        </row>
        <row r="2557">
          <cell r="A2557" t="str">
            <v>S058</v>
          </cell>
          <cell r="B2557" t="str">
            <v>MD. SABBIR ALAM</v>
          </cell>
        </row>
        <row r="2558">
          <cell r="A2558" t="str">
            <v>S059</v>
          </cell>
          <cell r="B2558" t="str">
            <v>SANATH DAS</v>
          </cell>
        </row>
        <row r="2559">
          <cell r="A2559" t="str">
            <v>S060</v>
          </cell>
          <cell r="B2559" t="str">
            <v>SUBHASH GUPTA</v>
          </cell>
        </row>
        <row r="2560">
          <cell r="A2560" t="str">
            <v>S061</v>
          </cell>
          <cell r="B2560" t="str">
            <v>SURENDRA ELECTRICAL</v>
          </cell>
        </row>
        <row r="2561">
          <cell r="A2561" t="str">
            <v>S062</v>
          </cell>
          <cell r="B2561" t="str">
            <v>SCAF STRUCTS</v>
          </cell>
        </row>
        <row r="2562">
          <cell r="A2562" t="str">
            <v>S063</v>
          </cell>
          <cell r="B2562" t="str">
            <v>SANT LAL</v>
          </cell>
        </row>
        <row r="2563">
          <cell r="A2563" t="str">
            <v>S064</v>
          </cell>
          <cell r="B2563" t="str">
            <v>S R CONSTRUCTIONS</v>
          </cell>
        </row>
        <row r="2564">
          <cell r="A2564" t="str">
            <v>S065</v>
          </cell>
          <cell r="B2564" t="str">
            <v>SWASTIK ENTERPRISES</v>
          </cell>
        </row>
        <row r="2565">
          <cell r="A2565" t="str">
            <v>S066</v>
          </cell>
          <cell r="B2565" t="str">
            <v>SUNA RAM</v>
          </cell>
        </row>
        <row r="2566">
          <cell r="A2566" t="str">
            <v>S067</v>
          </cell>
          <cell r="B2566" t="str">
            <v>SHRI SHIRDIYAR CONST.</v>
          </cell>
        </row>
        <row r="2567">
          <cell r="A2567" t="str">
            <v>S068</v>
          </cell>
          <cell r="B2567" t="str">
            <v>SHARDA COMPUTERS</v>
          </cell>
        </row>
        <row r="2568">
          <cell r="A2568" t="str">
            <v>S069</v>
          </cell>
          <cell r="B2568" t="str">
            <v>SOFLINE SYSTEMS</v>
          </cell>
        </row>
        <row r="2569">
          <cell r="A2569" t="str">
            <v>S070</v>
          </cell>
          <cell r="B2569" t="str">
            <v>SACHDEVA SANITARY STORE</v>
          </cell>
        </row>
        <row r="2570">
          <cell r="A2570" t="str">
            <v>S071</v>
          </cell>
          <cell r="B2570" t="str">
            <v>SANCHITA CONSTRUCTIONS</v>
          </cell>
        </row>
        <row r="2571">
          <cell r="A2571" t="str">
            <v>S072</v>
          </cell>
          <cell r="B2571" t="str">
            <v>SONU STEEL WORKS</v>
          </cell>
        </row>
        <row r="2572">
          <cell r="A2572" t="str">
            <v>S073</v>
          </cell>
          <cell r="B2572" t="str">
            <v>SHREE GOPAL</v>
          </cell>
        </row>
        <row r="2573">
          <cell r="A2573" t="str">
            <v>S074</v>
          </cell>
          <cell r="B2573" t="str">
            <v>SHAYAM BUILDERS</v>
          </cell>
        </row>
        <row r="2574">
          <cell r="A2574" t="str">
            <v>S075</v>
          </cell>
          <cell r="B2574" t="str">
            <v>S K ENGINEERING INDUSTRIES</v>
          </cell>
        </row>
        <row r="2575">
          <cell r="A2575" t="str">
            <v>S076</v>
          </cell>
          <cell r="B2575" t="str">
            <v>SHYAM LAL</v>
          </cell>
        </row>
        <row r="2576">
          <cell r="A2576" t="str">
            <v>S077</v>
          </cell>
          <cell r="B2576" t="str">
            <v>SHYAM SUNDER</v>
          </cell>
        </row>
        <row r="2577">
          <cell r="A2577" t="str">
            <v>S078</v>
          </cell>
          <cell r="B2577" t="str">
            <v>SUDHIR KUMAR</v>
          </cell>
        </row>
        <row r="2578">
          <cell r="A2578" t="str">
            <v>S079</v>
          </cell>
          <cell r="B2578" t="str">
            <v>SUKHVIR SHARMA (SCRAP WALA)(INOP.)</v>
          </cell>
        </row>
        <row r="2579">
          <cell r="A2579" t="str">
            <v>S080</v>
          </cell>
          <cell r="B2579" t="str">
            <v>SHENGRILA FURNITURE</v>
          </cell>
        </row>
        <row r="2580">
          <cell r="A2580" t="str">
            <v>S081</v>
          </cell>
          <cell r="B2580" t="str">
            <v>SOCIETY FOR PROMOTION OF OCCUP. SAFETY</v>
          </cell>
        </row>
        <row r="2581">
          <cell r="A2581" t="str">
            <v>S082</v>
          </cell>
          <cell r="B2581" t="str">
            <v>SURYA CARRIER</v>
          </cell>
        </row>
        <row r="2582">
          <cell r="A2582" t="str">
            <v>S083</v>
          </cell>
          <cell r="B2582" t="str">
            <v>SAIBABA TUBEWELLS (P) LTD.</v>
          </cell>
        </row>
        <row r="2583">
          <cell r="A2583" t="str">
            <v>S084</v>
          </cell>
          <cell r="B2583" t="str">
            <v>SHIVANI TYRE</v>
          </cell>
        </row>
        <row r="2584">
          <cell r="A2584" t="str">
            <v>S085</v>
          </cell>
          <cell r="B2584" t="str">
            <v>SHRI RAM INSTITUTE FOR INDUSTRIAL RES.</v>
          </cell>
        </row>
        <row r="2585">
          <cell r="A2585" t="str">
            <v>S086</v>
          </cell>
          <cell r="B2585" t="str">
            <v>SHAKTI ROAD LINE</v>
          </cell>
        </row>
        <row r="2586">
          <cell r="A2586" t="str">
            <v>S087</v>
          </cell>
          <cell r="B2586" t="str">
            <v>SITARAM (SCRAP DEALER)</v>
          </cell>
        </row>
        <row r="2587">
          <cell r="A2587" t="str">
            <v>S088</v>
          </cell>
          <cell r="B2587" t="str">
            <v>SHREE NAR SINGH ELECTRIC CO.</v>
          </cell>
        </row>
        <row r="2588">
          <cell r="A2588" t="str">
            <v>S089</v>
          </cell>
          <cell r="B2588" t="str">
            <v>SUBASH TRANSPORT CORPORATION</v>
          </cell>
        </row>
        <row r="2589">
          <cell r="A2589" t="str">
            <v>S090</v>
          </cell>
          <cell r="B2589" t="str">
            <v>SACHDEVA DECORATERS</v>
          </cell>
        </row>
        <row r="2590">
          <cell r="A2590" t="str">
            <v>S091</v>
          </cell>
          <cell r="B2590" t="str">
            <v>SATBIR SINGH</v>
          </cell>
        </row>
        <row r="2591">
          <cell r="A2591" t="str">
            <v>S092</v>
          </cell>
          <cell r="B2591" t="str">
            <v>SANAN VALVES AND TUBES PVT LTD.</v>
          </cell>
        </row>
        <row r="2592">
          <cell r="A2592" t="str">
            <v>S093</v>
          </cell>
          <cell r="B2592" t="str">
            <v>SKY FREIGHT CARRIER</v>
          </cell>
        </row>
        <row r="2593">
          <cell r="A2593" t="str">
            <v>S094</v>
          </cell>
          <cell r="B2593" t="str">
            <v>SUMAN ENGG. ASSOCIATES</v>
          </cell>
        </row>
        <row r="2594">
          <cell r="A2594" t="str">
            <v>S095</v>
          </cell>
          <cell r="B2594" t="str">
            <v>SKY FREIGHT CARRIERS</v>
          </cell>
        </row>
        <row r="2595">
          <cell r="A2595" t="str">
            <v>S096</v>
          </cell>
          <cell r="B2595" t="str">
            <v>SUBHASH TRANSPORT CORPORATION</v>
          </cell>
        </row>
        <row r="2596">
          <cell r="A2596" t="str">
            <v>S097</v>
          </cell>
          <cell r="B2596" t="str">
            <v>S K ENTERPRISES</v>
          </cell>
        </row>
        <row r="2597">
          <cell r="A2597" t="str">
            <v>S098</v>
          </cell>
          <cell r="B2597" t="str">
            <v>SAEED QAMAR</v>
          </cell>
        </row>
        <row r="2598">
          <cell r="A2598" t="str">
            <v>S099</v>
          </cell>
          <cell r="B2598" t="str">
            <v>S S TRANSPORTERS</v>
          </cell>
        </row>
        <row r="2599">
          <cell r="A2599" t="str">
            <v>S100</v>
          </cell>
          <cell r="B2599" t="str">
            <v>S K JENA</v>
          </cell>
        </row>
        <row r="2600">
          <cell r="A2600" t="str">
            <v>S101</v>
          </cell>
          <cell r="B2600" t="str">
            <v>SYAL ASSOCIATES</v>
          </cell>
        </row>
        <row r="2601">
          <cell r="A2601" t="str">
            <v>S102</v>
          </cell>
          <cell r="B2601" t="str">
            <v>SATISH IRON &amp; CHARPAI STORE</v>
          </cell>
        </row>
        <row r="2602">
          <cell r="A2602" t="str">
            <v>S103</v>
          </cell>
          <cell r="B2602" t="str">
            <v>SUDHIR KUMAR SHARMA</v>
          </cell>
        </row>
        <row r="2603">
          <cell r="A2603" t="str">
            <v>S104</v>
          </cell>
          <cell r="B2603" t="str">
            <v>S V ASSOCIATES</v>
          </cell>
        </row>
        <row r="2604">
          <cell r="A2604" t="str">
            <v>S105</v>
          </cell>
          <cell r="B2604" t="str">
            <v>SWAROOP CHAND</v>
          </cell>
        </row>
        <row r="2605">
          <cell r="A2605" t="str">
            <v>S106</v>
          </cell>
          <cell r="B2605" t="str">
            <v>SHRI RAM ELECTRICALS (INDIA)</v>
          </cell>
        </row>
        <row r="2606">
          <cell r="A2606" t="str">
            <v>S107</v>
          </cell>
          <cell r="B2606" t="str">
            <v>STONE CLAD</v>
          </cell>
        </row>
        <row r="2607">
          <cell r="A2607" t="str">
            <v>S108</v>
          </cell>
          <cell r="B2607" t="str">
            <v>SHIVA STEEL</v>
          </cell>
        </row>
        <row r="2608">
          <cell r="A2608" t="str">
            <v>S109</v>
          </cell>
          <cell r="B2608" t="str">
            <v>SANT RAM VARMA</v>
          </cell>
        </row>
        <row r="2609">
          <cell r="A2609" t="str">
            <v>S110</v>
          </cell>
          <cell r="B2609" t="str">
            <v>SOM P SERVICES</v>
          </cell>
        </row>
        <row r="2610">
          <cell r="A2610" t="str">
            <v>S111</v>
          </cell>
          <cell r="B2610" t="str">
            <v>S. K. SARWAL (ADVOCATE)</v>
          </cell>
        </row>
        <row r="2611">
          <cell r="A2611" t="str">
            <v>S112</v>
          </cell>
          <cell r="B2611" t="str">
            <v>STANFORD ENGINEERING LTD.</v>
          </cell>
        </row>
        <row r="2612">
          <cell r="A2612" t="str">
            <v>S113</v>
          </cell>
          <cell r="B2612" t="str">
            <v>SINDWANI BROTHER</v>
          </cell>
        </row>
        <row r="2613">
          <cell r="A2613" t="str">
            <v>S114</v>
          </cell>
          <cell r="B2613" t="str">
            <v>SCAFF INDIA</v>
          </cell>
        </row>
        <row r="2614">
          <cell r="A2614" t="str">
            <v>S115</v>
          </cell>
          <cell r="B2614" t="str">
            <v>SANTOSH KUMAR YADAV</v>
          </cell>
        </row>
        <row r="2615">
          <cell r="A2615" t="str">
            <v>S116</v>
          </cell>
          <cell r="B2615" t="str">
            <v>SHIV KUMAR</v>
          </cell>
        </row>
        <row r="2616">
          <cell r="A2616" t="str">
            <v>S117</v>
          </cell>
          <cell r="B2616" t="str">
            <v>SURAJ VAN</v>
          </cell>
        </row>
        <row r="2617">
          <cell r="A2617" t="str">
            <v>S118</v>
          </cell>
          <cell r="B2617" t="str">
            <v>SETHI SPARES</v>
          </cell>
        </row>
        <row r="2618">
          <cell r="A2618" t="str">
            <v>S119</v>
          </cell>
          <cell r="B2618" t="str">
            <v>S S UPASANI</v>
          </cell>
        </row>
        <row r="2619">
          <cell r="A2619" t="str">
            <v>S120</v>
          </cell>
          <cell r="B2619" t="str">
            <v>SHIVANI ENTERPRISES</v>
          </cell>
        </row>
        <row r="2620">
          <cell r="A2620" t="str">
            <v>S121</v>
          </cell>
          <cell r="B2620" t="str">
            <v>SHIV RAJ SINGH</v>
          </cell>
        </row>
        <row r="2621">
          <cell r="A2621" t="str">
            <v>S122</v>
          </cell>
          <cell r="B2621" t="str">
            <v>SATYA WELDING STORE</v>
          </cell>
        </row>
        <row r="2622">
          <cell r="A2622" t="str">
            <v>S123</v>
          </cell>
          <cell r="B2622" t="str">
            <v>SUPER CONSTRUCTION CO.</v>
          </cell>
        </row>
        <row r="2623">
          <cell r="A2623" t="str">
            <v>S124</v>
          </cell>
          <cell r="B2623" t="str">
            <v>SURESH SHARMA</v>
          </cell>
        </row>
        <row r="2624">
          <cell r="A2624" t="str">
            <v>S125</v>
          </cell>
          <cell r="B2624" t="str">
            <v>SHARMA ELECTRICALS</v>
          </cell>
        </row>
        <row r="2625">
          <cell r="A2625" t="str">
            <v>S126</v>
          </cell>
          <cell r="B2625" t="str">
            <v>SPOT LIGHT IND. LTD.</v>
          </cell>
        </row>
        <row r="2626">
          <cell r="A2626" t="str">
            <v>S127</v>
          </cell>
          <cell r="B2626" t="str">
            <v>SADHU RAM</v>
          </cell>
        </row>
        <row r="2627">
          <cell r="A2627" t="str">
            <v>S128</v>
          </cell>
          <cell r="B2627" t="str">
            <v>SHARMA ASSOCIATES</v>
          </cell>
        </row>
        <row r="2628">
          <cell r="A2628" t="str">
            <v>S129</v>
          </cell>
          <cell r="B2628" t="str">
            <v>SHREE BALAJI CONSTRUCTION</v>
          </cell>
        </row>
        <row r="2629">
          <cell r="A2629" t="str">
            <v>S130</v>
          </cell>
          <cell r="B2629" t="str">
            <v>S N PARIDA</v>
          </cell>
        </row>
        <row r="2630">
          <cell r="A2630" t="str">
            <v>S131</v>
          </cell>
          <cell r="B2630" t="str">
            <v>S S MARBLES</v>
          </cell>
        </row>
        <row r="2631">
          <cell r="A2631" t="str">
            <v>S132</v>
          </cell>
          <cell r="B2631" t="str">
            <v>SHREE CONSTRUCTIONS</v>
          </cell>
        </row>
        <row r="2632">
          <cell r="A2632" t="str">
            <v>S133</v>
          </cell>
          <cell r="B2632" t="str">
            <v>SHYAM SINGH</v>
          </cell>
        </row>
        <row r="2633">
          <cell r="A2633" t="str">
            <v>S134</v>
          </cell>
          <cell r="B2633" t="str">
            <v>S M CONTRACTORS</v>
          </cell>
        </row>
        <row r="2634">
          <cell r="A2634" t="str">
            <v>S135</v>
          </cell>
          <cell r="B2634" t="str">
            <v>SAND PLAST (INDIA) LTD.</v>
          </cell>
        </row>
        <row r="2635">
          <cell r="A2635" t="str">
            <v>S136</v>
          </cell>
          <cell r="B2635" t="str">
            <v>S D CONSTRUCTIONS</v>
          </cell>
        </row>
        <row r="2636">
          <cell r="A2636" t="str">
            <v>S137</v>
          </cell>
          <cell r="B2636" t="str">
            <v>SATYA NARAIN</v>
          </cell>
        </row>
        <row r="2637">
          <cell r="A2637" t="str">
            <v>S138</v>
          </cell>
          <cell r="B2637" t="str">
            <v>SAINIK SHRAMIK</v>
          </cell>
        </row>
        <row r="2638">
          <cell r="A2638" t="str">
            <v>S139</v>
          </cell>
          <cell r="B2638" t="str">
            <v>SALAUDDIN</v>
          </cell>
        </row>
        <row r="2639">
          <cell r="A2639" t="str">
            <v>S140</v>
          </cell>
          <cell r="B2639" t="str">
            <v>S R COMPANY</v>
          </cell>
        </row>
        <row r="2640">
          <cell r="A2640" t="str">
            <v>S141</v>
          </cell>
          <cell r="B2640" t="str">
            <v>SAI BUILDERS</v>
          </cell>
        </row>
        <row r="2641">
          <cell r="A2641" t="str">
            <v>S142</v>
          </cell>
          <cell r="B2641" t="str">
            <v>SUKHDEV</v>
          </cell>
        </row>
        <row r="2642">
          <cell r="A2642" t="str">
            <v>S143</v>
          </cell>
          <cell r="B2642" t="str">
            <v>SUA LAL</v>
          </cell>
        </row>
        <row r="2643">
          <cell r="A2643" t="str">
            <v>S144</v>
          </cell>
          <cell r="B2643" t="str">
            <v>SAGGU ELECTRICALS</v>
          </cell>
        </row>
        <row r="2644">
          <cell r="A2644" t="str">
            <v>S145</v>
          </cell>
          <cell r="B2644" t="str">
            <v>S NAYAK</v>
          </cell>
        </row>
        <row r="2645">
          <cell r="A2645" t="str">
            <v>S146</v>
          </cell>
          <cell r="B2645" t="str">
            <v>SURESH KUMAR</v>
          </cell>
        </row>
        <row r="2646">
          <cell r="A2646" t="str">
            <v>S147</v>
          </cell>
          <cell r="B2646" t="str">
            <v>SATINDER SHARMA</v>
          </cell>
        </row>
        <row r="2647">
          <cell r="A2647" t="str">
            <v>S148</v>
          </cell>
          <cell r="B2647" t="str">
            <v>SHIV MUNI</v>
          </cell>
        </row>
        <row r="2648">
          <cell r="A2648" t="str">
            <v>S149</v>
          </cell>
          <cell r="B2648" t="str">
            <v>SRI RAM CENTRE FOR IND. REL. &amp; HUM. RESR</v>
          </cell>
        </row>
        <row r="2649">
          <cell r="A2649" t="str">
            <v>S150</v>
          </cell>
          <cell r="B2649" t="str">
            <v>SYNDICATE STONE CRUSHER</v>
          </cell>
        </row>
        <row r="2650">
          <cell r="A2650" t="str">
            <v>S151</v>
          </cell>
          <cell r="B2650" t="str">
            <v>SARITA A KALIA</v>
          </cell>
        </row>
        <row r="2651">
          <cell r="A2651" t="str">
            <v>S152</v>
          </cell>
          <cell r="B2651" t="str">
            <v>STEEL AUTHORITY OF INDIA LTD.</v>
          </cell>
        </row>
        <row r="2652">
          <cell r="A2652" t="str">
            <v>S153</v>
          </cell>
          <cell r="B2652" t="str">
            <v>S.B.S BUILDING MATERIAL CARRIER</v>
          </cell>
        </row>
        <row r="2653">
          <cell r="A2653" t="str">
            <v>S154</v>
          </cell>
          <cell r="B2653" t="str">
            <v>SHYAM COMMUNICATION SYSTEMS</v>
          </cell>
        </row>
        <row r="2654">
          <cell r="A2654" t="str">
            <v>S155</v>
          </cell>
          <cell r="B2654" t="str">
            <v>S KUMAR &amp; ASSOCIATES</v>
          </cell>
        </row>
        <row r="2655">
          <cell r="A2655" t="str">
            <v>S156</v>
          </cell>
          <cell r="B2655" t="str">
            <v>S A CONSTRUCTIONS</v>
          </cell>
        </row>
        <row r="2656">
          <cell r="A2656" t="str">
            <v>S157</v>
          </cell>
          <cell r="B2656" t="str">
            <v>S S ENTERPRISES</v>
          </cell>
        </row>
        <row r="2657">
          <cell r="A2657" t="str">
            <v>S158</v>
          </cell>
          <cell r="B2657" t="str">
            <v>SANITARY EMPORIUM</v>
          </cell>
        </row>
        <row r="2658">
          <cell r="A2658" t="str">
            <v>S159</v>
          </cell>
          <cell r="B2658" t="str">
            <v>SAVITA &amp; SEN ASSOCIATES</v>
          </cell>
        </row>
        <row r="2659">
          <cell r="A2659" t="str">
            <v>S160</v>
          </cell>
          <cell r="B2659" t="str">
            <v>SUKHVIR YADAV &amp; CO.</v>
          </cell>
        </row>
        <row r="2660">
          <cell r="A2660" t="str">
            <v>S161</v>
          </cell>
          <cell r="B2660" t="str">
            <v>SHREE NATH MARBLE &amp; GRANITES</v>
          </cell>
        </row>
        <row r="2661">
          <cell r="A2661" t="str">
            <v>S162</v>
          </cell>
          <cell r="B2661" t="str">
            <v>SAIBA ENTERPRISES</v>
          </cell>
        </row>
        <row r="2662">
          <cell r="A2662" t="str">
            <v>S163</v>
          </cell>
          <cell r="B2662" t="str">
            <v>S S BUILDERS</v>
          </cell>
        </row>
        <row r="2663">
          <cell r="A2663" t="str">
            <v>S164</v>
          </cell>
          <cell r="B2663" t="str">
            <v>SONA STEEL EQUIPMENT</v>
          </cell>
        </row>
        <row r="2664">
          <cell r="A2664" t="str">
            <v>S165</v>
          </cell>
          <cell r="B2664" t="str">
            <v>S R BUILDING MATERIAL</v>
          </cell>
        </row>
        <row r="2665">
          <cell r="A2665" t="str">
            <v>S166</v>
          </cell>
          <cell r="B2665" t="str">
            <v>SURAB FERRO COMCRETE (P) LTD.</v>
          </cell>
        </row>
        <row r="2666">
          <cell r="A2666" t="str">
            <v>S167</v>
          </cell>
          <cell r="B2666" t="str">
            <v>S PARDHAN</v>
          </cell>
        </row>
        <row r="2667">
          <cell r="A2667" t="str">
            <v>S168</v>
          </cell>
          <cell r="B2667" t="str">
            <v>SINGH BROTHERS</v>
          </cell>
        </row>
        <row r="2668">
          <cell r="A2668" t="str">
            <v>S169</v>
          </cell>
          <cell r="B2668" t="str">
            <v>SHREEDHAR</v>
          </cell>
        </row>
        <row r="2669">
          <cell r="A2669" t="str">
            <v>S170</v>
          </cell>
          <cell r="B2669" t="str">
            <v>SEN INTERIOR</v>
          </cell>
        </row>
        <row r="2670">
          <cell r="A2670" t="str">
            <v>S171</v>
          </cell>
          <cell r="B2670" t="str">
            <v>SUSHANT CONSTRUCTION</v>
          </cell>
        </row>
        <row r="2671">
          <cell r="A2671" t="str">
            <v>S172</v>
          </cell>
          <cell r="B2671" t="str">
            <v>SUNIL NAYYAR CONSULTANTS</v>
          </cell>
        </row>
        <row r="2672">
          <cell r="A2672" t="str">
            <v>S173</v>
          </cell>
          <cell r="B2672" t="str">
            <v>SURA &amp; COMPANY</v>
          </cell>
        </row>
        <row r="2673">
          <cell r="A2673" t="str">
            <v>S174</v>
          </cell>
          <cell r="B2673" t="str">
            <v>SHREE BHAGAT</v>
          </cell>
        </row>
        <row r="2674">
          <cell r="A2674" t="str">
            <v>S175</v>
          </cell>
          <cell r="B2674" t="str">
            <v>SHREE KRISHNA BUILDERS</v>
          </cell>
        </row>
        <row r="2675">
          <cell r="A2675" t="str">
            <v>S176</v>
          </cell>
          <cell r="B2675" t="str">
            <v>SAPI CONSTRUCTION</v>
          </cell>
        </row>
        <row r="2676">
          <cell r="A2676" t="str">
            <v>S177</v>
          </cell>
          <cell r="B2676" t="str">
            <v>SALEEM AHMED</v>
          </cell>
        </row>
        <row r="2677">
          <cell r="A2677" t="str">
            <v>S178</v>
          </cell>
          <cell r="B2677" t="str">
            <v>STANDARD BUSINESS MACHINES</v>
          </cell>
        </row>
        <row r="2678">
          <cell r="A2678" t="str">
            <v>S179</v>
          </cell>
          <cell r="B2678" t="str">
            <v>SARSWATI ELECTRICALS</v>
          </cell>
        </row>
        <row r="2679">
          <cell r="A2679" t="str">
            <v>S180</v>
          </cell>
          <cell r="B2679" t="str">
            <v>SHATRUGHAN DUBEY</v>
          </cell>
        </row>
        <row r="2680">
          <cell r="A2680" t="str">
            <v>S181</v>
          </cell>
          <cell r="B2680" t="str">
            <v>SHANNON &amp; SHANNON</v>
          </cell>
        </row>
        <row r="2681">
          <cell r="A2681" t="str">
            <v>S182</v>
          </cell>
          <cell r="B2681" t="str">
            <v>SHIVALIK CONSTRUCTIONS</v>
          </cell>
        </row>
        <row r="2682">
          <cell r="A2682" t="str">
            <v>S183</v>
          </cell>
          <cell r="B2682" t="str">
            <v>SWASTIK MARBLES</v>
          </cell>
        </row>
        <row r="2683">
          <cell r="A2683" t="str">
            <v>S184</v>
          </cell>
          <cell r="B2683" t="str">
            <v>SHIV MARBLES</v>
          </cell>
        </row>
        <row r="2684">
          <cell r="A2684" t="str">
            <v>S185</v>
          </cell>
          <cell r="B2684" t="str">
            <v>SHARIKA BUILDERS</v>
          </cell>
        </row>
        <row r="2685">
          <cell r="A2685" t="str">
            <v>S186</v>
          </cell>
          <cell r="B2685" t="str">
            <v>SONALI BUILDERS</v>
          </cell>
        </row>
        <row r="2686">
          <cell r="A2686" t="str">
            <v>S187</v>
          </cell>
          <cell r="B2686" t="str">
            <v>S P SINGH STEEL DECORATORS</v>
          </cell>
        </row>
        <row r="2687">
          <cell r="A2687" t="str">
            <v>S188</v>
          </cell>
          <cell r="B2687" t="str">
            <v>SENTINELS SECURITY SERVICES</v>
          </cell>
        </row>
        <row r="2688">
          <cell r="A2688" t="str">
            <v>S189</v>
          </cell>
          <cell r="B2688" t="str">
            <v>SHIVANAND NARAIN</v>
          </cell>
        </row>
        <row r="2689">
          <cell r="A2689" t="str">
            <v>S190</v>
          </cell>
          <cell r="B2689" t="str">
            <v>S M CORPORATION</v>
          </cell>
        </row>
        <row r="2690">
          <cell r="A2690" t="str">
            <v>S191</v>
          </cell>
          <cell r="B2690" t="str">
            <v>SHANKER NATH</v>
          </cell>
        </row>
        <row r="2691">
          <cell r="A2691" t="str">
            <v>S192</v>
          </cell>
          <cell r="B2691" t="str">
            <v>SWARAN KUMAR</v>
          </cell>
        </row>
        <row r="2692">
          <cell r="A2692" t="str">
            <v>S193</v>
          </cell>
          <cell r="B2692" t="str">
            <v>S S VERMA</v>
          </cell>
        </row>
        <row r="2693">
          <cell r="A2693" t="str">
            <v>S194</v>
          </cell>
          <cell r="B2693" t="str">
            <v>SIDHARTH ENGINEERS</v>
          </cell>
        </row>
        <row r="2694">
          <cell r="A2694" t="str">
            <v>S195</v>
          </cell>
          <cell r="B2694" t="str">
            <v>SOMVIR SINGH</v>
          </cell>
        </row>
        <row r="2695">
          <cell r="A2695" t="str">
            <v>S196</v>
          </cell>
          <cell r="B2695" t="str">
            <v>SURJIT CONSTRUCTION CO.</v>
          </cell>
        </row>
        <row r="2696">
          <cell r="A2696" t="str">
            <v>S197</v>
          </cell>
          <cell r="B2696" t="str">
            <v>SOUTH ASIAN FINANCIAL EXCHANGE LTD.</v>
          </cell>
        </row>
        <row r="2697">
          <cell r="A2697" t="str">
            <v>S198</v>
          </cell>
          <cell r="B2697" t="str">
            <v>SHINNING ENGG. WORKS</v>
          </cell>
        </row>
        <row r="2698">
          <cell r="A2698" t="str">
            <v>S199</v>
          </cell>
          <cell r="B2698" t="str">
            <v>S.F SCHOOL (G.K)</v>
          </cell>
        </row>
        <row r="2699">
          <cell r="A2699" t="str">
            <v>S200</v>
          </cell>
          <cell r="B2699" t="str">
            <v>SAURABH CONSTRUCTION CO.</v>
          </cell>
        </row>
        <row r="2700">
          <cell r="A2700" t="str">
            <v>S201</v>
          </cell>
          <cell r="B2700" t="str">
            <v>SHAMBHU AND RAM KRIPAL</v>
          </cell>
        </row>
        <row r="2701">
          <cell r="A2701" t="str">
            <v>S202</v>
          </cell>
          <cell r="B2701" t="str">
            <v>SHRI RAM</v>
          </cell>
        </row>
        <row r="2702">
          <cell r="A2702" t="str">
            <v>S203</v>
          </cell>
          <cell r="B2702" t="str">
            <v>SWAN MILL(INOP.)</v>
          </cell>
        </row>
        <row r="2703">
          <cell r="A2703" t="str">
            <v>S204</v>
          </cell>
          <cell r="B2703" t="str">
            <v>SOHAN SINGH(INOP.)</v>
          </cell>
        </row>
        <row r="2704">
          <cell r="A2704" t="str">
            <v>S205</v>
          </cell>
          <cell r="B2704" t="str">
            <v>SHANTI DEVI(INOP.)</v>
          </cell>
        </row>
        <row r="2705">
          <cell r="A2705" t="str">
            <v>S206</v>
          </cell>
          <cell r="B2705" t="str">
            <v>SARGAM ENGINEERS</v>
          </cell>
        </row>
        <row r="2706">
          <cell r="A2706" t="str">
            <v>S207</v>
          </cell>
          <cell r="B2706" t="str">
            <v>SHAKOORA CONSTRUCTIONS(INOP.)</v>
          </cell>
        </row>
        <row r="2707">
          <cell r="A2707" t="str">
            <v>S208</v>
          </cell>
          <cell r="B2707" t="str">
            <v>SERNIE TRERK OF KARAM E.ENGG.(INOP.)</v>
          </cell>
        </row>
        <row r="2708">
          <cell r="A2708" t="str">
            <v>S209</v>
          </cell>
          <cell r="B2708" t="str">
            <v>SUVATS SERVICES(INOP.)</v>
          </cell>
        </row>
        <row r="2709">
          <cell r="A2709" t="str">
            <v>S210</v>
          </cell>
          <cell r="B2709" t="str">
            <v>SUMER CHAND AGRAWAL &amp; CO.(INOP.)</v>
          </cell>
        </row>
        <row r="2710">
          <cell r="A2710" t="str">
            <v>S211</v>
          </cell>
          <cell r="B2710" t="str">
            <v>SHRI BADRINATH TIMBER MART</v>
          </cell>
        </row>
        <row r="2711">
          <cell r="A2711" t="str">
            <v>S212</v>
          </cell>
          <cell r="B2711" t="str">
            <v>SURSITA</v>
          </cell>
        </row>
        <row r="2712">
          <cell r="A2712" t="str">
            <v>S213</v>
          </cell>
          <cell r="B2712" t="str">
            <v>SUNDER BUILDERS(INOP.)</v>
          </cell>
        </row>
        <row r="2713">
          <cell r="A2713" t="str">
            <v>S214</v>
          </cell>
          <cell r="B2713" t="str">
            <v>SUDERAM FINANCE LTD</v>
          </cell>
        </row>
        <row r="2714">
          <cell r="A2714" t="str">
            <v>S215</v>
          </cell>
          <cell r="B2714" t="str">
            <v>SUMAN SHREE ENTERPRISES(INOP.)</v>
          </cell>
        </row>
        <row r="2715">
          <cell r="A2715" t="str">
            <v>S216</v>
          </cell>
          <cell r="B2715" t="str">
            <v>SPECO ENGG PVT LTD(INOP.)</v>
          </cell>
        </row>
        <row r="2716">
          <cell r="A2716" t="str">
            <v>S217</v>
          </cell>
          <cell r="B2716" t="str">
            <v>SUNIL KUMAR(INOP.)</v>
          </cell>
        </row>
        <row r="2717">
          <cell r="A2717" t="str">
            <v>S218</v>
          </cell>
          <cell r="B2717" t="str">
            <v>S.P.GUPTA</v>
          </cell>
        </row>
        <row r="2718">
          <cell r="A2718" t="str">
            <v>S219</v>
          </cell>
          <cell r="B2718" t="str">
            <v>SWEKA CONSTRUCTION &amp; ENGIINEER(INOP.)</v>
          </cell>
        </row>
        <row r="2719">
          <cell r="A2719" t="str">
            <v>S220</v>
          </cell>
          <cell r="B2719" t="str">
            <v>SEWAK STEEL WELDING WORKS</v>
          </cell>
        </row>
        <row r="2720">
          <cell r="A2720" t="str">
            <v>S221</v>
          </cell>
          <cell r="B2720" t="str">
            <v>SHYAM LAL BLDG MATR SUPPLIER(INOP.)</v>
          </cell>
        </row>
        <row r="2721">
          <cell r="A2721" t="str">
            <v>S222</v>
          </cell>
          <cell r="B2721" t="str">
            <v>SRF FINANCE LTD(INOP.)</v>
          </cell>
        </row>
        <row r="2722">
          <cell r="A2722" t="str">
            <v>S223</v>
          </cell>
          <cell r="B2722" t="str">
            <v>SHETLA CONSTRUCTION(INOP.)</v>
          </cell>
        </row>
        <row r="2723">
          <cell r="A2723" t="str">
            <v>S224</v>
          </cell>
          <cell r="B2723" t="str">
            <v>SANTOSH ELECTRICALS(INOP.)</v>
          </cell>
        </row>
        <row r="2724">
          <cell r="A2724" t="str">
            <v>S225</v>
          </cell>
          <cell r="B2724" t="str">
            <v>SUBODH(INOP.)</v>
          </cell>
        </row>
        <row r="2725">
          <cell r="A2725" t="str">
            <v>S226</v>
          </cell>
          <cell r="B2725" t="str">
            <v>SARAL EARTH MOVERS(INOP.)</v>
          </cell>
        </row>
        <row r="2726">
          <cell r="A2726" t="str">
            <v>S227</v>
          </cell>
          <cell r="B2726" t="str">
            <v>SHANTI BUILDERS(INOP.)</v>
          </cell>
        </row>
        <row r="2727">
          <cell r="A2727" t="str">
            <v>S228</v>
          </cell>
          <cell r="B2727" t="str">
            <v>SHIRKE STRUCTURALS PVT LTD</v>
          </cell>
        </row>
        <row r="2728">
          <cell r="A2728" t="str">
            <v>S229</v>
          </cell>
          <cell r="B2728" t="str">
            <v>S(INOP.)</v>
          </cell>
        </row>
        <row r="2729">
          <cell r="A2729" t="str">
            <v>S230</v>
          </cell>
          <cell r="B2729" t="str">
            <v>SHREE CONMIX ENGINEERS (P) LTD</v>
          </cell>
        </row>
        <row r="2730">
          <cell r="A2730" t="str">
            <v>S231</v>
          </cell>
          <cell r="B2730" t="str">
            <v>STERLING MOTOR CO.</v>
          </cell>
        </row>
        <row r="2731">
          <cell r="A2731" t="str">
            <v>S232</v>
          </cell>
          <cell r="B2731" t="str">
            <v>SPECTRAL SERVICES CONSULTANTS</v>
          </cell>
        </row>
        <row r="2732">
          <cell r="A2732" t="str">
            <v>S233</v>
          </cell>
          <cell r="B2732" t="str">
            <v>SBA SYSTEM</v>
          </cell>
        </row>
        <row r="2733">
          <cell r="A2733" t="str">
            <v>S234</v>
          </cell>
          <cell r="B2733" t="str">
            <v>STARLITE CHEMICALS (PVT.) LIMITED</v>
          </cell>
        </row>
        <row r="2734">
          <cell r="A2734" t="str">
            <v>S235</v>
          </cell>
          <cell r="B2734" t="str">
            <v>SETHI WELDING ENGG.</v>
          </cell>
        </row>
        <row r="2735">
          <cell r="A2735" t="str">
            <v>S236</v>
          </cell>
          <cell r="B2735" t="str">
            <v>SUPER DECORATORS</v>
          </cell>
        </row>
        <row r="2736">
          <cell r="A2736" t="str">
            <v>S237</v>
          </cell>
          <cell r="B2736" t="str">
            <v>SANJAY CARRIER</v>
          </cell>
        </row>
        <row r="2737">
          <cell r="A2737" t="str">
            <v>S238</v>
          </cell>
          <cell r="B2737" t="str">
            <v>SURYA MARBLES</v>
          </cell>
        </row>
        <row r="2738">
          <cell r="A2738" t="str">
            <v>S239</v>
          </cell>
          <cell r="B2738" t="str">
            <v>SCENARIO INDIA</v>
          </cell>
        </row>
        <row r="2739">
          <cell r="A2739" t="str">
            <v>S240</v>
          </cell>
          <cell r="B2739" t="str">
            <v>SHREE LAXMI  ELECTRIC COMPANY</v>
          </cell>
        </row>
        <row r="2740">
          <cell r="A2740" t="str">
            <v>S241</v>
          </cell>
          <cell r="B2740" t="str">
            <v>SANJIV ENGINEERING CO.</v>
          </cell>
        </row>
        <row r="2741">
          <cell r="A2741" t="str">
            <v>S242</v>
          </cell>
          <cell r="B2741" t="str">
            <v>SANGHI MOTORS</v>
          </cell>
        </row>
        <row r="2742">
          <cell r="A2742" t="str">
            <v>S243</v>
          </cell>
          <cell r="B2742" t="str">
            <v>SUMIT ENTERPRISES</v>
          </cell>
        </row>
        <row r="2743">
          <cell r="A2743" t="str">
            <v>S244</v>
          </cell>
          <cell r="B2743" t="str">
            <v>SHENARILA FURNITURES</v>
          </cell>
        </row>
        <row r="2744">
          <cell r="A2744" t="str">
            <v>S245</v>
          </cell>
          <cell r="B2744" t="str">
            <v>SAFFAIRE STONES PVT LTD.</v>
          </cell>
        </row>
        <row r="2745">
          <cell r="A2745" t="str">
            <v>S246</v>
          </cell>
          <cell r="B2745" t="str">
            <v>SANTOSH SERVICE SATATION</v>
          </cell>
        </row>
        <row r="2746">
          <cell r="A2746" t="str">
            <v>S247</v>
          </cell>
          <cell r="B2746" t="str">
            <v>SHREE VISHWAKARMA MOTORBODY  BUILDERS</v>
          </cell>
        </row>
        <row r="2747">
          <cell r="A2747" t="str">
            <v>S248</v>
          </cell>
          <cell r="B2747" t="str">
            <v>SPATILAL INFOTEC</v>
          </cell>
        </row>
        <row r="2748">
          <cell r="A2748" t="str">
            <v>S249</v>
          </cell>
          <cell r="B2748" t="str">
            <v>STANFORD ENGINEERING LIMITED</v>
          </cell>
        </row>
        <row r="2749">
          <cell r="A2749" t="str">
            <v>S250</v>
          </cell>
          <cell r="B2749" t="str">
            <v>SHAKTI AUTOMOTIVES</v>
          </cell>
        </row>
        <row r="2750">
          <cell r="A2750" t="str">
            <v>S251</v>
          </cell>
          <cell r="B2750" t="str">
            <v>SHAILENDRA KUMAR SINGH</v>
          </cell>
        </row>
        <row r="2751">
          <cell r="A2751" t="str">
            <v>S252</v>
          </cell>
          <cell r="B2751" t="str">
            <v>SANT LAL BAL KISHAN</v>
          </cell>
        </row>
        <row r="2752">
          <cell r="A2752" t="str">
            <v>S253</v>
          </cell>
          <cell r="B2752" t="str">
            <v>SHREE SHYAM ELECTRICALS</v>
          </cell>
        </row>
        <row r="2753">
          <cell r="A2753" t="str">
            <v>S254</v>
          </cell>
          <cell r="B2753" t="str">
            <v>SOM LEYLAND STORES</v>
          </cell>
        </row>
        <row r="2754">
          <cell r="A2754" t="str">
            <v>S255</v>
          </cell>
          <cell r="B2754" t="str">
            <v>SUSHIL STONE CRUSHING CO.</v>
          </cell>
        </row>
        <row r="2755">
          <cell r="A2755" t="str">
            <v>S256</v>
          </cell>
          <cell r="B2755" t="str">
            <v>SOUTH INDIA MACHINERY STORES</v>
          </cell>
        </row>
        <row r="2756">
          <cell r="A2756" t="str">
            <v>S257</v>
          </cell>
          <cell r="B2756" t="str">
            <v>SHIVANI TRADERS</v>
          </cell>
        </row>
        <row r="2757">
          <cell r="A2757" t="str">
            <v>S258</v>
          </cell>
          <cell r="B2757" t="str">
            <v>SUDHESH BUILDING MATERIAL CARRIER</v>
          </cell>
        </row>
        <row r="2758">
          <cell r="A2758" t="str">
            <v>S259</v>
          </cell>
          <cell r="B2758" t="str">
            <v>SHIVOM TRADERS</v>
          </cell>
        </row>
        <row r="2759">
          <cell r="A2759" t="str">
            <v>S260</v>
          </cell>
          <cell r="B2759" t="str">
            <v>SHIV ENTERPRISES(SCRAP WALA)</v>
          </cell>
        </row>
        <row r="2760">
          <cell r="A2760" t="str">
            <v>S261</v>
          </cell>
          <cell r="B2760" t="str">
            <v>SUGAM PARVAHAN PVT. LTD.</v>
          </cell>
        </row>
        <row r="2761">
          <cell r="A2761" t="str">
            <v>S262</v>
          </cell>
          <cell r="B2761" t="str">
            <v>SUSHIL KUMAR</v>
          </cell>
        </row>
        <row r="2762">
          <cell r="A2762" t="str">
            <v>S263</v>
          </cell>
          <cell r="B2762" t="str">
            <v>STEELAGE INDUSTRIES</v>
          </cell>
        </row>
        <row r="2763">
          <cell r="A2763" t="str">
            <v>S264</v>
          </cell>
          <cell r="B2763" t="str">
            <v>STEELAGE INDUSTRIES LTD(MINIMAX DIV.)</v>
          </cell>
        </row>
        <row r="2764">
          <cell r="A2764" t="str">
            <v>S265</v>
          </cell>
          <cell r="B2764" t="str">
            <v>SUMAN SINGH</v>
          </cell>
        </row>
        <row r="2765">
          <cell r="A2765" t="str">
            <v>S266</v>
          </cell>
          <cell r="B2765" t="str">
            <v>SHARMA KAUSHAL &amp; ASSOCIATES</v>
          </cell>
        </row>
        <row r="2766">
          <cell r="A2766" t="str">
            <v>S267</v>
          </cell>
          <cell r="B2766" t="str">
            <v>SAFIQUE</v>
          </cell>
        </row>
        <row r="2767">
          <cell r="A2767" t="str">
            <v>S268</v>
          </cell>
          <cell r="B2767" t="str">
            <v>SHABBIR ALAM</v>
          </cell>
        </row>
        <row r="2768">
          <cell r="A2768" t="str">
            <v>S269</v>
          </cell>
          <cell r="B2768" t="str">
            <v>SUBASH</v>
          </cell>
        </row>
        <row r="2769">
          <cell r="A2769" t="str">
            <v>S270</v>
          </cell>
          <cell r="B2769" t="str">
            <v>SUMESH KUMAR</v>
          </cell>
        </row>
        <row r="2770">
          <cell r="A2770" t="str">
            <v>S271</v>
          </cell>
          <cell r="B2770" t="str">
            <v>SHIV MODERN DECOR</v>
          </cell>
        </row>
        <row r="2771">
          <cell r="A2771" t="str">
            <v>S272</v>
          </cell>
          <cell r="B2771" t="str">
            <v>SHOBHA CONTRACTS</v>
          </cell>
        </row>
        <row r="2772">
          <cell r="A2772" t="str">
            <v>S273</v>
          </cell>
          <cell r="B2772" t="str">
            <v>SPPEDWAY TAXI SERVICE</v>
          </cell>
        </row>
        <row r="2773">
          <cell r="A2773" t="str">
            <v>S274</v>
          </cell>
          <cell r="B2773" t="str">
            <v>SHEKHRI BROS.</v>
          </cell>
        </row>
        <row r="2774">
          <cell r="A2774" t="str">
            <v>S275</v>
          </cell>
          <cell r="B2774" t="str">
            <v>STANDARD ELECTRICALS(INDIA)</v>
          </cell>
        </row>
        <row r="2775">
          <cell r="A2775" t="str">
            <v>S276</v>
          </cell>
          <cell r="B2775" t="str">
            <v>SOOD ELECTROTECH</v>
          </cell>
        </row>
        <row r="2776">
          <cell r="A2776" t="str">
            <v>S277</v>
          </cell>
          <cell r="B2776" t="str">
            <v>STANDARD VISHVAS MARBLE INDUSTRIES(P)LTD</v>
          </cell>
        </row>
        <row r="2777">
          <cell r="A2777" t="str">
            <v>S278</v>
          </cell>
          <cell r="B2777" t="str">
            <v>SURAJ AUTO(DIESEL SUPPLIER)</v>
          </cell>
        </row>
        <row r="2778">
          <cell r="A2778" t="str">
            <v>S279</v>
          </cell>
          <cell r="B2778" t="str">
            <v>SINGH BUILDERS</v>
          </cell>
        </row>
        <row r="2779">
          <cell r="A2779" t="str">
            <v>S280</v>
          </cell>
          <cell r="B2779" t="str">
            <v>SINGH MODELLERS</v>
          </cell>
        </row>
        <row r="2780">
          <cell r="A2780" t="str">
            <v>S281</v>
          </cell>
          <cell r="B2780" t="str">
            <v>SHYAM SINGH</v>
          </cell>
        </row>
        <row r="2781">
          <cell r="A2781" t="str">
            <v>S282</v>
          </cell>
          <cell r="B2781" t="str">
            <v>SATJAY ENGINEERING INDUSTRIES</v>
          </cell>
        </row>
        <row r="2782">
          <cell r="A2782" t="str">
            <v>S283</v>
          </cell>
          <cell r="B2782" t="str">
            <v>SPAN INDIA SCAFFOLDINGS</v>
          </cell>
        </row>
        <row r="2783">
          <cell r="A2783" t="str">
            <v>S284</v>
          </cell>
          <cell r="B2783" t="str">
            <v>SVEDALA INDUSTRI INDIA PVT LTD</v>
          </cell>
        </row>
        <row r="2784">
          <cell r="A2784" t="str">
            <v>S285</v>
          </cell>
          <cell r="B2784" t="str">
            <v>M/S SEHDEO RAM &amp; ASSOCIATES</v>
          </cell>
        </row>
        <row r="2785">
          <cell r="A2785" t="str">
            <v>S286</v>
          </cell>
          <cell r="B2785" t="str">
            <v>SHARMILA CHOUDHURY</v>
          </cell>
        </row>
        <row r="2786">
          <cell r="A2786" t="str">
            <v>S287</v>
          </cell>
          <cell r="B2786" t="str">
            <v>S K ENTERPRISES (CONTRACTOR)</v>
          </cell>
        </row>
        <row r="2787">
          <cell r="A2787" t="str">
            <v>S288</v>
          </cell>
          <cell r="B2787" t="str">
            <v>SAMYAK ENTERPRISES</v>
          </cell>
        </row>
        <row r="2788">
          <cell r="A2788" t="str">
            <v>S289</v>
          </cell>
          <cell r="B2788" t="str">
            <v>SUPER TECH INDUSTRIES</v>
          </cell>
        </row>
        <row r="2789">
          <cell r="A2789" t="str">
            <v>S290</v>
          </cell>
          <cell r="B2789" t="str">
            <v>SETIA ELECTRICALS</v>
          </cell>
        </row>
        <row r="2790">
          <cell r="A2790" t="str">
            <v>S291</v>
          </cell>
          <cell r="B2790" t="str">
            <v>STAR CONSTRUCTION</v>
          </cell>
        </row>
        <row r="2791">
          <cell r="A2791" t="str">
            <v>S292</v>
          </cell>
          <cell r="B2791" t="str">
            <v>SEAR CARGO SERVICES</v>
          </cell>
        </row>
        <row r="2792">
          <cell r="A2792" t="str">
            <v>S293</v>
          </cell>
          <cell r="B2792" t="str">
            <v>SANCHTTI ENTERPRISES PVT. LTD.</v>
          </cell>
        </row>
        <row r="2793">
          <cell r="A2793" t="str">
            <v>S294</v>
          </cell>
          <cell r="B2793" t="str">
            <v>S.B. ENTERPRISES</v>
          </cell>
        </row>
        <row r="2794">
          <cell r="A2794" t="str">
            <v>S295</v>
          </cell>
          <cell r="B2794" t="str">
            <v>SHREE GANESH PLY PALACE</v>
          </cell>
        </row>
        <row r="2795">
          <cell r="A2795" t="str">
            <v>S296</v>
          </cell>
          <cell r="B2795" t="str">
            <v>SUSHIL PRASAD PURI</v>
          </cell>
        </row>
        <row r="2796">
          <cell r="A2796" t="str">
            <v>S297</v>
          </cell>
          <cell r="B2796" t="str">
            <v>M/S SHIV NATH ELECTRIC CO.</v>
          </cell>
        </row>
        <row r="2797">
          <cell r="A2797" t="str">
            <v>S298</v>
          </cell>
          <cell r="B2797" t="str">
            <v>STUP CONSULTANTS LIMITED</v>
          </cell>
        </row>
        <row r="2798">
          <cell r="A2798" t="str">
            <v>S299</v>
          </cell>
          <cell r="B2798" t="str">
            <v>SEJWAL CONSTRUCTION</v>
          </cell>
        </row>
        <row r="2799">
          <cell r="A2799" t="str">
            <v>S300</v>
          </cell>
          <cell r="B2799" t="str">
            <v>JAGDAMBA ELECTRIC CO.</v>
          </cell>
        </row>
        <row r="2800">
          <cell r="A2800" t="str">
            <v>S301</v>
          </cell>
          <cell r="B2800" t="str">
            <v>SINGHALA FREIGHT CARRIER</v>
          </cell>
        </row>
        <row r="2801">
          <cell r="A2801" t="str">
            <v>S302</v>
          </cell>
          <cell r="B2801" t="str">
            <v>SARASWATI SPEEDWAYS</v>
          </cell>
        </row>
        <row r="2802">
          <cell r="A2802" t="str">
            <v>S303</v>
          </cell>
          <cell r="B2802" t="str">
            <v>SIDDARTH ENGINEERS (ENGINEERS&amp;FABRICATOR</v>
          </cell>
        </row>
        <row r="2803">
          <cell r="A2803" t="str">
            <v>S304</v>
          </cell>
          <cell r="B2803" t="str">
            <v>SHANKER AUTOMOBILES</v>
          </cell>
        </row>
        <row r="2804">
          <cell r="A2804" t="str">
            <v>S305</v>
          </cell>
          <cell r="B2804" t="str">
            <v>SANJAY BUILDER</v>
          </cell>
        </row>
        <row r="2805">
          <cell r="A2805" t="str">
            <v>S306</v>
          </cell>
          <cell r="B2805" t="str">
            <v>SUNNY DIESEL ENGINEERS INDIA</v>
          </cell>
        </row>
        <row r="2806">
          <cell r="A2806" t="str">
            <v>S307</v>
          </cell>
          <cell r="B2806" t="str">
            <v>STANDARD TUBE CO.</v>
          </cell>
        </row>
        <row r="2807">
          <cell r="A2807" t="str">
            <v>S308</v>
          </cell>
          <cell r="B2807" t="str">
            <v>SINECOS PROFILES PVT LTD.</v>
          </cell>
        </row>
        <row r="2808">
          <cell r="A2808" t="str">
            <v>S309</v>
          </cell>
          <cell r="B2808" t="str">
            <v>SUPER ELECRTICALS</v>
          </cell>
        </row>
        <row r="2809">
          <cell r="A2809" t="str">
            <v>S310</v>
          </cell>
          <cell r="B2809" t="str">
            <v>SHARIKA BUILDING MATERIAL CARRIER</v>
          </cell>
        </row>
        <row r="2810">
          <cell r="A2810" t="str">
            <v>S311</v>
          </cell>
          <cell r="B2810" t="str">
            <v>SEWA SINGH</v>
          </cell>
        </row>
        <row r="2811">
          <cell r="A2811" t="str">
            <v>S312</v>
          </cell>
          <cell r="B2811" t="str">
            <v>SIKA QUALCRETE PVT. LTD.</v>
          </cell>
        </row>
        <row r="2812">
          <cell r="A2812" t="str">
            <v>S313</v>
          </cell>
          <cell r="B2812" t="str">
            <v>STANDARD SHEET METAL WORK</v>
          </cell>
        </row>
        <row r="2813">
          <cell r="A2813" t="str">
            <v>S314</v>
          </cell>
          <cell r="B2813" t="str">
            <v>SHIV TRADERS (SCRAPWALA)</v>
          </cell>
        </row>
        <row r="2814">
          <cell r="A2814" t="str">
            <v>S315</v>
          </cell>
          <cell r="B2814" t="str">
            <v>SETH INSTRUMENTATION</v>
          </cell>
        </row>
        <row r="2815">
          <cell r="A2815" t="str">
            <v>S316</v>
          </cell>
          <cell r="B2815" t="str">
            <v>SHALIMAR FURNISHERS</v>
          </cell>
        </row>
        <row r="2816">
          <cell r="A2816" t="str">
            <v>S317</v>
          </cell>
          <cell r="B2816" t="str">
            <v>SAFFAIRE SALES</v>
          </cell>
        </row>
        <row r="2817">
          <cell r="A2817" t="str">
            <v>S318</v>
          </cell>
          <cell r="B2817" t="str">
            <v>SIMPLE ENTERPRISES</v>
          </cell>
        </row>
        <row r="2818">
          <cell r="A2818" t="str">
            <v>S319</v>
          </cell>
          <cell r="B2818" t="str">
            <v>SHAKTI INDUSTRIAL CORPORTION</v>
          </cell>
        </row>
        <row r="2819">
          <cell r="A2819" t="str">
            <v>S320</v>
          </cell>
          <cell r="B2819" t="str">
            <v>STERLING CELLULAR LTD.</v>
          </cell>
        </row>
        <row r="2820">
          <cell r="A2820" t="str">
            <v>S321</v>
          </cell>
          <cell r="B2820" t="str">
            <v>SERVON INDIA</v>
          </cell>
        </row>
        <row r="2821">
          <cell r="A2821" t="str">
            <v>S322</v>
          </cell>
          <cell r="B2821" t="str">
            <v>SAFAR INDIA TOUR &amp; TRAVEL</v>
          </cell>
        </row>
        <row r="2822">
          <cell r="A2822" t="str">
            <v>S323</v>
          </cell>
          <cell r="B2822" t="str">
            <v>S S TRADING CORPORATION</v>
          </cell>
        </row>
        <row r="2823">
          <cell r="A2823" t="str">
            <v>S324</v>
          </cell>
          <cell r="B2823" t="str">
            <v>SUPER TRADERS</v>
          </cell>
        </row>
        <row r="2824">
          <cell r="A2824" t="str">
            <v>S325</v>
          </cell>
          <cell r="B2824" t="str">
            <v>SHIRKE CONSTRUCTION EQUIPMENT LTD.</v>
          </cell>
        </row>
        <row r="2825">
          <cell r="A2825" t="str">
            <v>S326</v>
          </cell>
          <cell r="B2825" t="str">
            <v>S K ENTERPRISES</v>
          </cell>
        </row>
        <row r="2826">
          <cell r="A2826" t="str">
            <v>S327</v>
          </cell>
          <cell r="B2826" t="str">
            <v>SHILENDRA HR. SINGH</v>
          </cell>
        </row>
        <row r="2827">
          <cell r="A2827" t="str">
            <v>S328</v>
          </cell>
          <cell r="B2827" t="str">
            <v>SUNNY TRAVELS</v>
          </cell>
        </row>
        <row r="2828">
          <cell r="A2828" t="str">
            <v>S329</v>
          </cell>
          <cell r="B2828" t="str">
            <v>SAFEX FIRE SERVICES</v>
          </cell>
        </row>
        <row r="2829">
          <cell r="A2829" t="str">
            <v>S330</v>
          </cell>
          <cell r="B2829" t="str">
            <v>SURESHCHAND RAMESH</v>
          </cell>
        </row>
        <row r="2830">
          <cell r="A2830" t="str">
            <v>S331</v>
          </cell>
          <cell r="B2830" t="str">
            <v>SHIVAM SAFETY INDUSTRIES</v>
          </cell>
        </row>
        <row r="2831">
          <cell r="A2831" t="str">
            <v>S332</v>
          </cell>
          <cell r="B2831" t="str">
            <v>SURI &amp; ASSOCIATES</v>
          </cell>
        </row>
        <row r="2832">
          <cell r="A2832" t="str">
            <v>S333</v>
          </cell>
          <cell r="B2832" t="str">
            <v>SURESH CONTRACTOR</v>
          </cell>
        </row>
        <row r="2833">
          <cell r="A2833" t="str">
            <v>S334</v>
          </cell>
          <cell r="B2833" t="str">
            <v>SAMRAT SAFE COMPANY</v>
          </cell>
        </row>
        <row r="2834">
          <cell r="A2834" t="str">
            <v>S335</v>
          </cell>
          <cell r="B2834" t="str">
            <v>S C GUPTA</v>
          </cell>
        </row>
        <row r="2835">
          <cell r="A2835" t="str">
            <v>S336</v>
          </cell>
          <cell r="B2835" t="str">
            <v>S K PRADHAN</v>
          </cell>
        </row>
        <row r="2836">
          <cell r="A2836" t="str">
            <v>S337</v>
          </cell>
          <cell r="B2836" t="str">
            <v>S&amp;S ELECTRICALS</v>
          </cell>
        </row>
        <row r="2837">
          <cell r="A2837" t="str">
            <v>S338</v>
          </cell>
          <cell r="B2837" t="str">
            <v>SURESH EARTH MOVERS</v>
          </cell>
        </row>
        <row r="2838">
          <cell r="A2838" t="str">
            <v>S339</v>
          </cell>
          <cell r="B2838" t="str">
            <v>SHREE R.K.G. TRADERS</v>
          </cell>
        </row>
        <row r="2839">
          <cell r="A2839" t="str">
            <v>S340</v>
          </cell>
          <cell r="B2839" t="str">
            <v>SETHI BUILDERS &amp; ENGINEERING WOKS</v>
          </cell>
        </row>
        <row r="2840">
          <cell r="A2840" t="str">
            <v>S341</v>
          </cell>
          <cell r="B2840" t="str">
            <v>SHIV BUILDER</v>
          </cell>
        </row>
        <row r="2841">
          <cell r="A2841" t="str">
            <v>S342</v>
          </cell>
          <cell r="B2841" t="str">
            <v>SUMIT MACHINERY TRADERS</v>
          </cell>
        </row>
        <row r="2842">
          <cell r="A2842" t="str">
            <v>S343</v>
          </cell>
          <cell r="B2842" t="str">
            <v>SATYAM ENGINEERING WORKS</v>
          </cell>
        </row>
        <row r="2843">
          <cell r="A2843" t="str">
            <v>S344</v>
          </cell>
          <cell r="B2843" t="str">
            <v>SHANKAR ASSOCIATES</v>
          </cell>
        </row>
        <row r="2844">
          <cell r="A2844" t="str">
            <v>S345</v>
          </cell>
          <cell r="B2844" t="str">
            <v>SOMANI TILES</v>
          </cell>
        </row>
        <row r="2845">
          <cell r="A2845" t="str">
            <v>S346</v>
          </cell>
          <cell r="B2845" t="str">
            <v>SHREE SRI ENTERPRISES</v>
          </cell>
        </row>
        <row r="2846">
          <cell r="A2846" t="str">
            <v>S347</v>
          </cell>
          <cell r="B2846" t="str">
            <v>SUNITA TRAVELS</v>
          </cell>
        </row>
        <row r="2847">
          <cell r="A2847" t="str">
            <v>S348</v>
          </cell>
          <cell r="B2847" t="str">
            <v>SANDEEP TRAVEL &amp; CO.</v>
          </cell>
        </row>
        <row r="2848">
          <cell r="A2848" t="str">
            <v>S349</v>
          </cell>
          <cell r="B2848" t="str">
            <v>SUBHASH NAGAR</v>
          </cell>
        </row>
        <row r="2849">
          <cell r="A2849" t="str">
            <v>S350</v>
          </cell>
          <cell r="B2849" t="str">
            <v>SUMERAN ENGINEERS</v>
          </cell>
        </row>
        <row r="2850">
          <cell r="A2850" t="str">
            <v>S351</v>
          </cell>
          <cell r="B2850" t="str">
            <v>STANDARD STAMP WORKS</v>
          </cell>
        </row>
        <row r="2851">
          <cell r="A2851" t="str">
            <v>S352</v>
          </cell>
          <cell r="B2851" t="str">
            <v>SHAKUN CO. (SERVICES) P LTD.</v>
          </cell>
        </row>
        <row r="2852">
          <cell r="A2852" t="str">
            <v>S353</v>
          </cell>
          <cell r="B2852" t="str">
            <v>S K ENTERPRISES</v>
          </cell>
        </row>
        <row r="2853">
          <cell r="A2853" t="str">
            <v>S354</v>
          </cell>
          <cell r="B2853" t="str">
            <v>SONIA TOURIST SERVICE</v>
          </cell>
        </row>
        <row r="2854">
          <cell r="A2854" t="str">
            <v>S355</v>
          </cell>
          <cell r="B2854" t="str">
            <v>STAR ENGINEERING WORKS</v>
          </cell>
        </row>
        <row r="2855">
          <cell r="A2855" t="str">
            <v>S356</v>
          </cell>
          <cell r="B2855" t="str">
            <v>S D ENGINEERING CONSULTANTS</v>
          </cell>
        </row>
        <row r="2856">
          <cell r="A2856" t="str">
            <v>S357</v>
          </cell>
          <cell r="B2856" t="str">
            <v>SWASTIK BUILDING MATERIAL CARRIER</v>
          </cell>
        </row>
        <row r="2857">
          <cell r="A2857" t="str">
            <v>S358</v>
          </cell>
          <cell r="B2857" t="str">
            <v>SURRINDER MOHAN &amp; SONS</v>
          </cell>
        </row>
        <row r="2858">
          <cell r="A2858" t="str">
            <v>S359</v>
          </cell>
          <cell r="B2858" t="str">
            <v>SANT RAJ</v>
          </cell>
        </row>
        <row r="2859">
          <cell r="A2859" t="str">
            <v>S360</v>
          </cell>
          <cell r="B2859" t="str">
            <v>S CHATTERJEE</v>
          </cell>
        </row>
        <row r="2860">
          <cell r="A2860" t="str">
            <v>S361</v>
          </cell>
          <cell r="B2860" t="str">
            <v>SEHRAWAT POLISHING &amp; MARBLE FIXING WORKS</v>
          </cell>
        </row>
        <row r="2861">
          <cell r="A2861" t="str">
            <v>S362</v>
          </cell>
          <cell r="B2861" t="str">
            <v>SHIV CHARAN</v>
          </cell>
        </row>
        <row r="2862">
          <cell r="A2862" t="str">
            <v>S363</v>
          </cell>
          <cell r="B2862" t="str">
            <v>SECURITY AND INTELLIGENCE SERVICE (I) LT</v>
          </cell>
        </row>
        <row r="2863">
          <cell r="A2863" t="str">
            <v>S364</v>
          </cell>
          <cell r="B2863" t="str">
            <v>STONE WORLD</v>
          </cell>
        </row>
        <row r="2864">
          <cell r="A2864" t="str">
            <v>S365</v>
          </cell>
          <cell r="B2864" t="str">
            <v>SUPER ENGINEERING WORKS</v>
          </cell>
        </row>
        <row r="2865">
          <cell r="A2865" t="str">
            <v>S366</v>
          </cell>
          <cell r="B2865" t="str">
            <v>SURESH KUMAR</v>
          </cell>
        </row>
        <row r="2866">
          <cell r="A2866" t="str">
            <v>S367</v>
          </cell>
          <cell r="B2866" t="str">
            <v>SARURA FOODS PVT. LTD.</v>
          </cell>
        </row>
        <row r="2867">
          <cell r="A2867" t="str">
            <v>S368</v>
          </cell>
          <cell r="B2867" t="str">
            <v>SHILPKAR</v>
          </cell>
        </row>
        <row r="2868">
          <cell r="A2868" t="str">
            <v>S369</v>
          </cell>
          <cell r="B2868" t="str">
            <v>SUCHITRA MANDAL</v>
          </cell>
        </row>
        <row r="2869">
          <cell r="A2869" t="str">
            <v>S370</v>
          </cell>
          <cell r="B2869" t="str">
            <v>SUNDER SINGH DECORATOR</v>
          </cell>
        </row>
        <row r="2870">
          <cell r="A2870" t="str">
            <v>S371</v>
          </cell>
          <cell r="B2870" t="str">
            <v>S K BOSE</v>
          </cell>
        </row>
        <row r="2871">
          <cell r="A2871" t="str">
            <v>S372</v>
          </cell>
          <cell r="B2871" t="str">
            <v>STP LIMITED</v>
          </cell>
        </row>
        <row r="2872">
          <cell r="A2872" t="str">
            <v>S373</v>
          </cell>
          <cell r="B2872" t="str">
            <v>SHREE RAM STEEL SYNDICATE</v>
          </cell>
        </row>
        <row r="2873">
          <cell r="A2873" t="str">
            <v>S374</v>
          </cell>
          <cell r="B2873" t="str">
            <v>SKY TONE SALES (P) LTD.</v>
          </cell>
        </row>
        <row r="2874">
          <cell r="A2874" t="str">
            <v>S375</v>
          </cell>
          <cell r="B2874" t="str">
            <v>SUBASH (TAXI)</v>
          </cell>
        </row>
        <row r="2875">
          <cell r="A2875" t="str">
            <v>S376</v>
          </cell>
          <cell r="B2875" t="str">
            <v>S S TOOLS (INDIA) PVT. LTD.</v>
          </cell>
        </row>
        <row r="2876">
          <cell r="A2876" t="str">
            <v>S377</v>
          </cell>
          <cell r="B2876" t="str">
            <v>SOUTHERN TURF NURSERIES</v>
          </cell>
        </row>
        <row r="2877">
          <cell r="A2877" t="str">
            <v>S378</v>
          </cell>
          <cell r="B2877" t="str">
            <v>SIEMENS LTD.</v>
          </cell>
        </row>
        <row r="2878">
          <cell r="A2878" t="str">
            <v>S379</v>
          </cell>
          <cell r="B2878" t="str">
            <v>SANA BUILDERS</v>
          </cell>
        </row>
        <row r="2879">
          <cell r="A2879" t="str">
            <v>S380</v>
          </cell>
          <cell r="B2879" t="str">
            <v>SUBASH BASS BALLY STORE</v>
          </cell>
        </row>
        <row r="2880">
          <cell r="A2880" t="str">
            <v>S381</v>
          </cell>
          <cell r="B2880" t="str">
            <v>SWAPAN CATERS</v>
          </cell>
        </row>
        <row r="2881">
          <cell r="A2881" t="str">
            <v>S382</v>
          </cell>
          <cell r="B2881" t="str">
            <v>SANJAY &amp; PARTY</v>
          </cell>
        </row>
        <row r="2882">
          <cell r="A2882" t="str">
            <v>S383</v>
          </cell>
          <cell r="B2882" t="str">
            <v>SUNIL KUMAR (S/O SH. VISHWA SRUP)</v>
          </cell>
        </row>
        <row r="2883">
          <cell r="A2883" t="str">
            <v>S384</v>
          </cell>
          <cell r="B2883" t="str">
            <v>SHRI AMAR STEEL PRODUCT</v>
          </cell>
        </row>
        <row r="2884">
          <cell r="A2884" t="str">
            <v>S385</v>
          </cell>
          <cell r="B2884" t="str">
            <v>SAHNI BENZ PVT. LTD.</v>
          </cell>
        </row>
        <row r="2885">
          <cell r="A2885" t="str">
            <v>S386</v>
          </cell>
          <cell r="B2885" t="str">
            <v>SPRINT RPG INDIA LTD.</v>
          </cell>
        </row>
        <row r="2886">
          <cell r="A2886" t="str">
            <v>S387</v>
          </cell>
          <cell r="B2886" t="str">
            <v>SAI TRADERS</v>
          </cell>
        </row>
        <row r="2887">
          <cell r="A2887" t="str">
            <v>S388</v>
          </cell>
          <cell r="B2887" t="str">
            <v>SANSUN ELECTRONICS</v>
          </cell>
        </row>
        <row r="2888">
          <cell r="A2888" t="str">
            <v>S389</v>
          </cell>
          <cell r="B2888" t="str">
            <v>SAFAR TRAVELS</v>
          </cell>
        </row>
        <row r="2889">
          <cell r="A2889" t="str">
            <v>S390</v>
          </cell>
          <cell r="B2889" t="str">
            <v>SETHI BROTHERS</v>
          </cell>
        </row>
        <row r="2890">
          <cell r="A2890" t="str">
            <v>S391</v>
          </cell>
          <cell r="B2890" t="str">
            <v>SAVIRAM</v>
          </cell>
        </row>
        <row r="2891">
          <cell r="A2891" t="str">
            <v>S392</v>
          </cell>
          <cell r="B2891" t="str">
            <v>SIYARAM BROTHERS</v>
          </cell>
        </row>
        <row r="2892">
          <cell r="A2892" t="str">
            <v>S393</v>
          </cell>
          <cell r="B2892" t="str">
            <v>SHIVA BUILDING MATERIAL CARRIER</v>
          </cell>
        </row>
        <row r="2893">
          <cell r="A2893" t="str">
            <v>S394</v>
          </cell>
          <cell r="B2893" t="str">
            <v>SIGMA INDUSTRIES</v>
          </cell>
        </row>
        <row r="2894">
          <cell r="A2894" t="str">
            <v>S395</v>
          </cell>
          <cell r="B2894" t="str">
            <v>SURAJ MEC BRICKS PVT. LTD.</v>
          </cell>
        </row>
        <row r="2895">
          <cell r="A2895" t="str">
            <v>S396</v>
          </cell>
          <cell r="B2895" t="str">
            <v>SAMYAGYA CONSULTING ENGRS.&amp;CON. PVT. LTD</v>
          </cell>
        </row>
        <row r="2896">
          <cell r="A2896" t="str">
            <v>S397</v>
          </cell>
          <cell r="B2896" t="str">
            <v>SHIVA BUILDER</v>
          </cell>
        </row>
        <row r="2897">
          <cell r="A2897" t="str">
            <v>S398</v>
          </cell>
          <cell r="B2897" t="str">
            <v>SHEELA CONSTRUCTIONS LIMITED</v>
          </cell>
        </row>
        <row r="2898">
          <cell r="A2898" t="str">
            <v>S399</v>
          </cell>
          <cell r="B2898" t="str">
            <v>SHABANA TIMBER STORE</v>
          </cell>
        </row>
        <row r="2899">
          <cell r="A2899" t="str">
            <v>S400</v>
          </cell>
          <cell r="B2899" t="str">
            <v>SHRI KARNI ENGINEERING AND HYDRAULIC</v>
          </cell>
        </row>
        <row r="2900">
          <cell r="A2900" t="str">
            <v>S401</v>
          </cell>
          <cell r="B2900" t="str">
            <v>S K TRADERS</v>
          </cell>
        </row>
        <row r="2901">
          <cell r="A2901" t="str">
            <v>S402</v>
          </cell>
          <cell r="B2901" t="str">
            <v>SUPRABHAT ELECTRIC COMPANY</v>
          </cell>
        </row>
        <row r="2902">
          <cell r="A2902" t="str">
            <v>S403</v>
          </cell>
          <cell r="B2902" t="str">
            <v>STONE INTERNATIONAL INC.</v>
          </cell>
        </row>
        <row r="2903">
          <cell r="A2903" t="str">
            <v>S404</v>
          </cell>
          <cell r="B2903" t="str">
            <v>SECURE COURIER (P) LTD</v>
          </cell>
        </row>
        <row r="2904">
          <cell r="A2904" t="str">
            <v>S405</v>
          </cell>
          <cell r="B2904" t="str">
            <v>SHIV NURSERY</v>
          </cell>
        </row>
        <row r="2905">
          <cell r="A2905" t="str">
            <v>S406</v>
          </cell>
          <cell r="B2905" t="str">
            <v>SETHI DIESAL CARE</v>
          </cell>
        </row>
        <row r="2906">
          <cell r="A2906" t="str">
            <v>S407</v>
          </cell>
          <cell r="B2906" t="str">
            <v>SUN SHINE INDUSTRIES</v>
          </cell>
        </row>
        <row r="2907">
          <cell r="A2907" t="str">
            <v>S408</v>
          </cell>
          <cell r="B2907" t="str">
            <v>SURESH SHARMA &amp; CO.</v>
          </cell>
        </row>
        <row r="2908">
          <cell r="A2908" t="str">
            <v>S409</v>
          </cell>
          <cell r="B2908" t="str">
            <v>SINGH ENTERPRISES</v>
          </cell>
        </row>
        <row r="2909">
          <cell r="A2909" t="str">
            <v>S410</v>
          </cell>
          <cell r="B2909" t="str">
            <v>SLEEK SALES</v>
          </cell>
        </row>
        <row r="2910">
          <cell r="A2910" t="str">
            <v>S411</v>
          </cell>
          <cell r="B2910" t="str">
            <v>SUJATA MARBLE&amp;GRANITE PROCESSING PVT.LTD</v>
          </cell>
        </row>
        <row r="2911">
          <cell r="A2911" t="str">
            <v>S412</v>
          </cell>
          <cell r="B2911" t="str">
            <v>S K AUDIO VISUAL CO.</v>
          </cell>
        </row>
        <row r="2912">
          <cell r="A2912" t="str">
            <v>S413</v>
          </cell>
          <cell r="B2912" t="str">
            <v>SPECTRUM MARKETING ASSOCIATES</v>
          </cell>
        </row>
        <row r="2913">
          <cell r="A2913" t="str">
            <v>S414</v>
          </cell>
          <cell r="B2913" t="str">
            <v>S SONY &amp; COMPANY</v>
          </cell>
        </row>
        <row r="2914">
          <cell r="A2914" t="str">
            <v>S415</v>
          </cell>
          <cell r="B2914" t="str">
            <v>SEHGAL ASSOCIATES</v>
          </cell>
        </row>
        <row r="2915">
          <cell r="A2915" t="str">
            <v>S416</v>
          </cell>
          <cell r="B2915" t="str">
            <v>SKYTONE ELECTRICALS (INDIA)</v>
          </cell>
        </row>
        <row r="2916">
          <cell r="A2916" t="str">
            <v>S417</v>
          </cell>
          <cell r="B2916" t="str">
            <v>SERVICE EQUIPMENT COMPANY</v>
          </cell>
        </row>
        <row r="2917">
          <cell r="A2917" t="str">
            <v>S418</v>
          </cell>
          <cell r="B2917" t="str">
            <v>SAPRA PASTRY TREAT</v>
          </cell>
        </row>
        <row r="2918">
          <cell r="A2918" t="str">
            <v>S419</v>
          </cell>
          <cell r="B2918" t="str">
            <v>SUBHASH BANS BALLI STORE</v>
          </cell>
        </row>
        <row r="2919">
          <cell r="A2919" t="str">
            <v>S420</v>
          </cell>
          <cell r="B2919" t="str">
            <v>SHREE HARI SALES PROMOTORS (P) LTD.</v>
          </cell>
        </row>
        <row r="2920">
          <cell r="A2920" t="str">
            <v>S421</v>
          </cell>
          <cell r="B2920" t="str">
            <v>SURAJ PRAKASH</v>
          </cell>
        </row>
        <row r="2921">
          <cell r="A2921" t="str">
            <v>S422</v>
          </cell>
          <cell r="B2921" t="str">
            <v>SHARMISTHA ENTERPRISE</v>
          </cell>
        </row>
        <row r="2922">
          <cell r="A2922" t="str">
            <v>S423</v>
          </cell>
          <cell r="B2922" t="str">
            <v>SIYAJIT HOUSING &amp; CONSTRUCTION</v>
          </cell>
        </row>
        <row r="2923">
          <cell r="A2923" t="str">
            <v>S424</v>
          </cell>
          <cell r="B2923" t="str">
            <v>SHIVALIK AGRO-POLY PRODUCTS LTD.</v>
          </cell>
        </row>
        <row r="2924">
          <cell r="A2924" t="str">
            <v>S425</v>
          </cell>
          <cell r="B2924" t="str">
            <v>SECURITY INTELLIGENCE SERVICES(INDIA)LTD</v>
          </cell>
        </row>
        <row r="2925">
          <cell r="A2925" t="str">
            <v>S426</v>
          </cell>
          <cell r="B2925" t="str">
            <v>STONE ART</v>
          </cell>
        </row>
        <row r="2926">
          <cell r="A2926" t="str">
            <v>S427</v>
          </cell>
          <cell r="B2926" t="str">
            <v>SHRADDA ENGG. CONSULTANT</v>
          </cell>
        </row>
        <row r="2927">
          <cell r="A2927" t="str">
            <v>S428</v>
          </cell>
          <cell r="B2927" t="str">
            <v>S D BUILDERS</v>
          </cell>
        </row>
        <row r="2928">
          <cell r="A2928" t="str">
            <v>S429</v>
          </cell>
          <cell r="B2928" t="str">
            <v>SUDHIR ENGINEERING CO.</v>
          </cell>
        </row>
        <row r="2929">
          <cell r="A2929" t="str">
            <v>S430</v>
          </cell>
          <cell r="B2929" t="str">
            <v>SLV SECURITY SERVICES PVT. LTD</v>
          </cell>
        </row>
        <row r="2930">
          <cell r="A2930" t="str">
            <v>S431</v>
          </cell>
          <cell r="B2930" t="str">
            <v>SATPAL</v>
          </cell>
        </row>
        <row r="2931">
          <cell r="A2931" t="str">
            <v>S432</v>
          </cell>
          <cell r="B2931" t="str">
            <v>SHAKTI MET-DOR LIMITED</v>
          </cell>
        </row>
        <row r="2932">
          <cell r="A2932" t="str">
            <v>S433</v>
          </cell>
          <cell r="B2932" t="str">
            <v>SARVODAYA ENTERPRISES</v>
          </cell>
        </row>
        <row r="2933">
          <cell r="A2933" t="str">
            <v>S434</v>
          </cell>
          <cell r="B2933" t="str">
            <v>SHYAM TELECOMM LTD.</v>
          </cell>
        </row>
        <row r="2934">
          <cell r="A2934" t="str">
            <v>S435</v>
          </cell>
          <cell r="B2934" t="str">
            <v>SAPTAGIRI NURSERY &amp; FARMS</v>
          </cell>
        </row>
        <row r="2935">
          <cell r="A2935" t="str">
            <v>S436</v>
          </cell>
          <cell r="B2935" t="str">
            <v>S.R.LAKSHMI &amp; CO.</v>
          </cell>
        </row>
        <row r="2936">
          <cell r="A2936" t="str">
            <v>S437</v>
          </cell>
          <cell r="B2936" t="str">
            <v>SUPER DRY CLEANERS</v>
          </cell>
        </row>
        <row r="2937">
          <cell r="A2937" t="str">
            <v>S438</v>
          </cell>
          <cell r="B2937" t="str">
            <v>S.M.TRIPATHI</v>
          </cell>
        </row>
        <row r="2938">
          <cell r="A2938" t="str">
            <v>S439</v>
          </cell>
          <cell r="B2938" t="str">
            <v>SANGHI INDUSTRIES</v>
          </cell>
        </row>
        <row r="2939">
          <cell r="A2939" t="str">
            <v>S440</v>
          </cell>
          <cell r="B2939" t="str">
            <v>S.R.REPROGRAFIX</v>
          </cell>
        </row>
        <row r="2940">
          <cell r="A2940" t="str">
            <v>S441</v>
          </cell>
          <cell r="B2940" t="str">
            <v>SHRISTI ENTERPRISES</v>
          </cell>
        </row>
        <row r="2941">
          <cell r="A2941" t="str">
            <v>S442</v>
          </cell>
          <cell r="B2941" t="str">
            <v>SOUVENIOR CERAMICS</v>
          </cell>
        </row>
        <row r="2942">
          <cell r="A2942" t="str">
            <v>S443</v>
          </cell>
          <cell r="B2942" t="str">
            <v>SURAJ NURSERY</v>
          </cell>
        </row>
        <row r="2943">
          <cell r="A2943" t="str">
            <v>S444</v>
          </cell>
          <cell r="B2943" t="str">
            <v>S.S.CHHABARIA</v>
          </cell>
        </row>
        <row r="2944">
          <cell r="A2944" t="str">
            <v>S445</v>
          </cell>
          <cell r="B2944" t="str">
            <v>S K GARDEN TRADERS</v>
          </cell>
        </row>
        <row r="2945">
          <cell r="A2945" t="str">
            <v>S446</v>
          </cell>
          <cell r="B2945" t="str">
            <v>SAGAR TRADERS</v>
          </cell>
        </row>
        <row r="2946">
          <cell r="A2946" t="str">
            <v>S447</v>
          </cell>
          <cell r="B2946" t="str">
            <v>STANDARD ELECTRICAL APPLIANCE</v>
          </cell>
        </row>
        <row r="2947">
          <cell r="A2947" t="str">
            <v>S448</v>
          </cell>
          <cell r="B2947" t="str">
            <v>SUHAS MARBLE</v>
          </cell>
        </row>
        <row r="2948">
          <cell r="A2948" t="str">
            <v>S449</v>
          </cell>
          <cell r="B2948" t="str">
            <v>SUBODH ENTERPRISES</v>
          </cell>
        </row>
        <row r="2949">
          <cell r="A2949" t="str">
            <v>S450</v>
          </cell>
          <cell r="B2949" t="str">
            <v>SACHDEVA TRADERS</v>
          </cell>
        </row>
        <row r="2950">
          <cell r="A2950" t="str">
            <v>S451</v>
          </cell>
          <cell r="B2950" t="str">
            <v>SUPERTECH (INDIA) PVT.LTD</v>
          </cell>
        </row>
        <row r="2951">
          <cell r="A2951" t="str">
            <v>S452</v>
          </cell>
          <cell r="B2951" t="str">
            <v>SAHIL IRON WORKS</v>
          </cell>
        </row>
        <row r="2952">
          <cell r="A2952" t="str">
            <v>S453</v>
          </cell>
          <cell r="B2952" t="str">
            <v>SEVCON INDIA PVT. LTD</v>
          </cell>
        </row>
        <row r="2953">
          <cell r="A2953" t="str">
            <v>S454</v>
          </cell>
          <cell r="B2953" t="str">
            <v>SHIVA BUILD-TECH PVT. LTD.</v>
          </cell>
        </row>
        <row r="2954">
          <cell r="A2954" t="str">
            <v>S455</v>
          </cell>
          <cell r="B2954" t="str">
            <v>SYNCOTTS INTERNATIONAL</v>
          </cell>
        </row>
        <row r="2955">
          <cell r="A2955" t="str">
            <v>S456</v>
          </cell>
          <cell r="B2955" t="str">
            <v>SURENDER</v>
          </cell>
        </row>
        <row r="2956">
          <cell r="A2956" t="str">
            <v>S457</v>
          </cell>
          <cell r="B2956" t="str">
            <v>SHANTI BOOK SERVICE</v>
          </cell>
        </row>
        <row r="2957">
          <cell r="A2957" t="str">
            <v>S458</v>
          </cell>
          <cell r="B2957" t="str">
            <v>SHIVAM BATTERIES</v>
          </cell>
        </row>
        <row r="2958">
          <cell r="A2958" t="str">
            <v>S459</v>
          </cell>
          <cell r="B2958" t="str">
            <v>SOHAN LAL &amp; SONS (POLES) PVT.LTD.</v>
          </cell>
        </row>
        <row r="2959">
          <cell r="A2959" t="str">
            <v>S460</v>
          </cell>
          <cell r="B2959" t="str">
            <v>SUPERSHINE LAUNDRY SYSTEM PVT.LTD</v>
          </cell>
        </row>
        <row r="2960">
          <cell r="A2960" t="str">
            <v>S461</v>
          </cell>
          <cell r="B2960" t="str">
            <v>SURYA FURNESHINGS</v>
          </cell>
        </row>
        <row r="2961">
          <cell r="A2961" t="str">
            <v>S462</v>
          </cell>
          <cell r="B2961" t="str">
            <v>SATISH YADAV</v>
          </cell>
        </row>
        <row r="2962">
          <cell r="A2962" t="str">
            <v>S463</v>
          </cell>
          <cell r="B2962" t="str">
            <v>SAKET PACKS PVT LTD</v>
          </cell>
        </row>
        <row r="2963">
          <cell r="A2963" t="str">
            <v>S464</v>
          </cell>
          <cell r="B2963" t="str">
            <v>SACHDEVA SERVICES</v>
          </cell>
        </row>
        <row r="2964">
          <cell r="A2964" t="str">
            <v>S465</v>
          </cell>
          <cell r="B2964" t="str">
            <v>SUPER BULK CARRIERS</v>
          </cell>
        </row>
        <row r="2965">
          <cell r="A2965" t="str">
            <v>S466</v>
          </cell>
          <cell r="B2965" t="str">
            <v>SAI VENDING SERVICES PVT.LTD.</v>
          </cell>
        </row>
        <row r="2966">
          <cell r="A2966" t="str">
            <v>S467</v>
          </cell>
          <cell r="B2966" t="str">
            <v>SIGN DESIGN</v>
          </cell>
        </row>
        <row r="2967">
          <cell r="A2967" t="str">
            <v>S468</v>
          </cell>
          <cell r="B2967" t="str">
            <v>SWETHA ARTS</v>
          </cell>
        </row>
        <row r="2968">
          <cell r="A2968" t="str">
            <v>S469</v>
          </cell>
          <cell r="B2968" t="str">
            <v>SYNERGY PRODUCTS</v>
          </cell>
        </row>
        <row r="2969">
          <cell r="A2969" t="str">
            <v>S470</v>
          </cell>
          <cell r="B2969" t="str">
            <v>S V DAMLE CONSULTING ENGINEERS</v>
          </cell>
        </row>
        <row r="2970">
          <cell r="A2970" t="str">
            <v>S471</v>
          </cell>
          <cell r="B2970" t="str">
            <v>SWADESHI MOTORS</v>
          </cell>
        </row>
        <row r="2971">
          <cell r="A2971" t="str">
            <v>S472</v>
          </cell>
          <cell r="B2971" t="str">
            <v>SAMJ INCORPORATION</v>
          </cell>
        </row>
        <row r="2972">
          <cell r="A2972" t="str">
            <v>S473</v>
          </cell>
          <cell r="B2972" t="str">
            <v>SACHDEVA TRADING COMPANY</v>
          </cell>
        </row>
        <row r="2973">
          <cell r="A2973" t="str">
            <v>S474</v>
          </cell>
          <cell r="B2973" t="str">
            <v>SATURN OVERSEAS</v>
          </cell>
        </row>
        <row r="2974">
          <cell r="A2974" t="str">
            <v>S475</v>
          </cell>
          <cell r="B2974" t="str">
            <v>SURBHI MARKETING PVT. LTD.</v>
          </cell>
        </row>
        <row r="2975">
          <cell r="A2975" t="str">
            <v>S476</v>
          </cell>
          <cell r="B2975" t="str">
            <v>S.K.INTERNATIONAL</v>
          </cell>
        </row>
        <row r="2976">
          <cell r="A2976" t="str">
            <v>S477</v>
          </cell>
          <cell r="B2976" t="str">
            <v>STICHWELL QUALITEX PVT. LTD.</v>
          </cell>
        </row>
        <row r="2977">
          <cell r="A2977" t="str">
            <v>S478</v>
          </cell>
          <cell r="B2977" t="str">
            <v>SAVI VISION P LTD</v>
          </cell>
        </row>
        <row r="2978">
          <cell r="A2978" t="str">
            <v>S479</v>
          </cell>
          <cell r="B2978" t="str">
            <v>SANGEETA BROS.</v>
          </cell>
        </row>
        <row r="2979">
          <cell r="A2979" t="str">
            <v>S480</v>
          </cell>
          <cell r="B2979" t="str">
            <v>SWEETY VERMA</v>
          </cell>
        </row>
        <row r="2980">
          <cell r="A2980" t="str">
            <v>S481</v>
          </cell>
          <cell r="B2980" t="str">
            <v>SANJAY KUMAR</v>
          </cell>
        </row>
        <row r="2981">
          <cell r="A2981" t="str">
            <v>S482</v>
          </cell>
          <cell r="B2981" t="str">
            <v>SANJAY RANA</v>
          </cell>
        </row>
        <row r="2982">
          <cell r="A2982" t="str">
            <v>S483</v>
          </cell>
          <cell r="B2982" t="str">
            <v>SUSHILA</v>
          </cell>
        </row>
        <row r="2983">
          <cell r="A2983" t="str">
            <v>S484</v>
          </cell>
          <cell r="B2983" t="str">
            <v>SUMAN PAWAR</v>
          </cell>
        </row>
        <row r="2984">
          <cell r="A2984" t="str">
            <v>S485</v>
          </cell>
          <cell r="B2984" t="str">
            <v>SUMER &amp; COMPANY(REGD)</v>
          </cell>
        </row>
        <row r="2985">
          <cell r="A2985" t="str">
            <v>S486</v>
          </cell>
          <cell r="B2985" t="str">
            <v>SURODAYA HITECH ENGINEERING (P) LTD</v>
          </cell>
        </row>
        <row r="2986">
          <cell r="A2986" t="str">
            <v>S487</v>
          </cell>
          <cell r="B2986" t="str">
            <v>SANTOSH ASSOCIATES PVT. LTD.</v>
          </cell>
        </row>
        <row r="2987">
          <cell r="A2987" t="str">
            <v>S488</v>
          </cell>
          <cell r="B2987" t="str">
            <v>M/S, STUDIO FILMISTAN</v>
          </cell>
        </row>
        <row r="2988">
          <cell r="A2988" t="str">
            <v>S489</v>
          </cell>
          <cell r="B2988" t="str">
            <v>SAFE WELD (INDIA)</v>
          </cell>
        </row>
        <row r="2989">
          <cell r="A2989" t="str">
            <v>S490</v>
          </cell>
          <cell r="B2989" t="str">
            <v>SHIV SHAKTI STEEL</v>
          </cell>
        </row>
        <row r="2990">
          <cell r="A2990" t="str">
            <v>S491</v>
          </cell>
          <cell r="B2990" t="str">
            <v>STJ ELCTRONICS PVT. LTD.</v>
          </cell>
        </row>
        <row r="2991">
          <cell r="A2991" t="str">
            <v>S492</v>
          </cell>
          <cell r="B2991" t="str">
            <v>SUDHIR GENSETS LTD.</v>
          </cell>
        </row>
        <row r="2992">
          <cell r="A2992" t="str">
            <v>S493</v>
          </cell>
          <cell r="B2992" t="str">
            <v>SALORA INTERNATIONAL LTD.</v>
          </cell>
        </row>
        <row r="2993">
          <cell r="A2993" t="str">
            <v>S494</v>
          </cell>
          <cell r="B2993" t="str">
            <v>SHIVAM TECHNO SYSTEMS</v>
          </cell>
        </row>
        <row r="2994">
          <cell r="A2994" t="str">
            <v>S495</v>
          </cell>
          <cell r="B2994" t="str">
            <v>STRATUM FOUNDATIONS</v>
          </cell>
        </row>
        <row r="2995">
          <cell r="A2995" t="str">
            <v>S496</v>
          </cell>
          <cell r="B2995" t="str">
            <v>SURINDER K RAO</v>
          </cell>
        </row>
        <row r="2996">
          <cell r="A2996" t="str">
            <v>S802</v>
          </cell>
          <cell r="B2996" t="str">
            <v>SUBASH KR GUPTA</v>
          </cell>
        </row>
        <row r="2997">
          <cell r="A2997" t="str">
            <v>S803</v>
          </cell>
          <cell r="B2997" t="str">
            <v>S RAJAMANI</v>
          </cell>
        </row>
        <row r="2998">
          <cell r="A2998" t="str">
            <v>S804</v>
          </cell>
          <cell r="B2998" t="str">
            <v>SATYA PAL ARORA</v>
          </cell>
        </row>
        <row r="2999">
          <cell r="A2999" t="str">
            <v>S806</v>
          </cell>
          <cell r="B2999" t="str">
            <v>SHASHI VERMA</v>
          </cell>
        </row>
        <row r="3000">
          <cell r="A3000" t="str">
            <v>S807</v>
          </cell>
          <cell r="B3000" t="str">
            <v>SHASHI GUPTA</v>
          </cell>
        </row>
        <row r="3001">
          <cell r="A3001" t="str">
            <v>S808</v>
          </cell>
          <cell r="B3001" t="str">
            <v>MRS SARLA HANDA</v>
          </cell>
        </row>
        <row r="3002">
          <cell r="A3002" t="str">
            <v>S810</v>
          </cell>
          <cell r="B3002" t="str">
            <v>SUTAPA SHARMA</v>
          </cell>
        </row>
        <row r="3003">
          <cell r="A3003" t="str">
            <v>S811</v>
          </cell>
          <cell r="B3003" t="str">
            <v>SCAFFORM HI-TECH</v>
          </cell>
        </row>
        <row r="3004">
          <cell r="A3004" t="str">
            <v>S812</v>
          </cell>
          <cell r="B3004" t="str">
            <v>S K BAKSHI</v>
          </cell>
        </row>
        <row r="3005">
          <cell r="A3005" t="str">
            <v>S813</v>
          </cell>
          <cell r="B3005" t="str">
            <v>S S RAO</v>
          </cell>
        </row>
        <row r="3006">
          <cell r="A3006" t="str">
            <v>S814</v>
          </cell>
          <cell r="B3006" t="str">
            <v>SANGITA ADVANI</v>
          </cell>
        </row>
        <row r="3007">
          <cell r="A3007" t="str">
            <v>S815</v>
          </cell>
          <cell r="B3007" t="str">
            <v>SURINDER SINGH CHUGH</v>
          </cell>
        </row>
        <row r="3008">
          <cell r="A3008" t="str">
            <v>S816</v>
          </cell>
          <cell r="B3008" t="str">
            <v>SUMEDH MEHTA</v>
          </cell>
        </row>
        <row r="3009">
          <cell r="A3009" t="str">
            <v>S817</v>
          </cell>
          <cell r="B3009" t="str">
            <v>SEEMA KHANNA</v>
          </cell>
        </row>
        <row r="3010">
          <cell r="A3010" t="str">
            <v>S818</v>
          </cell>
          <cell r="B3010" t="str">
            <v>SHAKUNTLA GUPTA</v>
          </cell>
        </row>
        <row r="3011">
          <cell r="A3011" t="str">
            <v>S819</v>
          </cell>
          <cell r="B3011" t="str">
            <v>SURGE SYSTEMS INDIA PVT LTD.,</v>
          </cell>
        </row>
        <row r="3012">
          <cell r="A3012" t="str">
            <v>S820</v>
          </cell>
          <cell r="B3012" t="str">
            <v>COL. S.C. GUJRAL</v>
          </cell>
        </row>
        <row r="3013">
          <cell r="A3013" t="str">
            <v>S821</v>
          </cell>
          <cell r="B3013" t="str">
            <v>SUDHA PRASAD</v>
          </cell>
        </row>
        <row r="3014">
          <cell r="A3014" t="str">
            <v>S822</v>
          </cell>
          <cell r="B3014" t="str">
            <v>S N ARORA</v>
          </cell>
        </row>
        <row r="3015">
          <cell r="A3015" t="str">
            <v>S823</v>
          </cell>
          <cell r="B3015" t="str">
            <v>S.B.GUPTA</v>
          </cell>
        </row>
        <row r="3016">
          <cell r="A3016" t="str">
            <v>S824</v>
          </cell>
          <cell r="B3016" t="str">
            <v>SARADA HARIHARAN</v>
          </cell>
        </row>
        <row r="3017">
          <cell r="A3017" t="str">
            <v>S825</v>
          </cell>
          <cell r="B3017" t="str">
            <v>SUMITA BHAN</v>
          </cell>
        </row>
        <row r="3018">
          <cell r="A3018" t="str">
            <v>S826</v>
          </cell>
          <cell r="B3018" t="str">
            <v>MRS.SNEH LATA</v>
          </cell>
        </row>
        <row r="3019">
          <cell r="A3019" t="str">
            <v>S901</v>
          </cell>
          <cell r="B3019" t="str">
            <v>SURURA FOODS (P) LTD.(INOP.)</v>
          </cell>
        </row>
        <row r="3020">
          <cell r="A3020" t="str">
            <v>T001</v>
          </cell>
          <cell r="B3020" t="str">
            <v>TRINITY TIMBERS</v>
          </cell>
        </row>
        <row r="3021">
          <cell r="A3021" t="str">
            <v>T002</v>
          </cell>
          <cell r="B3021" t="str">
            <v>TREND SET ENGINEERS P. LTD.</v>
          </cell>
        </row>
        <row r="3022">
          <cell r="A3022" t="str">
            <v>T003</v>
          </cell>
          <cell r="B3022" t="str">
            <v>TATA IRON &amp; STEEL CO. LTD.</v>
          </cell>
        </row>
        <row r="3023">
          <cell r="A3023" t="str">
            <v>T004</v>
          </cell>
          <cell r="B3023" t="str">
            <v>TECHNO MAC CABLES</v>
          </cell>
        </row>
        <row r="3024">
          <cell r="A3024" t="str">
            <v>T005</v>
          </cell>
          <cell r="B3024" t="str">
            <v>TARA CHAND &amp; BROTHERS</v>
          </cell>
        </row>
        <row r="3025">
          <cell r="A3025" t="str">
            <v>T006</v>
          </cell>
          <cell r="B3025" t="str">
            <v>TRACTEL TIRFOR INDIA PVT.LTD.</v>
          </cell>
        </row>
        <row r="3026">
          <cell r="A3026" t="str">
            <v>T007</v>
          </cell>
          <cell r="B3026" t="str">
            <v>THE ACME MANUFACTURING CO.LTD.</v>
          </cell>
        </row>
        <row r="3027">
          <cell r="A3027" t="str">
            <v>T008</v>
          </cell>
          <cell r="B3027" t="str">
            <v>TRIMOORTI ELECTRICALS</v>
          </cell>
        </row>
        <row r="3028">
          <cell r="A3028" t="str">
            <v>T009</v>
          </cell>
          <cell r="B3028" t="str">
            <v>THE NORTHERN INDIA TILES CORPORATION</v>
          </cell>
        </row>
        <row r="3029">
          <cell r="A3029" t="str">
            <v>T010</v>
          </cell>
          <cell r="B3029" t="str">
            <v>TRIVENI ENTERPRISES</v>
          </cell>
        </row>
        <row r="3030">
          <cell r="A3030" t="str">
            <v>T011</v>
          </cell>
          <cell r="B3030" t="str">
            <v>TEJ PAL</v>
          </cell>
        </row>
        <row r="3031">
          <cell r="A3031" t="str">
            <v>T012</v>
          </cell>
          <cell r="B3031" t="str">
            <v>TECHNOCRATES CONSTRUCTIONS CO.</v>
          </cell>
        </row>
        <row r="3032">
          <cell r="A3032" t="str">
            <v>T013</v>
          </cell>
          <cell r="B3032" t="str">
            <v>TEEKAM RAM</v>
          </cell>
        </row>
        <row r="3033">
          <cell r="A3033" t="str">
            <v>T014</v>
          </cell>
          <cell r="B3033" t="str">
            <v>TOP TOOLS (P) LTD.</v>
          </cell>
        </row>
        <row r="3034">
          <cell r="A3034" t="str">
            <v>T015</v>
          </cell>
          <cell r="B3034" t="str">
            <v>TATA ENGINEERING &amp; LOCOMOTIVE CO LTD</v>
          </cell>
        </row>
        <row r="3035">
          <cell r="A3035" t="str">
            <v>T016</v>
          </cell>
          <cell r="B3035" t="str">
            <v>TRAKTO DIESEL SPARES</v>
          </cell>
        </row>
        <row r="3036">
          <cell r="A3036" t="str">
            <v>T017</v>
          </cell>
          <cell r="B3036" t="str">
            <v>TRILOK CHAND</v>
          </cell>
        </row>
        <row r="3037">
          <cell r="A3037" t="str">
            <v>T018</v>
          </cell>
          <cell r="B3037" t="str">
            <v>TRACTO DIESEL</v>
          </cell>
        </row>
        <row r="3038">
          <cell r="A3038" t="str">
            <v>T019</v>
          </cell>
          <cell r="B3038" t="str">
            <v>TEJ SINGH</v>
          </cell>
        </row>
        <row r="3039">
          <cell r="A3039" t="str">
            <v>T020</v>
          </cell>
          <cell r="B3039" t="str">
            <v>TEKNIKA ELECTRONICS</v>
          </cell>
        </row>
        <row r="3040">
          <cell r="A3040" t="str">
            <v>T021</v>
          </cell>
          <cell r="B3040" t="str">
            <v>TYAGI ASSOCIATE</v>
          </cell>
        </row>
        <row r="3041">
          <cell r="A3041" t="str">
            <v>T022</v>
          </cell>
          <cell r="B3041" t="str">
            <v>TRICON SYSTEM (P) LTD.</v>
          </cell>
        </row>
        <row r="3042">
          <cell r="A3042" t="str">
            <v>T023</v>
          </cell>
          <cell r="B3042" t="str">
            <v>THREE E.M</v>
          </cell>
        </row>
        <row r="3043">
          <cell r="A3043" t="str">
            <v>T024</v>
          </cell>
          <cell r="B3043" t="str">
            <v>TOTA RAM SUNIL KUMAR</v>
          </cell>
        </row>
        <row r="3044">
          <cell r="A3044" t="str">
            <v>T025</v>
          </cell>
          <cell r="B3044" t="str">
            <v>TIGAR RUBBER COMPANY</v>
          </cell>
        </row>
        <row r="3045">
          <cell r="A3045" t="str">
            <v>T026</v>
          </cell>
          <cell r="B3045" t="str">
            <v>TEAK TRENDS</v>
          </cell>
        </row>
        <row r="3046">
          <cell r="A3046" t="str">
            <v>T027</v>
          </cell>
          <cell r="B3046" t="str">
            <v>TOP COAT SYSTEMS &amp; SERVICES</v>
          </cell>
        </row>
        <row r="3047">
          <cell r="A3047" t="str">
            <v>T028</v>
          </cell>
          <cell r="B3047" t="str">
            <v>T S CARRIERS</v>
          </cell>
        </row>
        <row r="3048">
          <cell r="A3048" t="str">
            <v>T029</v>
          </cell>
          <cell r="B3048" t="str">
            <v>TECHNO CRAFT</v>
          </cell>
        </row>
        <row r="3049">
          <cell r="A3049" t="str">
            <v>T030</v>
          </cell>
          <cell r="B3049" t="str">
            <v>TRIPUTI TIMBERS</v>
          </cell>
        </row>
        <row r="3050">
          <cell r="A3050" t="str">
            <v>T031</v>
          </cell>
          <cell r="B3050" t="str">
            <v>T.K ENGG. &amp; MECH. WORKS</v>
          </cell>
        </row>
        <row r="3051">
          <cell r="A3051" t="str">
            <v>T032</v>
          </cell>
          <cell r="B3051" t="str">
            <v>TRIKUTA AUTOMOBILES</v>
          </cell>
        </row>
        <row r="3052">
          <cell r="A3052" t="str">
            <v>T033</v>
          </cell>
          <cell r="B3052" t="str">
            <v>THE TROUBLE SHOOT TIGERS</v>
          </cell>
        </row>
        <row r="3053">
          <cell r="A3053" t="str">
            <v>T034</v>
          </cell>
          <cell r="B3053" t="str">
            <v>THOMAS COOK</v>
          </cell>
        </row>
        <row r="3054">
          <cell r="A3054" t="str">
            <v>T035</v>
          </cell>
          <cell r="B3054" t="str">
            <v>TIKKOO PIKARA(INOP.)</v>
          </cell>
        </row>
        <row r="3055">
          <cell r="A3055" t="str">
            <v>T036</v>
          </cell>
          <cell r="B3055" t="str">
            <v>TRIVENI TRAVEL PVT LTD(INOP.)</v>
          </cell>
        </row>
        <row r="3056">
          <cell r="A3056" t="str">
            <v>T037</v>
          </cell>
          <cell r="B3056" t="str">
            <v>TULIP ENTERPRISES(INOP.)</v>
          </cell>
        </row>
        <row r="3057">
          <cell r="A3057" t="str">
            <v>T038</v>
          </cell>
          <cell r="B3057" t="str">
            <v>TELECOM SERVICES(INOP.)</v>
          </cell>
        </row>
        <row r="3058">
          <cell r="A3058" t="str">
            <v>T039</v>
          </cell>
          <cell r="B3058" t="str">
            <v>TEJ BAHADUR SINGH(INOP.)</v>
          </cell>
        </row>
        <row r="3059">
          <cell r="A3059" t="str">
            <v>T040</v>
          </cell>
          <cell r="B3059" t="str">
            <v>TECC (TOWNSHIP ER. CONSULTANTS &amp; CONT.)</v>
          </cell>
        </row>
        <row r="3060">
          <cell r="A3060" t="str">
            <v>T041</v>
          </cell>
          <cell r="B3060" t="str">
            <v>TIL LIMITED</v>
          </cell>
        </row>
        <row r="3061">
          <cell r="A3061" t="str">
            <v>T042</v>
          </cell>
          <cell r="B3061" t="str">
            <v>THE ASSOCIATED CEMENT CORPORATION LTD.</v>
          </cell>
        </row>
        <row r="3062">
          <cell r="A3062" t="str">
            <v>T043</v>
          </cell>
          <cell r="B3062" t="str">
            <v>TUBES SALES PRIVATE LTD.</v>
          </cell>
        </row>
        <row r="3063">
          <cell r="A3063" t="str">
            <v>T044</v>
          </cell>
          <cell r="B3063" t="str">
            <v>TECH BOOKS</v>
          </cell>
        </row>
        <row r="3064">
          <cell r="A3064" t="str">
            <v>T045</v>
          </cell>
          <cell r="B3064" t="str">
            <v>TECHNO ENGINEERING COMPANY</v>
          </cell>
        </row>
        <row r="3065">
          <cell r="A3065" t="str">
            <v>T046</v>
          </cell>
          <cell r="B3065" t="str">
            <v>TOTAL FIRE COMPONENT PVT. LTD</v>
          </cell>
        </row>
        <row r="3066">
          <cell r="A3066" t="str">
            <v>T047</v>
          </cell>
          <cell r="B3066" t="str">
            <v>THE TATA IRON &amp; STEEL CO. LTD.(TUBES DIV</v>
          </cell>
        </row>
        <row r="3067">
          <cell r="A3067" t="str">
            <v>T048</v>
          </cell>
          <cell r="B3067" t="str">
            <v>TIGER TUTAF COAT SYSTEM &amp; SERVICES</v>
          </cell>
        </row>
        <row r="3068">
          <cell r="A3068" t="str">
            <v>T049</v>
          </cell>
          <cell r="B3068" t="str">
            <v>THE FABRICATION PEOPLE KAYMAX</v>
          </cell>
        </row>
        <row r="3069">
          <cell r="A3069" t="str">
            <v>T050</v>
          </cell>
          <cell r="B3069" t="str">
            <v>TANEJA SALES CORPORATION</v>
          </cell>
        </row>
        <row r="3070">
          <cell r="A3070" t="str">
            <v>T051</v>
          </cell>
          <cell r="B3070" t="str">
            <v>TARUSHI TAXI SERVICE</v>
          </cell>
        </row>
        <row r="3071">
          <cell r="A3071" t="str">
            <v>T052</v>
          </cell>
          <cell r="B3071" t="str">
            <v>TIMKEN SERVICES (P) LTD.</v>
          </cell>
        </row>
        <row r="3072">
          <cell r="A3072" t="str">
            <v>T053</v>
          </cell>
          <cell r="B3072" t="str">
            <v>TIMBER MART</v>
          </cell>
        </row>
        <row r="3073">
          <cell r="A3073" t="str">
            <v>T054</v>
          </cell>
          <cell r="B3073" t="str">
            <v>TRILOK CHAND &amp; SONS PVT. LTD.</v>
          </cell>
        </row>
        <row r="3074">
          <cell r="A3074" t="str">
            <v>T055</v>
          </cell>
          <cell r="B3074" t="str">
            <v>TIMES MARKETING PVT LTD</v>
          </cell>
        </row>
        <row r="3075">
          <cell r="A3075" t="str">
            <v>T056</v>
          </cell>
          <cell r="B3075" t="str">
            <v>TEJINDER TEJI &amp; CO.</v>
          </cell>
        </row>
        <row r="3076">
          <cell r="A3076" t="str">
            <v>T057</v>
          </cell>
          <cell r="B3076" t="str">
            <v>TIWARI HARDWARE STORE</v>
          </cell>
        </row>
        <row r="3077">
          <cell r="A3077" t="str">
            <v>T058</v>
          </cell>
          <cell r="B3077" t="str">
            <v>TATA UNISYS LTD.</v>
          </cell>
        </row>
        <row r="3078">
          <cell r="A3078" t="str">
            <v>T059</v>
          </cell>
          <cell r="B3078" t="str">
            <v>TRILOK CHAND &amp; SONS P.LTD.</v>
          </cell>
        </row>
        <row r="3079">
          <cell r="A3079" t="str">
            <v>T060</v>
          </cell>
          <cell r="B3079" t="str">
            <v>24 HOURS TAXI SERVICE</v>
          </cell>
        </row>
        <row r="3080">
          <cell r="A3080" t="str">
            <v>T061</v>
          </cell>
          <cell r="B3080" t="str">
            <v>TANUS SHEET METAL INDUSTRIES</v>
          </cell>
        </row>
        <row r="3081">
          <cell r="A3081" t="str">
            <v>T062</v>
          </cell>
          <cell r="B3081" t="str">
            <v>TAJ HI-TECH</v>
          </cell>
        </row>
        <row r="3082">
          <cell r="A3082" t="str">
            <v>T063</v>
          </cell>
          <cell r="B3082" t="str">
            <v>TATA CARRIER</v>
          </cell>
        </row>
        <row r="3083">
          <cell r="A3083" t="str">
            <v>T064</v>
          </cell>
          <cell r="B3083" t="str">
            <v>TEKNOS (INDIA) &amp; CO. PVT. LTD.</v>
          </cell>
        </row>
        <row r="3084">
          <cell r="A3084" t="str">
            <v>T065</v>
          </cell>
          <cell r="B3084" t="str">
            <v>THAKUR PRASAD CONSTRUCTION CO.</v>
          </cell>
        </row>
        <row r="3085">
          <cell r="A3085" t="str">
            <v>T066</v>
          </cell>
          <cell r="B3085" t="str">
            <v>TAURAS HOIST TACKLES</v>
          </cell>
        </row>
        <row r="3086">
          <cell r="A3086" t="str">
            <v>T067</v>
          </cell>
          <cell r="B3086" t="str">
            <v>THE ST. JOHN AMBULANCE DELHI CENTRE</v>
          </cell>
        </row>
        <row r="3087">
          <cell r="A3087" t="str">
            <v>T068</v>
          </cell>
          <cell r="B3087" t="str">
            <v>TRINITY TIMBERS (P) LTD.</v>
          </cell>
        </row>
        <row r="3088">
          <cell r="A3088" t="str">
            <v>T069</v>
          </cell>
          <cell r="B3088" t="str">
            <v>THE MAPMAKERS</v>
          </cell>
        </row>
        <row r="3089">
          <cell r="A3089" t="str">
            <v>T070</v>
          </cell>
          <cell r="B3089" t="str">
            <v>TECHNOLAND SYSTEMS LTD.</v>
          </cell>
        </row>
        <row r="3090">
          <cell r="A3090" t="str">
            <v>T071</v>
          </cell>
          <cell r="B3090" t="str">
            <v>THE MARBLE ARTS</v>
          </cell>
        </row>
        <row r="3091">
          <cell r="A3091" t="str">
            <v>T072</v>
          </cell>
          <cell r="B3091" t="str">
            <v>TARUN TAILORS &amp; FABRICATION</v>
          </cell>
        </row>
        <row r="3092">
          <cell r="A3092" t="str">
            <v>T073</v>
          </cell>
          <cell r="B3092" t="str">
            <v>TARUN ENTERPRISES</v>
          </cell>
        </row>
        <row r="3093">
          <cell r="A3093" t="str">
            <v>T074</v>
          </cell>
          <cell r="B3093" t="str">
            <v>TIME BOND SERVICES</v>
          </cell>
        </row>
        <row r="3094">
          <cell r="A3094" t="str">
            <v>T075</v>
          </cell>
          <cell r="B3094" t="str">
            <v>TULIP SOFTWARE LTD.</v>
          </cell>
        </row>
        <row r="3095">
          <cell r="A3095" t="str">
            <v>T076</v>
          </cell>
          <cell r="B3095" t="str">
            <v>TOTAL INTERIORS</v>
          </cell>
        </row>
        <row r="3096">
          <cell r="A3096" t="str">
            <v>T078</v>
          </cell>
          <cell r="B3096" t="str">
            <v>THE RANSOMES JACOBSEN LTD.</v>
          </cell>
        </row>
        <row r="3097">
          <cell r="A3097" t="str">
            <v>T079</v>
          </cell>
          <cell r="B3097" t="str">
            <v>TELEPOLE MANUFACTURING COMPANY PVT.LTD</v>
          </cell>
        </row>
        <row r="3098">
          <cell r="A3098" t="str">
            <v>T080</v>
          </cell>
          <cell r="B3098" t="str">
            <v>THE MANJILA NURSERY</v>
          </cell>
        </row>
        <row r="3099">
          <cell r="A3099" t="str">
            <v>T081</v>
          </cell>
          <cell r="B3099" t="str">
            <v>TOPAZ INTERNATIONAL CORPORATION</v>
          </cell>
        </row>
        <row r="3100">
          <cell r="A3100" t="str">
            <v>T082</v>
          </cell>
          <cell r="B3100" t="str">
            <v>THOMSON CONSUMER ELETRONICS INDIA LTD.</v>
          </cell>
        </row>
        <row r="3101">
          <cell r="A3101" t="str">
            <v>T083</v>
          </cell>
          <cell r="B3101" t="str">
            <v>THAKAR EQUIPMENT COMPANY</v>
          </cell>
        </row>
        <row r="3102">
          <cell r="A3102" t="str">
            <v>T084</v>
          </cell>
          <cell r="B3102" t="str">
            <v>THE 7TH GALAXY</v>
          </cell>
        </row>
        <row r="3103">
          <cell r="A3103" t="str">
            <v>T085</v>
          </cell>
          <cell r="B3103" t="str">
            <v>TRIVENI STEEL</v>
          </cell>
        </row>
        <row r="3104">
          <cell r="A3104" t="str">
            <v>T086</v>
          </cell>
          <cell r="B3104" t="str">
            <v>TREND</v>
          </cell>
        </row>
        <row r="3105">
          <cell r="A3105" t="str">
            <v>T087</v>
          </cell>
          <cell r="B3105" t="str">
            <v>TRACTOR &amp; FARM EQUIPMENT LIMITED</v>
          </cell>
        </row>
        <row r="3106">
          <cell r="A3106" t="str">
            <v>T088</v>
          </cell>
          <cell r="B3106" t="str">
            <v>THE TORO COMPANY</v>
          </cell>
        </row>
        <row r="3107">
          <cell r="A3107" t="str">
            <v>T089</v>
          </cell>
          <cell r="B3107" t="str">
            <v>TRAINING ALTERNATIVE</v>
          </cell>
        </row>
        <row r="3108">
          <cell r="A3108" t="str">
            <v>T090</v>
          </cell>
          <cell r="B3108" t="str">
            <v>TIGER PLAST (INDIA) LIMITED</v>
          </cell>
        </row>
        <row r="3109">
          <cell r="A3109" t="str">
            <v>T091</v>
          </cell>
          <cell r="B3109" t="str">
            <v>THE CAVALIER</v>
          </cell>
        </row>
        <row r="3110">
          <cell r="A3110" t="str">
            <v>T092</v>
          </cell>
          <cell r="B3110" t="str">
            <v>TAURUS ENGINEERING COMPANY</v>
          </cell>
        </row>
        <row r="3111">
          <cell r="A3111" t="str">
            <v>T093</v>
          </cell>
          <cell r="B3111" t="str">
            <v>TECH MART</v>
          </cell>
        </row>
        <row r="3112">
          <cell r="A3112" t="str">
            <v>T801</v>
          </cell>
          <cell r="B3112" t="str">
            <v>TULSI RAM GARG</v>
          </cell>
        </row>
        <row r="3113">
          <cell r="A3113" t="str">
            <v>T802</v>
          </cell>
          <cell r="B3113" t="str">
            <v>T BASU</v>
          </cell>
        </row>
        <row r="3114">
          <cell r="A3114" t="str">
            <v>T803</v>
          </cell>
          <cell r="B3114" t="str">
            <v>TEJINDER SINGH</v>
          </cell>
        </row>
        <row r="3115">
          <cell r="A3115" t="str">
            <v>T804</v>
          </cell>
          <cell r="B3115" t="str">
            <v>TARUN KUMAR</v>
          </cell>
        </row>
        <row r="3116">
          <cell r="A3116" t="str">
            <v>T805</v>
          </cell>
          <cell r="B3116" t="str">
            <v>TAPAN KUMAR BHATTACHARYA (RETAINER)</v>
          </cell>
        </row>
        <row r="3117">
          <cell r="A3117" t="str">
            <v>U001</v>
          </cell>
          <cell r="B3117" t="str">
            <v>UNIPLAS INDIA LIMITED</v>
          </cell>
        </row>
        <row r="3118">
          <cell r="A3118" t="str">
            <v>U002</v>
          </cell>
          <cell r="B3118" t="str">
            <v>UNIQUE MARBLES</v>
          </cell>
        </row>
        <row r="3119">
          <cell r="A3119" t="str">
            <v>U003</v>
          </cell>
          <cell r="B3119" t="str">
            <v>UBIQUE ELECTRICALS</v>
          </cell>
        </row>
        <row r="3120">
          <cell r="A3120" t="str">
            <v>U004</v>
          </cell>
          <cell r="B3120" t="str">
            <v>UNIVERSAL ENGINEERING CORPORATION</v>
          </cell>
        </row>
        <row r="3121">
          <cell r="A3121" t="str">
            <v>U005</v>
          </cell>
          <cell r="B3121" t="str">
            <v>USHA TELEHOIST LIMITED</v>
          </cell>
        </row>
        <row r="3122">
          <cell r="A3122" t="str">
            <v>U006</v>
          </cell>
          <cell r="B3122" t="str">
            <v>UBITECH (P) LIMITED</v>
          </cell>
        </row>
        <row r="3123">
          <cell r="A3123" t="str">
            <v>U007</v>
          </cell>
          <cell r="B3123" t="str">
            <v>UNIDUS ASSOCIATES</v>
          </cell>
        </row>
        <row r="3124">
          <cell r="A3124" t="str">
            <v>U008</v>
          </cell>
          <cell r="B3124" t="str">
            <v>UNILEC ENGINEERS LTD.</v>
          </cell>
        </row>
        <row r="3125">
          <cell r="A3125" t="str">
            <v>U009</v>
          </cell>
          <cell r="B3125" t="str">
            <v>UNIQUE CONSTRUCTION</v>
          </cell>
        </row>
        <row r="3126">
          <cell r="A3126" t="str">
            <v>U010</v>
          </cell>
          <cell r="B3126" t="str">
            <v>UMESH SINGH</v>
          </cell>
        </row>
        <row r="3127">
          <cell r="A3127" t="str">
            <v>U011</v>
          </cell>
          <cell r="B3127" t="str">
            <v>UNITECH TURNKEY PVT LTD</v>
          </cell>
        </row>
        <row r="3128">
          <cell r="A3128" t="str">
            <v>U012</v>
          </cell>
          <cell r="B3128" t="str">
            <v>USHA MARTIN INDUSTRIES LIMITED</v>
          </cell>
        </row>
        <row r="3129">
          <cell r="A3129" t="str">
            <v>U013</v>
          </cell>
          <cell r="B3129" t="str">
            <v>UDYOGI PLASTICS (P) LTD.</v>
          </cell>
        </row>
        <row r="3130">
          <cell r="A3130" t="str">
            <v>U014</v>
          </cell>
          <cell r="B3130" t="str">
            <v>UNIVERSAL FREIGHT CARRIER</v>
          </cell>
        </row>
        <row r="3131">
          <cell r="A3131" t="str">
            <v>U015</v>
          </cell>
          <cell r="B3131" t="str">
            <v>UPENDRA BUILDERS</v>
          </cell>
        </row>
        <row r="3132">
          <cell r="A3132" t="str">
            <v>U016</v>
          </cell>
          <cell r="B3132" t="str">
            <v>UDAY MANDAL</v>
          </cell>
        </row>
        <row r="3133">
          <cell r="A3133" t="str">
            <v>U017</v>
          </cell>
          <cell r="B3133" t="str">
            <v>UMESH KUMAR MISHRA</v>
          </cell>
        </row>
        <row r="3134">
          <cell r="A3134" t="str">
            <v>U018</v>
          </cell>
          <cell r="B3134" t="str">
            <v>UNITED BHATTA CO.</v>
          </cell>
        </row>
        <row r="3135">
          <cell r="A3135" t="str">
            <v>U019</v>
          </cell>
          <cell r="B3135" t="str">
            <v>UMA BUILDERS</v>
          </cell>
        </row>
        <row r="3136">
          <cell r="A3136" t="str">
            <v>U020</v>
          </cell>
          <cell r="B3136" t="str">
            <v>UNITED BROTHERS(INOP.)</v>
          </cell>
        </row>
        <row r="3137">
          <cell r="A3137" t="str">
            <v>U021</v>
          </cell>
          <cell r="B3137" t="str">
            <v>U.K.MISHRA(INOP.)</v>
          </cell>
        </row>
        <row r="3138">
          <cell r="A3138" t="str">
            <v>U022</v>
          </cell>
          <cell r="B3138" t="str">
            <v>USHA SPEEDWAYS</v>
          </cell>
        </row>
        <row r="3139">
          <cell r="A3139" t="str">
            <v>U023</v>
          </cell>
          <cell r="B3139" t="str">
            <v>UPENDRA KUMAR GUPTA</v>
          </cell>
        </row>
        <row r="3140">
          <cell r="A3140" t="str">
            <v>U024</v>
          </cell>
          <cell r="B3140" t="str">
            <v>UTKARSH UDYOG</v>
          </cell>
        </row>
        <row r="3141">
          <cell r="A3141" t="str">
            <v>U025</v>
          </cell>
          <cell r="B3141" t="str">
            <v>UNILUBES</v>
          </cell>
        </row>
        <row r="3142">
          <cell r="A3142" t="str">
            <v>U026</v>
          </cell>
          <cell r="B3142" t="str">
            <v>UNIVERSAL ENTERPRISES</v>
          </cell>
        </row>
        <row r="3143">
          <cell r="A3143" t="str">
            <v>U027</v>
          </cell>
          <cell r="B3143" t="str">
            <v>USHA TELEMATICS</v>
          </cell>
        </row>
        <row r="3144">
          <cell r="A3144" t="str">
            <v>U028</v>
          </cell>
          <cell r="B3144" t="str">
            <v>UNIVERSAL CABLES LTD.</v>
          </cell>
        </row>
        <row r="3145">
          <cell r="A3145" t="str">
            <v>U029</v>
          </cell>
          <cell r="B3145" t="str">
            <v>UNITED ENGINEERS</v>
          </cell>
        </row>
        <row r="3146">
          <cell r="A3146" t="str">
            <v>U030</v>
          </cell>
          <cell r="B3146" t="str">
            <v>UPKAR UDYOG</v>
          </cell>
        </row>
        <row r="3147">
          <cell r="A3147" t="str">
            <v>U031</v>
          </cell>
          <cell r="B3147" t="str">
            <v>UJALA CABLES PVT. LTD.</v>
          </cell>
        </row>
        <row r="3148">
          <cell r="A3148" t="str">
            <v>U032</v>
          </cell>
          <cell r="B3148" t="str">
            <v>UNITECH PREFEB LTD.</v>
          </cell>
        </row>
        <row r="3149">
          <cell r="A3149" t="str">
            <v>U033</v>
          </cell>
          <cell r="B3149" t="str">
            <v>UDAY BUILDING MATERIAL SUPPLIERS</v>
          </cell>
        </row>
        <row r="3150">
          <cell r="A3150" t="str">
            <v>U034</v>
          </cell>
          <cell r="B3150" t="str">
            <v>UNIVERSAL STEEL INDUSTRIES</v>
          </cell>
        </row>
        <row r="3151">
          <cell r="A3151" t="str">
            <v>U035</v>
          </cell>
          <cell r="B3151" t="str">
            <v>UMKAL HOSPITAL</v>
          </cell>
        </row>
        <row r="3152">
          <cell r="A3152" t="str">
            <v>U036</v>
          </cell>
          <cell r="B3152" t="str">
            <v>UPPER INDIA CONSTRUCTION ENGG. PVT. LTD.</v>
          </cell>
        </row>
        <row r="3153">
          <cell r="A3153" t="str">
            <v>U037</v>
          </cell>
          <cell r="B3153" t="str">
            <v>UNILEC ENGINEERS LTD.</v>
          </cell>
        </row>
        <row r="3154">
          <cell r="A3154" t="str">
            <v>U038</v>
          </cell>
          <cell r="B3154" t="str">
            <v>UDHAM TAXI SERVICE</v>
          </cell>
        </row>
        <row r="3155">
          <cell r="A3155" t="str">
            <v>U039</v>
          </cell>
          <cell r="B3155" t="str">
            <v>UNITECH ELECTRONICS PVT. LTD.</v>
          </cell>
        </row>
        <row r="3156">
          <cell r="A3156" t="str">
            <v>U040</v>
          </cell>
          <cell r="B3156" t="str">
            <v>UNIQUE AUTO INDUSTRIES</v>
          </cell>
        </row>
        <row r="3157">
          <cell r="A3157" t="str">
            <v>U041</v>
          </cell>
          <cell r="B3157" t="str">
            <v>UNITED ELECTRICALS</v>
          </cell>
        </row>
        <row r="3158">
          <cell r="A3158" t="str">
            <v>U042</v>
          </cell>
          <cell r="B3158" t="str">
            <v>UNIVERSAL LAW LINKER</v>
          </cell>
        </row>
        <row r="3159">
          <cell r="A3159" t="str">
            <v>U043</v>
          </cell>
          <cell r="B3159" t="str">
            <v>UMA SANJEEVANI HEALTH CENTRE PVT. LTD.</v>
          </cell>
        </row>
        <row r="3160">
          <cell r="A3160" t="str">
            <v>U044</v>
          </cell>
          <cell r="B3160" t="str">
            <v>UNITED SYSTEMS &amp; INSTRUMENTS</v>
          </cell>
        </row>
        <row r="3161">
          <cell r="A3161" t="str">
            <v>U045</v>
          </cell>
          <cell r="B3161" t="str">
            <v>UDYOG SHAKTI ENGINEERS</v>
          </cell>
        </row>
        <row r="3162">
          <cell r="A3162" t="str">
            <v>U046</v>
          </cell>
          <cell r="B3162" t="str">
            <v>UNITED MARKETING</v>
          </cell>
        </row>
        <row r="3163">
          <cell r="A3163" t="str">
            <v>U047</v>
          </cell>
          <cell r="B3163" t="str">
            <v>USHA TRAVELS</v>
          </cell>
        </row>
        <row r="3164">
          <cell r="A3164" t="str">
            <v>U048</v>
          </cell>
          <cell r="B3164" t="str">
            <v>UDAI SINGH</v>
          </cell>
        </row>
        <row r="3165">
          <cell r="A3165" t="str">
            <v>U049</v>
          </cell>
          <cell r="B3165" t="str">
            <v>UNISON ENGINEERS ENTERPRISES</v>
          </cell>
        </row>
        <row r="3166">
          <cell r="A3166" t="str">
            <v>U050</v>
          </cell>
          <cell r="B3166" t="str">
            <v>UPLIFT MACHINES INDIA PVT LTD.</v>
          </cell>
        </row>
        <row r="3167">
          <cell r="A3167" t="str">
            <v>U051</v>
          </cell>
          <cell r="B3167" t="str">
            <v>UNITED OPTICALS</v>
          </cell>
        </row>
        <row r="3168">
          <cell r="A3168" t="str">
            <v>U801</v>
          </cell>
          <cell r="B3168" t="str">
            <v>URMIL KAPIL</v>
          </cell>
        </row>
        <row r="3169">
          <cell r="A3169" t="str">
            <v>U802</v>
          </cell>
          <cell r="B3169" t="str">
            <v>USHA KACHROO</v>
          </cell>
        </row>
        <row r="3170">
          <cell r="A3170" t="str">
            <v>U803</v>
          </cell>
          <cell r="B3170" t="str">
            <v>UMANG BEDI</v>
          </cell>
        </row>
        <row r="3171">
          <cell r="A3171" t="str">
            <v>U804</v>
          </cell>
          <cell r="B3171" t="str">
            <v>UNITED BUILDERS</v>
          </cell>
        </row>
        <row r="3172">
          <cell r="A3172" t="str">
            <v>U805</v>
          </cell>
          <cell r="B3172" t="str">
            <v>U.K. SAHOO</v>
          </cell>
        </row>
        <row r="3173">
          <cell r="A3173" t="str">
            <v>V001</v>
          </cell>
          <cell r="B3173" t="str">
            <v>VIJAY FIRE APPARATUS CO.</v>
          </cell>
        </row>
        <row r="3174">
          <cell r="A3174" t="str">
            <v>V002</v>
          </cell>
          <cell r="B3174" t="str">
            <v>VIKRAM ELECTRICALS</v>
          </cell>
        </row>
        <row r="3175">
          <cell r="A3175" t="str">
            <v>V003</v>
          </cell>
          <cell r="B3175" t="str">
            <v>VOLT SELLERS</v>
          </cell>
        </row>
        <row r="3176">
          <cell r="A3176" t="str">
            <v>V004</v>
          </cell>
          <cell r="B3176" t="str">
            <v>VIMAL FIRE PROTECTION ENGINEERS</v>
          </cell>
        </row>
        <row r="3177">
          <cell r="A3177" t="str">
            <v>V005</v>
          </cell>
          <cell r="B3177" t="str">
            <v>VIJAY M. DECORATERS</v>
          </cell>
        </row>
        <row r="3178">
          <cell r="A3178" t="str">
            <v>V006</v>
          </cell>
          <cell r="B3178" t="str">
            <v>VISH RAM</v>
          </cell>
        </row>
        <row r="3179">
          <cell r="A3179" t="str">
            <v>V007</v>
          </cell>
          <cell r="B3179" t="str">
            <v>VISSION ENTERPRISES</v>
          </cell>
        </row>
        <row r="3180">
          <cell r="A3180" t="str">
            <v>V008</v>
          </cell>
          <cell r="B3180" t="str">
            <v>VIJAY KUMAR</v>
          </cell>
        </row>
        <row r="3181">
          <cell r="A3181" t="str">
            <v>V009</v>
          </cell>
          <cell r="B3181" t="str">
            <v>VIJAY ELECTRICALS LTD.</v>
          </cell>
        </row>
        <row r="3182">
          <cell r="A3182" t="str">
            <v>V010</v>
          </cell>
          <cell r="B3182" t="str">
            <v>VIJAY PAL</v>
          </cell>
        </row>
        <row r="3183">
          <cell r="A3183" t="str">
            <v>V011</v>
          </cell>
          <cell r="B3183" t="str">
            <v>VIJAY FABRICATING ENGRS.</v>
          </cell>
        </row>
        <row r="3184">
          <cell r="A3184" t="str">
            <v>V012</v>
          </cell>
          <cell r="B3184" t="str">
            <v>MR VINOD KUMAR</v>
          </cell>
        </row>
        <row r="3185">
          <cell r="A3185" t="str">
            <v>V013</v>
          </cell>
          <cell r="B3185" t="str">
            <v>V K CONSTRUCTION</v>
          </cell>
        </row>
        <row r="3186">
          <cell r="A3186" t="str">
            <v>V014</v>
          </cell>
          <cell r="B3186" t="str">
            <v>VIRENDER SINGH YADAV</v>
          </cell>
        </row>
        <row r="3187">
          <cell r="A3187" t="str">
            <v>V015</v>
          </cell>
          <cell r="B3187" t="str">
            <v>V SHANKAR AIYAR &amp; CO.</v>
          </cell>
        </row>
        <row r="3188">
          <cell r="A3188" t="str">
            <v>V016</v>
          </cell>
          <cell r="B3188" t="str">
            <v>V I P CRANE SERVICE</v>
          </cell>
        </row>
        <row r="3189">
          <cell r="A3189" t="str">
            <v>V017</v>
          </cell>
          <cell r="B3189" t="str">
            <v>VIDARTHI PUSTAK BHANDAR</v>
          </cell>
        </row>
        <row r="3190">
          <cell r="A3190" t="str">
            <v>V018</v>
          </cell>
          <cell r="B3190" t="str">
            <v>VASISHT BEARING ENTERPRISES</v>
          </cell>
        </row>
        <row r="3191">
          <cell r="A3191" t="str">
            <v>V019</v>
          </cell>
          <cell r="B3191" t="str">
            <v>V D TYAGI</v>
          </cell>
        </row>
        <row r="3192">
          <cell r="A3192" t="str">
            <v>V020</v>
          </cell>
          <cell r="B3192" t="str">
            <v>V.K.DECOR</v>
          </cell>
        </row>
        <row r="3193">
          <cell r="A3193" t="str">
            <v>V021</v>
          </cell>
          <cell r="B3193" t="str">
            <v>VIDIANI ENGGINERS LIMITED</v>
          </cell>
        </row>
        <row r="3194">
          <cell r="A3194" t="str">
            <v>V022</v>
          </cell>
          <cell r="B3194" t="str">
            <v>VISHWA NATH NAYAK</v>
          </cell>
        </row>
        <row r="3195">
          <cell r="A3195" t="str">
            <v>V023</v>
          </cell>
          <cell r="B3195" t="str">
            <v>VIRENDER &amp; COMPANY</v>
          </cell>
        </row>
        <row r="3196">
          <cell r="A3196" t="str">
            <v>V024</v>
          </cell>
          <cell r="B3196" t="str">
            <v>VIKAS TUBEWELL &amp; MACHINERY STORE</v>
          </cell>
        </row>
        <row r="3197">
          <cell r="A3197" t="str">
            <v>V025</v>
          </cell>
          <cell r="B3197" t="str">
            <v>V K ENTERPRISES</v>
          </cell>
        </row>
        <row r="3198">
          <cell r="A3198" t="str">
            <v>V026</v>
          </cell>
          <cell r="B3198" t="str">
            <v>VIJAY CARRIER BUILDING MATERIAL SUPPLIER</v>
          </cell>
        </row>
        <row r="3199">
          <cell r="A3199" t="str">
            <v>V027</v>
          </cell>
          <cell r="B3199" t="str">
            <v>VIJAY SINGH</v>
          </cell>
        </row>
        <row r="3200">
          <cell r="A3200" t="str">
            <v>V028</v>
          </cell>
          <cell r="B3200" t="str">
            <v>V SHREEDHARAN</v>
          </cell>
        </row>
        <row r="3201">
          <cell r="A3201" t="str">
            <v>V029</v>
          </cell>
          <cell r="B3201" t="str">
            <v>VIVIDHA ENGG.</v>
          </cell>
        </row>
        <row r="3202">
          <cell r="A3202" t="str">
            <v>V030</v>
          </cell>
          <cell r="B3202" t="str">
            <v>VARDHMAN STEEL TRADERS(INOP.)</v>
          </cell>
        </row>
        <row r="3203">
          <cell r="A3203" t="str">
            <v>V031</v>
          </cell>
          <cell r="B3203" t="str">
            <v>VIJAY STONE CRUSHING CO.</v>
          </cell>
        </row>
        <row r="3204">
          <cell r="A3204" t="str">
            <v>V032</v>
          </cell>
          <cell r="B3204" t="str">
            <v>VIJAY BROTHERS</v>
          </cell>
        </row>
        <row r="3205">
          <cell r="A3205" t="str">
            <v>V033</v>
          </cell>
          <cell r="B3205" t="str">
            <v>VIKAS TIMBERS</v>
          </cell>
        </row>
        <row r="3206">
          <cell r="A3206" t="str">
            <v>V034</v>
          </cell>
          <cell r="B3206" t="str">
            <v>VISHAL ROAD ROLLERS</v>
          </cell>
        </row>
        <row r="3207">
          <cell r="A3207" t="str">
            <v>V035</v>
          </cell>
          <cell r="B3207" t="str">
            <v>VIDYUT CONSTRUCTIONS</v>
          </cell>
        </row>
        <row r="3208">
          <cell r="A3208" t="str">
            <v>V036</v>
          </cell>
          <cell r="B3208" t="str">
            <v>VISHWA KARMA CONSTRUCTIONS</v>
          </cell>
        </row>
        <row r="3209">
          <cell r="A3209" t="str">
            <v>V037</v>
          </cell>
          <cell r="B3209" t="str">
            <v>V S SHARMA</v>
          </cell>
        </row>
        <row r="3210">
          <cell r="A3210" t="str">
            <v>V038</v>
          </cell>
          <cell r="B3210" t="str">
            <v>VIKAS KUMAR</v>
          </cell>
        </row>
        <row r="3211">
          <cell r="A3211" t="str">
            <v>V039</v>
          </cell>
          <cell r="B3211" t="str">
            <v>VENUS CONSTRUCTIONS</v>
          </cell>
        </row>
        <row r="3212">
          <cell r="A3212" t="str">
            <v>V040</v>
          </cell>
          <cell r="B3212" t="str">
            <v>VENUS STEEL TRADING CO.</v>
          </cell>
        </row>
        <row r="3213">
          <cell r="A3213" t="str">
            <v>V041</v>
          </cell>
          <cell r="B3213" t="str">
            <v>VARDHMAN MACHINERY STORE(INOP.)</v>
          </cell>
        </row>
        <row r="3214">
          <cell r="A3214" t="str">
            <v>V042</v>
          </cell>
          <cell r="B3214" t="str">
            <v>V.K.BUILDERS</v>
          </cell>
        </row>
        <row r="3215">
          <cell r="A3215" t="str">
            <v>V043</v>
          </cell>
          <cell r="B3215" t="str">
            <v>VIVIDH STONE PVT.LTD.</v>
          </cell>
        </row>
        <row r="3216">
          <cell r="A3216" t="str">
            <v>V044</v>
          </cell>
          <cell r="B3216" t="str">
            <v>VIKAS TRANSPORT LTD.(INOP.)</v>
          </cell>
        </row>
        <row r="3217">
          <cell r="A3217" t="str">
            <v>V045</v>
          </cell>
          <cell r="B3217" t="str">
            <v>VIJAY CONSTRUCTIONS</v>
          </cell>
        </row>
        <row r="3218">
          <cell r="A3218" t="str">
            <v>V046</v>
          </cell>
          <cell r="B3218" t="str">
            <v>V.K.PANDEY</v>
          </cell>
        </row>
        <row r="3219">
          <cell r="A3219" t="str">
            <v>V047</v>
          </cell>
          <cell r="B3219" t="str">
            <v>V.S.YADAV</v>
          </cell>
        </row>
        <row r="3220">
          <cell r="A3220" t="str">
            <v>V048</v>
          </cell>
          <cell r="B3220" t="str">
            <v>VANDANA MADAN</v>
          </cell>
        </row>
        <row r="3221">
          <cell r="A3221" t="str">
            <v>V049</v>
          </cell>
          <cell r="B3221" t="str">
            <v>VINOD MUTNEJA CONSULTANTS PVT. LTD.</v>
          </cell>
        </row>
        <row r="3222">
          <cell r="A3222" t="str">
            <v>V050</v>
          </cell>
          <cell r="B3222" t="str">
            <v>VIKAVIN CONSULTANTS (PVT) LTD.</v>
          </cell>
        </row>
        <row r="3223">
          <cell r="A3223" t="str">
            <v>V051</v>
          </cell>
          <cell r="B3223" t="str">
            <v>VEER SANITARY APPLIANCES(PVT.) LTD.</v>
          </cell>
        </row>
        <row r="3224">
          <cell r="A3224" t="str">
            <v>V052</v>
          </cell>
          <cell r="B3224" t="str">
            <v>VINOD KUMAR</v>
          </cell>
        </row>
        <row r="3225">
          <cell r="A3225" t="str">
            <v>V053</v>
          </cell>
          <cell r="B3225" t="str">
            <v>VIRENDER YADAV</v>
          </cell>
        </row>
        <row r="3226">
          <cell r="A3226" t="str">
            <v>V054</v>
          </cell>
          <cell r="B3226" t="str">
            <v>V S B ENTERPRISES</v>
          </cell>
        </row>
        <row r="3227">
          <cell r="A3227" t="str">
            <v>V055</v>
          </cell>
          <cell r="B3227" t="str">
            <v>V K CARRIERS</v>
          </cell>
        </row>
        <row r="3228">
          <cell r="A3228" t="str">
            <v>V056</v>
          </cell>
          <cell r="B3228" t="str">
            <v>V.K. CARRIERS</v>
          </cell>
        </row>
        <row r="3229">
          <cell r="A3229" t="str">
            <v>V057</v>
          </cell>
          <cell r="B3229" t="str">
            <v>VISHRAM LAL</v>
          </cell>
        </row>
        <row r="3230">
          <cell r="A3230" t="str">
            <v>V058</v>
          </cell>
          <cell r="B3230" t="str">
            <v>VEE PEE ASSOCIATES</v>
          </cell>
        </row>
        <row r="3231">
          <cell r="A3231" t="str">
            <v>V059</v>
          </cell>
          <cell r="B3231" t="str">
            <v>VED REXINE STORE</v>
          </cell>
        </row>
        <row r="3232">
          <cell r="A3232" t="str">
            <v>V060</v>
          </cell>
          <cell r="B3232" t="str">
            <v>VIRENDRA TAXI SERVICE</v>
          </cell>
        </row>
        <row r="3233">
          <cell r="A3233" t="str">
            <v>V061</v>
          </cell>
          <cell r="B3233" t="str">
            <v>VIJAY GRIT TRADERS</v>
          </cell>
        </row>
        <row r="3234">
          <cell r="A3234" t="str">
            <v>V062</v>
          </cell>
          <cell r="B3234" t="str">
            <v>VIM-TECH</v>
          </cell>
        </row>
        <row r="3235">
          <cell r="A3235" t="str">
            <v>V063</v>
          </cell>
          <cell r="B3235" t="str">
            <v>VISHAL CONTRACTOR</v>
          </cell>
        </row>
        <row r="3236">
          <cell r="A3236" t="str">
            <v>V064</v>
          </cell>
          <cell r="B3236" t="str">
            <v>V.K. KHANNA</v>
          </cell>
        </row>
        <row r="3237">
          <cell r="A3237" t="str">
            <v>V065</v>
          </cell>
          <cell r="B3237" t="str">
            <v>VOLGA LUBRICANT OIL COMPANY</v>
          </cell>
        </row>
        <row r="3238">
          <cell r="A3238" t="str">
            <v>V066</v>
          </cell>
          <cell r="B3238" t="str">
            <v>VAIBHAV ENTERPRISES</v>
          </cell>
        </row>
        <row r="3239">
          <cell r="A3239" t="str">
            <v>V067</v>
          </cell>
          <cell r="B3239" t="str">
            <v>VAM  ORGANIC CHEMICALS LTD.</v>
          </cell>
        </row>
        <row r="3240">
          <cell r="A3240" t="str">
            <v>V068</v>
          </cell>
          <cell r="B3240" t="str">
            <v>VIJAY ELECTRICAL</v>
          </cell>
        </row>
        <row r="3241">
          <cell r="A3241" t="str">
            <v>V069</v>
          </cell>
          <cell r="B3241" t="str">
            <v>VINITECH ELECTRONICS PVT. LTD.</v>
          </cell>
        </row>
        <row r="3242">
          <cell r="A3242" t="str">
            <v>V070</v>
          </cell>
          <cell r="B3242" t="str">
            <v>VIKAS SURI</v>
          </cell>
        </row>
        <row r="3243">
          <cell r="A3243" t="str">
            <v>V071</v>
          </cell>
          <cell r="B3243" t="str">
            <v>VIVEK CONTRACTS PVT. LTD.</v>
          </cell>
        </row>
        <row r="3244">
          <cell r="A3244" t="str">
            <v>V072</v>
          </cell>
          <cell r="B3244" t="str">
            <v>VISHAL ENGINEERING WORKS</v>
          </cell>
        </row>
        <row r="3245">
          <cell r="A3245" t="str">
            <v>V073</v>
          </cell>
          <cell r="B3245" t="str">
            <v>VARDHAMAN PLYWOOD INDUSTRIES (P) LTD.</v>
          </cell>
        </row>
        <row r="3246">
          <cell r="A3246" t="str">
            <v>V074</v>
          </cell>
          <cell r="B3246" t="str">
            <v>VYAPAR KENDRA SUSHANTLOK TAXI SERVICE</v>
          </cell>
        </row>
        <row r="3247">
          <cell r="A3247" t="str">
            <v>V075</v>
          </cell>
          <cell r="B3247" t="str">
            <v>VIKAS ENTERPRISES</v>
          </cell>
        </row>
        <row r="3248">
          <cell r="A3248" t="str">
            <v>V076</v>
          </cell>
          <cell r="B3248" t="str">
            <v>VAISHALI CONSTRUCTION</v>
          </cell>
        </row>
        <row r="3249">
          <cell r="A3249" t="str">
            <v>V077</v>
          </cell>
          <cell r="B3249" t="str">
            <v>VIJAY TYRE SALES</v>
          </cell>
        </row>
        <row r="3250">
          <cell r="A3250" t="str">
            <v>V078</v>
          </cell>
          <cell r="B3250" t="str">
            <v>VINTRON INDUSTRIES LTD.</v>
          </cell>
        </row>
        <row r="3251">
          <cell r="A3251" t="str">
            <v>V079</v>
          </cell>
          <cell r="B3251" t="str">
            <v>VARUN PIPE &amp; INDUSTRIES</v>
          </cell>
        </row>
        <row r="3252">
          <cell r="A3252" t="str">
            <v>V080</v>
          </cell>
          <cell r="B3252" t="str">
            <v>VENUS METAL INDUSTRIES</v>
          </cell>
        </row>
        <row r="3253">
          <cell r="A3253" t="str">
            <v>V081</v>
          </cell>
          <cell r="B3253" t="str">
            <v>V.K.DECOR</v>
          </cell>
        </row>
        <row r="3254">
          <cell r="A3254" t="str">
            <v>V082</v>
          </cell>
          <cell r="B3254" t="str">
            <v>VINOD KUMAR BUILDING MATERIAL CARRIER</v>
          </cell>
        </row>
        <row r="3255">
          <cell r="A3255" t="str">
            <v>V083</v>
          </cell>
          <cell r="B3255" t="str">
            <v>VINOD SHARMA</v>
          </cell>
        </row>
        <row r="3256">
          <cell r="A3256" t="str">
            <v>V084</v>
          </cell>
          <cell r="B3256" t="str">
            <v>VINESH GANDHI PHOTOGRAPHY</v>
          </cell>
        </row>
        <row r="3257">
          <cell r="A3257" t="str">
            <v>V085</v>
          </cell>
          <cell r="B3257" t="str">
            <v>VIBHA GRANITES (P) LTD.</v>
          </cell>
        </row>
        <row r="3258">
          <cell r="A3258" t="str">
            <v>V086</v>
          </cell>
          <cell r="B3258" t="str">
            <v>VINOD KUMAR YADAV</v>
          </cell>
        </row>
        <row r="3259">
          <cell r="A3259" t="str">
            <v>V087</v>
          </cell>
          <cell r="B3259" t="str">
            <v>VINOD TRANSPORT COMPANY</v>
          </cell>
        </row>
        <row r="3260">
          <cell r="A3260" t="str">
            <v>V088</v>
          </cell>
          <cell r="B3260" t="str">
            <v>VINOD JINDAL</v>
          </cell>
        </row>
        <row r="3261">
          <cell r="A3261" t="str">
            <v>V089</v>
          </cell>
          <cell r="B3261" t="str">
            <v>VESPA PAINT SALES</v>
          </cell>
        </row>
        <row r="3262">
          <cell r="A3262" t="str">
            <v>V090</v>
          </cell>
          <cell r="B3262" t="str">
            <v>VIJAY KUMAR KHANNA</v>
          </cell>
        </row>
        <row r="3263">
          <cell r="A3263" t="str">
            <v>V091</v>
          </cell>
          <cell r="B3263" t="str">
            <v>VIKING POWER PVT. LTD</v>
          </cell>
        </row>
        <row r="3264">
          <cell r="A3264" t="str">
            <v>V092</v>
          </cell>
          <cell r="B3264" t="str">
            <v>VIPPIN KUMAR</v>
          </cell>
        </row>
        <row r="3265">
          <cell r="A3265" t="str">
            <v>V093</v>
          </cell>
          <cell r="B3265" t="str">
            <v>VARDHMAN VENEERS (P) LTD.</v>
          </cell>
        </row>
        <row r="3266">
          <cell r="A3266" t="str">
            <v>V094</v>
          </cell>
          <cell r="B3266" t="str">
            <v>V K CONSTRUCTION (VIJAY KUMAR)</v>
          </cell>
        </row>
        <row r="3267">
          <cell r="A3267" t="str">
            <v>V095</v>
          </cell>
          <cell r="B3267" t="str">
            <v>VARDHMAN ENGINEERS</v>
          </cell>
        </row>
        <row r="3268">
          <cell r="A3268" t="str">
            <v>V096</v>
          </cell>
          <cell r="B3268" t="str">
            <v>VACATIONS AIR TRAVELS (P) LTD.</v>
          </cell>
        </row>
        <row r="3269">
          <cell r="A3269" t="str">
            <v>V097</v>
          </cell>
          <cell r="B3269" t="str">
            <v>VIJAY ANAND AND ASSOCIATE PRIVATE LTD.</v>
          </cell>
        </row>
        <row r="3270">
          <cell r="A3270" t="str">
            <v>V098</v>
          </cell>
          <cell r="B3270" t="str">
            <v>VEER SAIN JAIN &amp; CO.</v>
          </cell>
        </row>
        <row r="3271">
          <cell r="A3271" t="str">
            <v>V099</v>
          </cell>
          <cell r="B3271" t="str">
            <v>VIADIT ENGINEERS</v>
          </cell>
        </row>
        <row r="3272">
          <cell r="A3272" t="str">
            <v>V100</v>
          </cell>
          <cell r="B3272" t="str">
            <v>VIKING SERVICES PVT LTD</v>
          </cell>
        </row>
        <row r="3273">
          <cell r="A3273" t="str">
            <v>V101</v>
          </cell>
          <cell r="B3273" t="str">
            <v>VIPUL MOTORS LIMITED</v>
          </cell>
        </row>
        <row r="3274">
          <cell r="A3274" t="str">
            <v>V102</v>
          </cell>
          <cell r="B3274" t="str">
            <v>VIKAS MOTOR LTD.</v>
          </cell>
        </row>
        <row r="3275">
          <cell r="A3275" t="str">
            <v>V103</v>
          </cell>
          <cell r="B3275" t="str">
            <v>VEEKAY ELECTRICAL TRADERS</v>
          </cell>
        </row>
        <row r="3276">
          <cell r="A3276" t="str">
            <v>V104</v>
          </cell>
          <cell r="B3276" t="str">
            <v>VIBHA</v>
          </cell>
        </row>
        <row r="3277">
          <cell r="A3277" t="str">
            <v>V801</v>
          </cell>
          <cell r="B3277" t="str">
            <v>VINOD SOPORY</v>
          </cell>
        </row>
        <row r="3278">
          <cell r="A3278" t="str">
            <v>V802</v>
          </cell>
          <cell r="B3278" t="str">
            <v>VED PRAKASH GUPTA</v>
          </cell>
        </row>
        <row r="3279">
          <cell r="A3279" t="str">
            <v>V803</v>
          </cell>
          <cell r="B3279" t="str">
            <v>V CHITRA</v>
          </cell>
        </row>
        <row r="3280">
          <cell r="A3280" t="str">
            <v>V804</v>
          </cell>
          <cell r="B3280" t="str">
            <v>VIPIN SAWHNEY</v>
          </cell>
        </row>
        <row r="3281">
          <cell r="A3281" t="str">
            <v>V805</v>
          </cell>
          <cell r="B3281" t="str">
            <v>VED PRAKASH GUPTA</v>
          </cell>
        </row>
        <row r="3282">
          <cell r="A3282" t="str">
            <v>V806</v>
          </cell>
          <cell r="B3282" t="str">
            <v>V.PERIS</v>
          </cell>
        </row>
        <row r="3283">
          <cell r="A3283" t="str">
            <v>V807</v>
          </cell>
          <cell r="B3283" t="str">
            <v>VIJAY SINGH</v>
          </cell>
        </row>
        <row r="3284">
          <cell r="A3284" t="str">
            <v>V808</v>
          </cell>
          <cell r="B3284" t="str">
            <v>VISHNU SAHAI MATHUR</v>
          </cell>
        </row>
        <row r="3285">
          <cell r="A3285" t="str">
            <v>V809</v>
          </cell>
          <cell r="B3285" t="str">
            <v>VIPIN AGARWAL</v>
          </cell>
        </row>
        <row r="3286">
          <cell r="A3286" t="str">
            <v>V810</v>
          </cell>
          <cell r="B3286" t="str">
            <v>VINOD KAPILA</v>
          </cell>
        </row>
        <row r="3287">
          <cell r="A3287" t="str">
            <v>V811</v>
          </cell>
          <cell r="B3287" t="str">
            <v>VACHAN SINGH</v>
          </cell>
        </row>
        <row r="3288">
          <cell r="A3288" t="str">
            <v>V812</v>
          </cell>
          <cell r="B3288" t="str">
            <v>VINITA BIMBHET</v>
          </cell>
        </row>
        <row r="3289">
          <cell r="A3289" t="str">
            <v>V813</v>
          </cell>
          <cell r="B3289" t="str">
            <v>VAISALI STEEL TRADERS</v>
          </cell>
        </row>
        <row r="3290">
          <cell r="A3290" t="str">
            <v>W001</v>
          </cell>
          <cell r="B3290" t="str">
            <v>WATTSON ELECTRICALS</v>
          </cell>
        </row>
        <row r="3291">
          <cell r="A3291" t="str">
            <v>W002</v>
          </cell>
          <cell r="B3291" t="str">
            <v>WAKE ENTERPRISES</v>
          </cell>
        </row>
        <row r="3292">
          <cell r="A3292" t="str">
            <v>W003</v>
          </cell>
          <cell r="B3292" t="str">
            <v>WESTERN CONSTRUCTIONS</v>
          </cell>
        </row>
        <row r="3293">
          <cell r="A3293" t="str">
            <v>W004</v>
          </cell>
          <cell r="B3293" t="str">
            <v>WALI JAAN ANSARI(INOP.)</v>
          </cell>
        </row>
        <row r="3294">
          <cell r="A3294" t="str">
            <v>W005</v>
          </cell>
          <cell r="B3294" t="str">
            <v>WIPRO FINANCIAL SERVICE LTD.(INOP.)</v>
          </cell>
        </row>
        <row r="3295">
          <cell r="A3295" t="str">
            <v>W006</v>
          </cell>
          <cell r="B3295" t="str">
            <v>WORLD COMMERCIAL CORPORATION</v>
          </cell>
        </row>
        <row r="3296">
          <cell r="A3296" t="str">
            <v>W007</v>
          </cell>
          <cell r="B3296" t="str">
            <v>WATER SUPPLY SPECIALISTS PVT. LTD.</v>
          </cell>
        </row>
        <row r="3297">
          <cell r="A3297" t="str">
            <v>W008</v>
          </cell>
          <cell r="B3297" t="str">
            <v>WIPRO FINANCE LIMITED</v>
          </cell>
        </row>
        <row r="3298">
          <cell r="A3298" t="str">
            <v>W009</v>
          </cell>
          <cell r="B3298" t="str">
            <v>WIPRO LIGHTING</v>
          </cell>
        </row>
        <row r="3299">
          <cell r="A3299" t="str">
            <v>W010</v>
          </cell>
          <cell r="B3299" t="str">
            <v>WELLWORTH WIRE ROPES PVT. LTD.</v>
          </cell>
        </row>
        <row r="3300">
          <cell r="A3300" t="str">
            <v>W011</v>
          </cell>
          <cell r="B3300" t="str">
            <v>WOOD TECH</v>
          </cell>
        </row>
        <row r="3301">
          <cell r="A3301" t="str">
            <v>W012</v>
          </cell>
          <cell r="B3301" t="str">
            <v>WHEELS RENT-A-CAR</v>
          </cell>
        </row>
        <row r="3302">
          <cell r="A3302" t="str">
            <v>W013</v>
          </cell>
          <cell r="B3302" t="str">
            <v>WIG BROTHERS CONSTRUCTION PVT. LTD.</v>
          </cell>
        </row>
        <row r="3303">
          <cell r="A3303" t="str">
            <v>W014</v>
          </cell>
          <cell r="B3303" t="str">
            <v>WATCON WATER SPECIALISTS PVT. LTD.</v>
          </cell>
        </row>
        <row r="3304">
          <cell r="A3304" t="str">
            <v>W015</v>
          </cell>
          <cell r="B3304" t="str">
            <v>WINDOEZ INDIA (P) LTD.</v>
          </cell>
        </row>
        <row r="3305">
          <cell r="A3305" t="str">
            <v>W016</v>
          </cell>
          <cell r="B3305" t="str">
            <v>WINDORZ INDIA (P) LTD.</v>
          </cell>
        </row>
        <row r="3306">
          <cell r="A3306" t="str">
            <v>W017</v>
          </cell>
          <cell r="B3306" t="str">
            <v>VISHWAKARMA SHILP KARYALAY</v>
          </cell>
        </row>
        <row r="3307">
          <cell r="A3307" t="str">
            <v>W018</v>
          </cell>
          <cell r="B3307" t="str">
            <v>WINNER CONSTRUCTION PVT.LIMITED</v>
          </cell>
        </row>
        <row r="3308">
          <cell r="A3308" t="str">
            <v>W019</v>
          </cell>
          <cell r="B3308" t="str">
            <v>WALKER CHANDIAK &amp; CO.</v>
          </cell>
        </row>
        <row r="3309">
          <cell r="A3309" t="str">
            <v>W020</v>
          </cell>
          <cell r="B3309" t="str">
            <v>WAZIRCHAND MALIK &amp; COMPANY</v>
          </cell>
        </row>
        <row r="3310">
          <cell r="A3310" t="str">
            <v>Y001</v>
          </cell>
          <cell r="B3310" t="str">
            <v>YADAV GOODS CARRIER</v>
          </cell>
        </row>
        <row r="3311">
          <cell r="A3311" t="str">
            <v>Y002</v>
          </cell>
          <cell r="B3311" t="str">
            <v>YADAV BUILDING MATERIAL SUPPLIER</v>
          </cell>
        </row>
        <row r="3312">
          <cell r="A3312" t="str">
            <v>Y003</v>
          </cell>
          <cell r="B3312" t="str">
            <v>YASH PAL SINGH</v>
          </cell>
        </row>
        <row r="3313">
          <cell r="A3313" t="str">
            <v>Y004</v>
          </cell>
          <cell r="B3313" t="str">
            <v>YUDHVIR SINGH(INOP.)</v>
          </cell>
        </row>
        <row r="3314">
          <cell r="A3314" t="str">
            <v>Y005</v>
          </cell>
          <cell r="B3314" t="str">
            <v>YASH SHARMA</v>
          </cell>
        </row>
        <row r="3315">
          <cell r="A3315" t="str">
            <v>Y006</v>
          </cell>
          <cell r="B3315" t="str">
            <v>YADAV ENTERPRISES</v>
          </cell>
        </row>
        <row r="3316">
          <cell r="A3316" t="str">
            <v>Y007</v>
          </cell>
          <cell r="B3316" t="str">
            <v>Y K CONSTRUCTION</v>
          </cell>
        </row>
        <row r="3317">
          <cell r="A3317" t="str">
            <v>Y008</v>
          </cell>
          <cell r="B3317" t="str">
            <v>YADAV TAILORS</v>
          </cell>
        </row>
        <row r="3318">
          <cell r="A3318" t="str">
            <v>Y009</v>
          </cell>
          <cell r="B3318" t="str">
            <v>YOGE ENGG. CO.(INOP.)</v>
          </cell>
        </row>
        <row r="3319">
          <cell r="A3319" t="str">
            <v>Y010</v>
          </cell>
          <cell r="B3319" t="str">
            <v>YADAV BROSS</v>
          </cell>
        </row>
        <row r="3320">
          <cell r="A3320" t="str">
            <v>Y011</v>
          </cell>
          <cell r="B3320" t="str">
            <v>YADAV BUILDING MATERIAL SUPPLIERS</v>
          </cell>
        </row>
        <row r="3321">
          <cell r="A3321" t="str">
            <v>Y012</v>
          </cell>
          <cell r="B3321" t="str">
            <v>YADAV CARRIER</v>
          </cell>
        </row>
        <row r="3322">
          <cell r="A3322" t="str">
            <v>Y013</v>
          </cell>
          <cell r="B3322" t="str">
            <v>YADAV GAS AGENCY</v>
          </cell>
        </row>
        <row r="3323">
          <cell r="A3323" t="str">
            <v>Y014</v>
          </cell>
          <cell r="B3323" t="str">
            <v>YASHPAL ELECTRONICS PVT.LTD.</v>
          </cell>
        </row>
        <row r="3324">
          <cell r="A3324" t="str">
            <v>Y801</v>
          </cell>
          <cell r="B3324" t="str">
            <v>YASH SHARMA</v>
          </cell>
        </row>
        <row r="3325">
          <cell r="A3325" t="str">
            <v>Y802</v>
          </cell>
          <cell r="B3325" t="str">
            <v>Y.K.KAPOOR</v>
          </cell>
        </row>
        <row r="3326">
          <cell r="A3326" t="str">
            <v>Y901</v>
          </cell>
          <cell r="B3326" t="str">
            <v>YADEVENDAR SHARMA(INOP.)</v>
          </cell>
        </row>
        <row r="3327">
          <cell r="A3327" t="str">
            <v>Z001</v>
          </cell>
          <cell r="B3327" t="str">
            <v>DUMMY</v>
          </cell>
        </row>
        <row r="3328">
          <cell r="A3328" t="str">
            <v>Z002</v>
          </cell>
          <cell r="B3328" t="str">
            <v>MISC.</v>
          </cell>
        </row>
        <row r="3329">
          <cell r="A3329" t="str">
            <v>Z003</v>
          </cell>
          <cell r="B3329" t="str">
            <v>ZENITH INDUSTRIES</v>
          </cell>
        </row>
        <row r="3330">
          <cell r="A3330" t="str">
            <v>Z004</v>
          </cell>
          <cell r="B3330" t="str">
            <v>ZAKIR HUSAIN</v>
          </cell>
        </row>
        <row r="3331">
          <cell r="A3331" t="str">
            <v>Z005</v>
          </cell>
          <cell r="B3331" t="str">
            <v>Z. TECH (INDIA) PVT. LTD.</v>
          </cell>
        </row>
        <row r="3332">
          <cell r="A3332" t="str">
            <v>Z006</v>
          </cell>
          <cell r="B3332" t="str">
            <v>ZAJAC PERFORMANCE SEEDS INC.</v>
          </cell>
        </row>
        <row r="3333">
          <cell r="A3333" t="str">
            <v>Z999</v>
          </cell>
          <cell r="B3333" t="str">
            <v>DUMMY PARTY CODE</v>
          </cell>
        </row>
      </sheetData>
      <sheetData sheetId="16"/>
      <sheetData sheetId="17"/>
      <sheetData sheetId="18"/>
      <sheetData sheetId="19"/>
      <sheetData sheetId="20"/>
      <sheetData sheetId="21"/>
      <sheetData sheetId="22"/>
      <sheetData sheetId="23"/>
      <sheetData sheetId="2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SUMMARY"/>
      <sheetName val="Summary - Shell  &amp; Core"/>
      <sheetName val="BOQ-Shell &amp; Core works"/>
      <sheetName val="Summary - Waterproofing work "/>
      <sheetName val="BoQ - Waterproofing work"/>
      <sheetName val="Alternate Offer - AANC "/>
      <sheetName val="Summary - Finishing work"/>
      <sheetName val="BoQ - Finishing Work"/>
      <sheetName val="Summary - Hardscape Work"/>
      <sheetName val="BoQ - Hardscape"/>
      <sheetName val="SUMMARY BOQ-Electrical"/>
      <sheetName val="BOQ - Electrical"/>
      <sheetName val="Summary -Plumbing works "/>
      <sheetName val="BoQ -Plumbing work"/>
      <sheetName val="Summary -Fire fighting works"/>
      <sheetName val="BoQ- Fire Fighting work"/>
      <sheetName val="Summary-HVAC works"/>
      <sheetName val="BoQ-HVAC works"/>
      <sheetName val="Summary- FAPA works "/>
      <sheetName val="BoQ- FAPA work"/>
      <sheetName val="VAT Set off"/>
      <sheetName val="Sheet3"/>
      <sheetName val="Addendum-3 Tender-Complete"/>
      <sheetName val="Meas.-Hotel Part"/>
      <sheetName val="Cat A Change Control"/>
      <sheetName val="VCH-SLC"/>
      <sheetName val="Suppli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Bill1"/>
      <sheetName val="Bill2"/>
      <sheetName val="Bill2 (With Fly Ash)"/>
      <sheetName val="Bill3"/>
      <sheetName val="Bill4"/>
      <sheetName val="Bill5&amp;6"/>
      <sheetName val="Bill7"/>
      <sheetName val="Bill8"/>
      <sheetName val="Bill 9"/>
      <sheetName val="Bill 10"/>
      <sheetName val="Bill 13"/>
      <sheetName val="Table 1"/>
      <sheetName val="Table 2"/>
      <sheetName val="Table 3"/>
      <sheetName val="Table 4"/>
      <sheetName val="Table 5"/>
      <sheetName val="Table 6"/>
      <sheetName val="Table 7"/>
      <sheetName val="Table 8"/>
      <sheetName val="Table 9"/>
      <sheetName val="Table 10"/>
      <sheetName val="Table 11"/>
      <sheetName val="Table 12"/>
      <sheetName val="Table 13"/>
      <sheetName val="Table 14"/>
      <sheetName val="Table 15"/>
      <sheetName val="Table 16"/>
      <sheetName val="Table 17"/>
      <sheetName val="Table 18"/>
      <sheetName val="Table 19"/>
      <sheetName val="Table 20"/>
      <sheetName val="Table 21"/>
      <sheetName val="Table 22"/>
      <sheetName val="Table 23"/>
      <sheetName val="Table 24"/>
      <sheetName val="Table 25"/>
      <sheetName val="Table 26"/>
      <sheetName val="Table 27"/>
      <sheetName val="Table 28"/>
      <sheetName val="Table 29"/>
      <sheetName val="Table 25 superseded"/>
      <sheetName val="Levl Diff"/>
      <sheetName val="EW 153-160"/>
      <sheetName val="EW 160-175"/>
      <sheetName val="Cat A Change Contro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7">
          <cell r="A7">
            <v>153000</v>
          </cell>
          <cell r="B7">
            <v>154000</v>
          </cell>
          <cell r="C7">
            <v>1000</v>
          </cell>
          <cell r="D7" t="str">
            <v>VII</v>
          </cell>
        </row>
        <row r="8">
          <cell r="A8">
            <v>154000</v>
          </cell>
          <cell r="B8">
            <v>155875</v>
          </cell>
          <cell r="C8">
            <v>1875</v>
          </cell>
          <cell r="D8" t="str">
            <v>I</v>
          </cell>
        </row>
        <row r="9">
          <cell r="A9">
            <v>155875</v>
          </cell>
          <cell r="B9">
            <v>156175</v>
          </cell>
          <cell r="C9">
            <v>300</v>
          </cell>
          <cell r="D9" t="str">
            <v>I</v>
          </cell>
        </row>
        <row r="10">
          <cell r="A10">
            <v>156175</v>
          </cell>
          <cell r="B10">
            <v>160300</v>
          </cell>
          <cell r="C10">
            <v>4125</v>
          </cell>
          <cell r="D10" t="str">
            <v>I</v>
          </cell>
        </row>
        <row r="11">
          <cell r="A11">
            <v>160300</v>
          </cell>
          <cell r="B11">
            <v>160600</v>
          </cell>
          <cell r="C11">
            <v>300</v>
          </cell>
          <cell r="D11" t="str">
            <v>V A</v>
          </cell>
        </row>
        <row r="12">
          <cell r="A12">
            <v>160600</v>
          </cell>
          <cell r="B12">
            <v>162300</v>
          </cell>
          <cell r="C12">
            <v>1700</v>
          </cell>
          <cell r="D12" t="str">
            <v>I</v>
          </cell>
        </row>
        <row r="13">
          <cell r="A13">
            <v>162300</v>
          </cell>
          <cell r="B13">
            <v>162400</v>
          </cell>
          <cell r="C13">
            <v>100</v>
          </cell>
          <cell r="D13" t="str">
            <v>V A</v>
          </cell>
        </row>
        <row r="14">
          <cell r="A14">
            <v>162400</v>
          </cell>
          <cell r="B14">
            <v>162600</v>
          </cell>
          <cell r="C14">
            <v>200</v>
          </cell>
          <cell r="D14" t="str">
            <v>VI</v>
          </cell>
        </row>
        <row r="15">
          <cell r="A15">
            <v>162600</v>
          </cell>
          <cell r="B15">
            <v>165300</v>
          </cell>
          <cell r="C15">
            <v>2700</v>
          </cell>
          <cell r="D15" t="str">
            <v>I</v>
          </cell>
        </row>
        <row r="16">
          <cell r="A16">
            <v>165300</v>
          </cell>
          <cell r="B16">
            <v>165700</v>
          </cell>
          <cell r="C16">
            <v>400</v>
          </cell>
          <cell r="D16" t="str">
            <v>V A</v>
          </cell>
        </row>
        <row r="17">
          <cell r="A17">
            <v>165700</v>
          </cell>
          <cell r="B17">
            <v>166000</v>
          </cell>
          <cell r="C17">
            <v>300</v>
          </cell>
          <cell r="D17" t="str">
            <v>I</v>
          </cell>
        </row>
        <row r="18">
          <cell r="A18">
            <v>166000</v>
          </cell>
          <cell r="B18">
            <v>166225</v>
          </cell>
          <cell r="C18">
            <v>225</v>
          </cell>
          <cell r="D18" t="str">
            <v>V A</v>
          </cell>
        </row>
        <row r="19">
          <cell r="A19">
            <v>166225</v>
          </cell>
          <cell r="B19">
            <v>166400</v>
          </cell>
          <cell r="C19">
            <v>175</v>
          </cell>
          <cell r="D19" t="str">
            <v>VI</v>
          </cell>
        </row>
        <row r="20">
          <cell r="A20">
            <v>166400</v>
          </cell>
          <cell r="B20">
            <v>169200</v>
          </cell>
          <cell r="C20">
            <v>2800</v>
          </cell>
          <cell r="D20" t="str">
            <v>I</v>
          </cell>
        </row>
        <row r="21">
          <cell r="A21">
            <v>169200</v>
          </cell>
          <cell r="B21">
            <v>169700</v>
          </cell>
          <cell r="C21">
            <v>500</v>
          </cell>
          <cell r="D21" t="str">
            <v>VII</v>
          </cell>
        </row>
        <row r="22">
          <cell r="A22">
            <v>169700</v>
          </cell>
          <cell r="B22">
            <v>173100</v>
          </cell>
          <cell r="C22">
            <v>3400</v>
          </cell>
          <cell r="D22" t="str">
            <v>I</v>
          </cell>
        </row>
        <row r="23">
          <cell r="A23">
            <v>173100</v>
          </cell>
          <cell r="B23">
            <v>173500</v>
          </cell>
          <cell r="C23">
            <v>400</v>
          </cell>
          <cell r="D23" t="str">
            <v>IV</v>
          </cell>
        </row>
        <row r="24">
          <cell r="A24">
            <v>173500</v>
          </cell>
          <cell r="B24">
            <v>174400</v>
          </cell>
          <cell r="C24">
            <v>900</v>
          </cell>
          <cell r="D24" t="str">
            <v>V B</v>
          </cell>
        </row>
        <row r="25">
          <cell r="A25">
            <v>174400</v>
          </cell>
          <cell r="B25">
            <v>175000</v>
          </cell>
          <cell r="C25">
            <v>600</v>
          </cell>
          <cell r="D25" t="str">
            <v>III</v>
          </cell>
        </row>
      </sheetData>
      <sheetData sheetId="14"/>
      <sheetData sheetId="15">
        <row r="9">
          <cell r="A9" t="str">
            <v>I</v>
          </cell>
          <cell r="B9">
            <v>8.75</v>
          </cell>
          <cell r="C9">
            <v>8.86</v>
          </cell>
          <cell r="D9">
            <v>9.11</v>
          </cell>
          <cell r="E9">
            <v>11.184999999999999</v>
          </cell>
          <cell r="F9">
            <v>13.719999999999999</v>
          </cell>
          <cell r="G9">
            <v>1.0086000000000002</v>
          </cell>
          <cell r="H9">
            <v>3.4819499999999999</v>
          </cell>
        </row>
        <row r="10">
          <cell r="A10" t="str">
            <v>II</v>
          </cell>
          <cell r="B10">
            <v>0</v>
          </cell>
          <cell r="C10">
            <v>0</v>
          </cell>
          <cell r="D10">
            <v>0</v>
          </cell>
          <cell r="E10">
            <v>0</v>
          </cell>
          <cell r="F10">
            <v>0</v>
          </cell>
          <cell r="G10">
            <v>0</v>
          </cell>
          <cell r="H10">
            <v>0</v>
          </cell>
        </row>
        <row r="11">
          <cell r="A11" t="str">
            <v>III</v>
          </cell>
          <cell r="B11">
            <v>8.75</v>
          </cell>
          <cell r="C11">
            <v>8.86</v>
          </cell>
          <cell r="D11">
            <v>9.11</v>
          </cell>
          <cell r="E11">
            <v>14.174999999999999</v>
          </cell>
          <cell r="F11">
            <v>16.36</v>
          </cell>
          <cell r="G11">
            <v>3.7105000000000006</v>
          </cell>
          <cell r="H11">
            <v>3.4819499999999999</v>
          </cell>
        </row>
        <row r="12">
          <cell r="A12" t="str">
            <v>IV</v>
          </cell>
          <cell r="B12">
            <v>8.75</v>
          </cell>
          <cell r="C12">
            <v>8.86</v>
          </cell>
          <cell r="D12">
            <v>9.11</v>
          </cell>
          <cell r="E12">
            <v>11.184999999999999</v>
          </cell>
          <cell r="F12">
            <v>17.22</v>
          </cell>
          <cell r="G12">
            <v>1.0086000000000002</v>
          </cell>
          <cell r="H12">
            <v>9.3269500000000001</v>
          </cell>
        </row>
        <row r="13">
          <cell r="A13" t="str">
            <v>V A</v>
          </cell>
          <cell r="B13">
            <v>17.5</v>
          </cell>
          <cell r="C13">
            <v>17.72</v>
          </cell>
          <cell r="D13">
            <v>18.22</v>
          </cell>
          <cell r="E13">
            <v>22.369999999999997</v>
          </cell>
          <cell r="F13">
            <v>27.44</v>
          </cell>
          <cell r="G13">
            <v>1.0086000000000002</v>
          </cell>
          <cell r="H13">
            <v>3.4819499999999999</v>
          </cell>
        </row>
        <row r="14">
          <cell r="A14" t="str">
            <v>V B</v>
          </cell>
          <cell r="B14">
            <v>17.5</v>
          </cell>
          <cell r="C14">
            <v>17.72</v>
          </cell>
          <cell r="D14">
            <v>18.22</v>
          </cell>
          <cell r="E14">
            <v>22.369999999999997</v>
          </cell>
          <cell r="F14">
            <v>27.44</v>
          </cell>
          <cell r="G14">
            <v>1.0086000000000002</v>
          </cell>
          <cell r="H14">
            <v>9.3269500000000001</v>
          </cell>
        </row>
        <row r="15">
          <cell r="A15" t="str">
            <v>VI</v>
          </cell>
          <cell r="B15">
            <v>17.5</v>
          </cell>
          <cell r="C15">
            <v>17.72</v>
          </cell>
          <cell r="D15">
            <v>18.22</v>
          </cell>
          <cell r="E15">
            <v>20.329999999999998</v>
          </cell>
          <cell r="F15">
            <v>24</v>
          </cell>
          <cell r="G15">
            <v>0.67240000000000011</v>
          </cell>
          <cell r="H15">
            <v>3.4819499999999999</v>
          </cell>
        </row>
        <row r="16">
          <cell r="A16" t="str">
            <v>VII</v>
          </cell>
          <cell r="B16">
            <v>17.5</v>
          </cell>
          <cell r="C16">
            <v>17.72</v>
          </cell>
          <cell r="D16">
            <v>18.22</v>
          </cell>
          <cell r="E16">
            <v>22.369999999999997</v>
          </cell>
          <cell r="F16">
            <v>27.44</v>
          </cell>
          <cell r="G16">
            <v>1.0086000000000002</v>
          </cell>
          <cell r="H16">
            <v>3.4819499999999999</v>
          </cell>
        </row>
        <row r="17">
          <cell r="A17" t="str">
            <v>VIII A</v>
          </cell>
          <cell r="B17">
            <v>0</v>
          </cell>
          <cell r="C17">
            <v>0</v>
          </cell>
          <cell r="D17">
            <v>0</v>
          </cell>
          <cell r="E17">
            <v>0</v>
          </cell>
          <cell r="F17">
            <v>0</v>
          </cell>
          <cell r="G17">
            <v>0</v>
          </cell>
          <cell r="H17">
            <v>0</v>
          </cell>
        </row>
        <row r="18">
          <cell r="A18" t="str">
            <v>VIII B</v>
          </cell>
          <cell r="B18">
            <v>0</v>
          </cell>
          <cell r="C18">
            <v>0</v>
          </cell>
          <cell r="D18">
            <v>0</v>
          </cell>
          <cell r="E18">
            <v>0</v>
          </cell>
          <cell r="F18">
            <v>0</v>
          </cell>
          <cell r="G18">
            <v>0</v>
          </cell>
          <cell r="H18">
            <v>0</v>
          </cell>
        </row>
        <row r="24">
          <cell r="A24" t="str">
            <v>I</v>
          </cell>
          <cell r="B24">
            <v>1.5</v>
          </cell>
          <cell r="C24">
            <v>1.65</v>
          </cell>
          <cell r="D24">
            <v>1.9</v>
          </cell>
          <cell r="E24">
            <v>3.73</v>
          </cell>
          <cell r="F24">
            <v>4.5600000000000005</v>
          </cell>
          <cell r="I24">
            <v>20.28</v>
          </cell>
        </row>
        <row r="25">
          <cell r="A25" t="str">
            <v>II</v>
          </cell>
          <cell r="B25">
            <v>0</v>
          </cell>
          <cell r="C25">
            <v>0</v>
          </cell>
          <cell r="D25">
            <v>0</v>
          </cell>
          <cell r="E25">
            <v>0</v>
          </cell>
          <cell r="F25">
            <v>0</v>
          </cell>
          <cell r="I25">
            <v>0</v>
          </cell>
        </row>
        <row r="26">
          <cell r="A26" t="str">
            <v>III</v>
          </cell>
          <cell r="B26">
            <v>1.5</v>
          </cell>
          <cell r="C26">
            <v>1.65</v>
          </cell>
          <cell r="D26">
            <v>1.9</v>
          </cell>
          <cell r="E26">
            <v>6.6150000000000002</v>
          </cell>
          <cell r="F26">
            <v>7.03</v>
          </cell>
          <cell r="I26">
            <v>25.39</v>
          </cell>
        </row>
        <row r="27">
          <cell r="A27" t="str">
            <v>IV</v>
          </cell>
          <cell r="B27">
            <v>1.5</v>
          </cell>
          <cell r="C27">
            <v>1.65</v>
          </cell>
          <cell r="D27">
            <v>1.9</v>
          </cell>
          <cell r="E27">
            <v>3.73</v>
          </cell>
          <cell r="F27">
            <v>4.5600000000000005</v>
          </cell>
          <cell r="I27">
            <v>23.78</v>
          </cell>
        </row>
        <row r="28">
          <cell r="A28" t="str">
            <v>V A</v>
          </cell>
          <cell r="B28">
            <v>0</v>
          </cell>
          <cell r="C28">
            <v>0</v>
          </cell>
          <cell r="D28">
            <v>0</v>
          </cell>
          <cell r="E28">
            <v>0</v>
          </cell>
          <cell r="F28">
            <v>0</v>
          </cell>
          <cell r="I28">
            <v>29.44</v>
          </cell>
        </row>
        <row r="29">
          <cell r="A29" t="str">
            <v>V B</v>
          </cell>
          <cell r="B29">
            <v>0</v>
          </cell>
          <cell r="C29">
            <v>0</v>
          </cell>
          <cell r="D29">
            <v>0</v>
          </cell>
          <cell r="E29">
            <v>0</v>
          </cell>
          <cell r="F29">
            <v>0</v>
          </cell>
          <cell r="I29">
            <v>29.44</v>
          </cell>
        </row>
        <row r="30">
          <cell r="A30" t="str">
            <v>VI</v>
          </cell>
          <cell r="B30">
            <v>0</v>
          </cell>
          <cell r="C30">
            <v>0</v>
          </cell>
          <cell r="D30">
            <v>0</v>
          </cell>
          <cell r="E30">
            <v>0</v>
          </cell>
          <cell r="F30">
            <v>0</v>
          </cell>
          <cell r="I30">
            <v>26</v>
          </cell>
        </row>
        <row r="31">
          <cell r="A31" t="str">
            <v>VII</v>
          </cell>
          <cell r="B31">
            <v>0</v>
          </cell>
          <cell r="C31">
            <v>0</v>
          </cell>
          <cell r="D31">
            <v>0</v>
          </cell>
          <cell r="E31">
            <v>0</v>
          </cell>
          <cell r="F31">
            <v>0</v>
          </cell>
          <cell r="I31">
            <v>29.44</v>
          </cell>
        </row>
        <row r="32">
          <cell r="A32" t="str">
            <v>VIII A</v>
          </cell>
          <cell r="B32">
            <v>0</v>
          </cell>
          <cell r="C32">
            <v>0</v>
          </cell>
          <cell r="D32">
            <v>0</v>
          </cell>
          <cell r="E32">
            <v>0</v>
          </cell>
          <cell r="F32">
            <v>0</v>
          </cell>
          <cell r="I32">
            <v>0</v>
          </cell>
        </row>
        <row r="33">
          <cell r="A33" t="str">
            <v>VIII B</v>
          </cell>
          <cell r="B33">
            <v>0</v>
          </cell>
          <cell r="C33">
            <v>0</v>
          </cell>
          <cell r="D33">
            <v>0</v>
          </cell>
          <cell r="E33">
            <v>0</v>
          </cell>
          <cell r="F33">
            <v>0</v>
          </cell>
          <cell r="I33">
            <v>0</v>
          </cell>
        </row>
        <row r="39">
          <cell r="A39" t="str">
            <v>I</v>
          </cell>
          <cell r="B39">
            <v>7.25</v>
          </cell>
          <cell r="C39">
            <v>7.25</v>
          </cell>
        </row>
        <row r="40">
          <cell r="A40" t="str">
            <v>II</v>
          </cell>
          <cell r="B40">
            <v>0</v>
          </cell>
          <cell r="C40">
            <v>0</v>
          </cell>
        </row>
        <row r="41">
          <cell r="A41" t="str">
            <v>III</v>
          </cell>
          <cell r="B41">
            <v>7.25</v>
          </cell>
          <cell r="C41">
            <v>7.25</v>
          </cell>
        </row>
        <row r="42">
          <cell r="A42" t="str">
            <v>IV</v>
          </cell>
          <cell r="B42">
            <v>7.25</v>
          </cell>
          <cell r="C42">
            <v>7.25</v>
          </cell>
        </row>
        <row r="43">
          <cell r="A43" t="str">
            <v>V A</v>
          </cell>
          <cell r="B43">
            <v>0</v>
          </cell>
          <cell r="C43">
            <v>0</v>
          </cell>
        </row>
        <row r="44">
          <cell r="A44" t="str">
            <v>V B</v>
          </cell>
          <cell r="B44">
            <v>0</v>
          </cell>
          <cell r="C44">
            <v>0</v>
          </cell>
        </row>
        <row r="45">
          <cell r="A45" t="str">
            <v>VI</v>
          </cell>
          <cell r="B45">
            <v>0</v>
          </cell>
          <cell r="C45">
            <v>0</v>
          </cell>
        </row>
        <row r="46">
          <cell r="A46" t="str">
            <v>VII</v>
          </cell>
          <cell r="B46">
            <v>0</v>
          </cell>
          <cell r="C46">
            <v>0</v>
          </cell>
        </row>
        <row r="47">
          <cell r="A47" t="str">
            <v>VIII A</v>
          </cell>
          <cell r="B47">
            <v>0</v>
          </cell>
          <cell r="C47">
            <v>0</v>
          </cell>
        </row>
        <row r="48">
          <cell r="A48" t="str">
            <v>VIII B</v>
          </cell>
          <cell r="B48">
            <v>0</v>
          </cell>
          <cell r="C48">
            <v>0</v>
          </cell>
        </row>
      </sheetData>
      <sheetData sheetId="16">
        <row r="7">
          <cell r="A7" t="str">
            <v>I</v>
          </cell>
          <cell r="B7">
            <v>0</v>
          </cell>
          <cell r="C7">
            <v>0</v>
          </cell>
          <cell r="D7">
            <v>0</v>
          </cell>
          <cell r="E7">
            <v>0</v>
          </cell>
          <cell r="F7">
            <v>0</v>
          </cell>
          <cell r="G7">
            <v>0</v>
          </cell>
          <cell r="H7">
            <v>0</v>
          </cell>
          <cell r="I7">
            <v>0</v>
          </cell>
        </row>
        <row r="8">
          <cell r="A8" t="str">
            <v>II</v>
          </cell>
          <cell r="B8">
            <v>0</v>
          </cell>
          <cell r="C8">
            <v>0</v>
          </cell>
          <cell r="D8">
            <v>0</v>
          </cell>
          <cell r="E8">
            <v>0</v>
          </cell>
          <cell r="F8">
            <v>0</v>
          </cell>
          <cell r="G8">
            <v>0</v>
          </cell>
          <cell r="H8">
            <v>0</v>
          </cell>
          <cell r="I8">
            <v>0</v>
          </cell>
        </row>
        <row r="9">
          <cell r="A9" t="str">
            <v>III</v>
          </cell>
          <cell r="B9">
            <v>14</v>
          </cell>
          <cell r="C9">
            <v>14.15</v>
          </cell>
          <cell r="D9">
            <v>14</v>
          </cell>
          <cell r="E9">
            <v>14.15</v>
          </cell>
          <cell r="F9">
            <v>14.65</v>
          </cell>
          <cell r="G9">
            <v>19.850000000000001</v>
          </cell>
          <cell r="H9">
            <v>20.5</v>
          </cell>
          <cell r="I9">
            <v>1.7587499999999996</v>
          </cell>
        </row>
        <row r="10">
          <cell r="A10" t="str">
            <v>IV</v>
          </cell>
          <cell r="B10">
            <v>0</v>
          </cell>
          <cell r="C10">
            <v>0</v>
          </cell>
          <cell r="D10">
            <v>0</v>
          </cell>
          <cell r="E10">
            <v>0</v>
          </cell>
          <cell r="F10">
            <v>0</v>
          </cell>
          <cell r="G10">
            <v>0</v>
          </cell>
          <cell r="H10">
            <v>0</v>
          </cell>
          <cell r="I10">
            <v>0</v>
          </cell>
        </row>
        <row r="11">
          <cell r="A11" t="str">
            <v>V A</v>
          </cell>
          <cell r="B11">
            <v>0</v>
          </cell>
          <cell r="C11">
            <v>0</v>
          </cell>
          <cell r="D11">
            <v>0</v>
          </cell>
          <cell r="E11">
            <v>0</v>
          </cell>
          <cell r="F11">
            <v>0</v>
          </cell>
          <cell r="G11">
            <v>0</v>
          </cell>
          <cell r="H11">
            <v>0</v>
          </cell>
          <cell r="I11">
            <v>0</v>
          </cell>
        </row>
        <row r="12">
          <cell r="A12" t="str">
            <v>V B</v>
          </cell>
          <cell r="B12">
            <v>0</v>
          </cell>
          <cell r="C12">
            <v>0</v>
          </cell>
          <cell r="D12">
            <v>0</v>
          </cell>
          <cell r="E12">
            <v>0</v>
          </cell>
          <cell r="F12">
            <v>0</v>
          </cell>
          <cell r="G12">
            <v>0</v>
          </cell>
          <cell r="H12">
            <v>0</v>
          </cell>
          <cell r="I12">
            <v>0</v>
          </cell>
        </row>
        <row r="13">
          <cell r="A13" t="str">
            <v>VI</v>
          </cell>
          <cell r="B13">
            <v>0</v>
          </cell>
          <cell r="C13">
            <v>0</v>
          </cell>
          <cell r="D13">
            <v>0</v>
          </cell>
          <cell r="E13">
            <v>0</v>
          </cell>
          <cell r="F13">
            <v>0</v>
          </cell>
          <cell r="G13">
            <v>0</v>
          </cell>
          <cell r="H13">
            <v>0</v>
          </cell>
          <cell r="I13">
            <v>0</v>
          </cell>
        </row>
        <row r="14">
          <cell r="A14" t="str">
            <v>VII</v>
          </cell>
          <cell r="B14">
            <v>14</v>
          </cell>
          <cell r="C14">
            <v>14</v>
          </cell>
          <cell r="D14">
            <v>14</v>
          </cell>
          <cell r="E14">
            <v>14</v>
          </cell>
          <cell r="F14">
            <v>14</v>
          </cell>
          <cell r="G14">
            <v>15</v>
          </cell>
          <cell r="H14">
            <v>15</v>
          </cell>
          <cell r="I14">
            <v>0.1295</v>
          </cell>
        </row>
        <row r="15">
          <cell r="A15" t="str">
            <v>VIII A</v>
          </cell>
          <cell r="B15">
            <v>0</v>
          </cell>
          <cell r="C15">
            <v>0</v>
          </cell>
          <cell r="D15">
            <v>0</v>
          </cell>
          <cell r="E15">
            <v>0</v>
          </cell>
          <cell r="F15">
            <v>0</v>
          </cell>
          <cell r="G15">
            <v>0</v>
          </cell>
          <cell r="H15">
            <v>0</v>
          </cell>
          <cell r="I15">
            <v>0</v>
          </cell>
        </row>
        <row r="16">
          <cell r="A16" t="str">
            <v>VIII B</v>
          </cell>
          <cell r="B16">
            <v>0</v>
          </cell>
          <cell r="C16">
            <v>0</v>
          </cell>
          <cell r="D16">
            <v>0</v>
          </cell>
          <cell r="E16">
            <v>0</v>
          </cell>
          <cell r="F16">
            <v>0</v>
          </cell>
          <cell r="G16">
            <v>0</v>
          </cell>
          <cell r="H16">
            <v>0</v>
          </cell>
          <cell r="I16">
            <v>0</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ow r="7">
          <cell r="A7">
            <v>2</v>
          </cell>
          <cell r="B7">
            <v>2</v>
          </cell>
          <cell r="C7">
            <v>1.6</v>
          </cell>
          <cell r="D7">
            <v>0.5</v>
          </cell>
          <cell r="E7">
            <v>0.3</v>
          </cell>
          <cell r="F7">
            <v>0.3</v>
          </cell>
          <cell r="G7">
            <v>30</v>
          </cell>
          <cell r="I7">
            <v>0.6</v>
          </cell>
          <cell r="J7">
            <v>0.17000000000000004</v>
          </cell>
          <cell r="K7">
            <v>1.59</v>
          </cell>
          <cell r="L7">
            <v>7.2</v>
          </cell>
          <cell r="M7">
            <v>8.7495334994499778</v>
          </cell>
          <cell r="N7">
            <v>2.2272853431924702</v>
          </cell>
          <cell r="O7">
            <v>0.06</v>
          </cell>
        </row>
        <row r="8">
          <cell r="A8">
            <v>3</v>
          </cell>
          <cell r="B8">
            <v>2</v>
          </cell>
          <cell r="C8">
            <v>2.2999999999999998</v>
          </cell>
          <cell r="D8">
            <v>0.8</v>
          </cell>
          <cell r="E8">
            <v>0.3</v>
          </cell>
          <cell r="F8">
            <v>0.3</v>
          </cell>
          <cell r="G8">
            <v>30</v>
          </cell>
          <cell r="I8">
            <v>0.6</v>
          </cell>
          <cell r="J8">
            <v>0.23999999999999996</v>
          </cell>
          <cell r="K8">
            <v>2.0999999999999996</v>
          </cell>
          <cell r="L8">
            <v>8.6</v>
          </cell>
          <cell r="M8">
            <v>15.901009035902188</v>
          </cell>
          <cell r="N8">
            <v>2.8257388414359883</v>
          </cell>
          <cell r="O8">
            <v>0.06</v>
          </cell>
        </row>
        <row r="9">
          <cell r="A9">
            <v>4</v>
          </cell>
          <cell r="B9">
            <v>2</v>
          </cell>
          <cell r="C9">
            <v>3</v>
          </cell>
          <cell r="D9">
            <v>1.3</v>
          </cell>
          <cell r="E9">
            <v>0.5</v>
          </cell>
          <cell r="F9">
            <v>0.5</v>
          </cell>
          <cell r="G9">
            <v>30</v>
          </cell>
          <cell r="I9">
            <v>0.6</v>
          </cell>
          <cell r="J9">
            <v>0.31</v>
          </cell>
          <cell r="K9">
            <v>3.4000000000000004</v>
          </cell>
          <cell r="L9">
            <v>10</v>
          </cell>
          <cell r="M9">
            <v>22.663984558801438</v>
          </cell>
          <cell r="N9">
            <v>3.3136083051561784</v>
          </cell>
          <cell r="O9">
            <v>0.06</v>
          </cell>
        </row>
        <row r="10">
          <cell r="A10">
            <v>5</v>
          </cell>
          <cell r="B10">
            <v>2</v>
          </cell>
          <cell r="C10">
            <v>3.8</v>
          </cell>
          <cell r="D10">
            <v>1.8</v>
          </cell>
          <cell r="E10">
            <v>0.5</v>
          </cell>
          <cell r="F10">
            <v>0.5</v>
          </cell>
          <cell r="G10">
            <v>30</v>
          </cell>
          <cell r="I10">
            <v>0.6</v>
          </cell>
          <cell r="J10">
            <v>0.38999999999999996</v>
          </cell>
          <cell r="K10">
            <v>4.12</v>
          </cell>
          <cell r="L10">
            <v>11.6</v>
          </cell>
          <cell r="M10">
            <v>32.36907871858989</v>
          </cell>
          <cell r="N10">
            <v>3.9115214431215888</v>
          </cell>
          <cell r="O10">
            <v>0.06</v>
          </cell>
        </row>
        <row r="11">
          <cell r="A11">
            <v>6</v>
          </cell>
          <cell r="B11">
            <v>2</v>
          </cell>
          <cell r="C11">
            <v>4.6500000000000004</v>
          </cell>
          <cell r="D11">
            <v>2.2999999999999998</v>
          </cell>
          <cell r="E11">
            <v>0.55000000000000004</v>
          </cell>
          <cell r="F11">
            <v>0.5</v>
          </cell>
          <cell r="G11">
            <v>30</v>
          </cell>
          <cell r="I11">
            <v>0.6</v>
          </cell>
          <cell r="J11">
            <v>0.47500000000000003</v>
          </cell>
          <cell r="K11">
            <v>5.0475000000000003</v>
          </cell>
          <cell r="L11">
            <v>13.3</v>
          </cell>
          <cell r="M11">
            <v>44.210938189316515</v>
          </cell>
          <cell r="N11">
            <v>4.5120837758179979</v>
          </cell>
          <cell r="O11">
            <v>7.4999999999999997E-2</v>
          </cell>
        </row>
        <row r="12">
          <cell r="A12">
            <v>7</v>
          </cell>
          <cell r="B12">
            <v>2</v>
          </cell>
          <cell r="C12">
            <v>5.45</v>
          </cell>
          <cell r="D12">
            <v>2.8</v>
          </cell>
          <cell r="E12">
            <v>0.65</v>
          </cell>
          <cell r="F12">
            <v>0.6</v>
          </cell>
          <cell r="G12">
            <v>30</v>
          </cell>
          <cell r="I12">
            <v>0.6</v>
          </cell>
          <cell r="J12">
            <v>0.55500000000000005</v>
          </cell>
          <cell r="K12">
            <v>6.4424999999999999</v>
          </cell>
          <cell r="L12">
            <v>14.9</v>
          </cell>
          <cell r="M12">
            <v>56.911124623836926</v>
          </cell>
          <cell r="N12">
            <v>5.0550667651377266</v>
          </cell>
          <cell r="O12">
            <v>0.09</v>
          </cell>
        </row>
        <row r="13">
          <cell r="A13">
            <v>8</v>
          </cell>
          <cell r="B13">
            <v>2</v>
          </cell>
          <cell r="C13">
            <v>6.35</v>
          </cell>
          <cell r="D13">
            <v>3.5</v>
          </cell>
          <cell r="E13">
            <v>0.75</v>
          </cell>
          <cell r="F13">
            <v>0.7</v>
          </cell>
          <cell r="G13">
            <v>30</v>
          </cell>
          <cell r="I13">
            <v>0.6</v>
          </cell>
          <cell r="J13">
            <v>0.64500000000000002</v>
          </cell>
          <cell r="K13">
            <v>8.0574999999999992</v>
          </cell>
          <cell r="L13">
            <v>16.7</v>
          </cell>
          <cell r="M13">
            <v>69.661073599014884</v>
          </cell>
          <cell r="N13">
            <v>5.5981157544302347</v>
          </cell>
          <cell r="O13">
            <v>0.09</v>
          </cell>
        </row>
        <row r="14">
          <cell r="A14">
            <v>8.5</v>
          </cell>
          <cell r="B14">
            <v>2</v>
          </cell>
          <cell r="C14">
            <v>6.6</v>
          </cell>
          <cell r="D14">
            <v>3.5</v>
          </cell>
          <cell r="E14">
            <v>0.75</v>
          </cell>
          <cell r="F14">
            <v>0.7</v>
          </cell>
          <cell r="G14">
            <v>30</v>
          </cell>
          <cell r="I14">
            <v>0.6</v>
          </cell>
          <cell r="J14">
            <v>0.66999999999999993</v>
          </cell>
          <cell r="K14">
            <v>8.4450000000000003</v>
          </cell>
          <cell r="L14">
            <v>17.2</v>
          </cell>
          <cell r="M14">
            <v>79.237026635490281</v>
          </cell>
          <cell r="N14">
            <v>5.8971942481149462</v>
          </cell>
          <cell r="O14">
            <v>0.1</v>
          </cell>
        </row>
        <row r="15">
          <cell r="A15">
            <v>9.5</v>
          </cell>
          <cell r="B15">
            <v>2</v>
          </cell>
          <cell r="C15">
            <v>7.1</v>
          </cell>
          <cell r="D15">
            <v>3.5</v>
          </cell>
          <cell r="E15">
            <v>0.95</v>
          </cell>
          <cell r="F15">
            <v>0.85</v>
          </cell>
          <cell r="G15">
            <v>30</v>
          </cell>
          <cell r="I15">
            <v>0.6</v>
          </cell>
          <cell r="J15">
            <v>0.72</v>
          </cell>
          <cell r="K15">
            <v>10.73875</v>
          </cell>
          <cell r="L15">
            <v>18.2</v>
          </cell>
          <cell r="M15">
            <v>98.896319794719048</v>
          </cell>
          <cell r="N15">
            <v>6.4153721637953316</v>
          </cell>
          <cell r="O15">
            <v>0.1</v>
          </cell>
        </row>
      </sheetData>
      <sheetData sheetId="39"/>
      <sheetData sheetId="40"/>
      <sheetData sheetId="41"/>
      <sheetData sheetId="42"/>
      <sheetData sheetId="43"/>
      <sheetData sheetId="44"/>
      <sheetData sheetId="45"/>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nnai"/>
      <sheetName val="Mumbai"/>
      <sheetName val="Pune"/>
      <sheetName val="Delhi"/>
      <sheetName val="MIS-March07 Pune unaudited"/>
      <sheetName val="Meas.-Hotel Part"/>
      <sheetName val="Table 4"/>
      <sheetName val="Table 5"/>
      <sheetName val="Table 2"/>
      <sheetName val="Table 27"/>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alient Features"/>
      <sheetName val="Index"/>
      <sheetName val="LOI"/>
      <sheetName val="construction_schedule"/>
      <sheetName val="top_sheet"/>
      <sheetName val="Offtop-Tender"/>
      <sheetName val="Offtop-Prestart"/>
      <sheetName val="Summary"/>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SHEET 1"/>
      <sheetName val="Sheet3"/>
      <sheetName val="Sheet1"/>
      <sheetName val="Sheet2"/>
      <sheetName val="labour coeff"/>
      <sheetName val="Design"/>
      <sheetName val="IO List"/>
      <sheetName val="PRECAST lightconc-II"/>
      <sheetName val="DLA Standard Cost Report1"/>
      <sheetName val="Sebtion 1 SumMary"/>
      <sheetName val="Macro custom function"/>
      <sheetName val="boq"/>
      <sheetName val="p&amp;m"/>
      <sheetName val="Bill-AAC_old"/>
      <sheetName val="TBAL9697 -group wise  sdpl"/>
      <sheetName val="RA-markate"/>
      <sheetName val="RCC,Ret. Wall"/>
      <sheetName val="Tender Summary"/>
      <sheetName val="Driveway Beams"/>
      <sheetName val="Pacakges split"/>
      <sheetName val="Data"/>
      <sheetName val="Basement Budget"/>
      <sheetName val="Lead"/>
      <sheetName val="Extra Item"/>
      <sheetName val="2gii"/>
      <sheetName val="A-General"/>
      <sheetName val="Staff Acco."/>
      <sheetName val="dBase"/>
      <sheetName val="Detail"/>
      <sheetName val="공장별판관비배부"/>
      <sheetName val="Cat A Change Control"/>
      <sheetName val="Meas.-Hotel Part"/>
      <sheetName val="Labour"/>
      <sheetName val="VCH-SLC"/>
      <sheetName val="Supplier"/>
      <sheetName val="Deduction of assets"/>
      <sheetName val="Cashflow projection"/>
      <sheetName val="#REF"/>
      <sheetName val="analysis"/>
      <sheetName val="Civil Works"/>
      <sheetName val="Contract Night Staff"/>
      <sheetName val="Contract Day Staff"/>
      <sheetName val="Day Shift"/>
      <sheetName val="Night Shift"/>
      <sheetName val="Capex - Hry"/>
      <sheetName val="factors"/>
      <sheetName val="Inputs"/>
      <sheetName val="sort2"/>
      <sheetName val="Details"/>
      <sheetName val="Database"/>
      <sheetName val="SCHEDULE"/>
      <sheetName val="schedule nos"/>
      <sheetName val="INPUT SHEET"/>
      <sheetName val="RES-PLANNING"/>
      <sheetName val="Stress Calculation"/>
      <sheetName val="Voucher"/>
      <sheetName val="DEPTH CHART (ORR) L.S."/>
      <sheetName val="Name List"/>
      <sheetName val="PA- Consutant "/>
      <sheetName val="Raft"/>
      <sheetName val="Break up Sheet"/>
      <sheetName val="Labour productivity"/>
      <sheetName val="Intro"/>
      <sheetName val="strand"/>
      <sheetName val="Pay_Sep06"/>
      <sheetName val="1st flr"/>
      <sheetName val="DetEst"/>
      <sheetName val="01"/>
      <sheetName val="LEVEL SHEET"/>
      <sheetName val="REL"/>
      <sheetName val="FORM7"/>
      <sheetName val="SILICATE"/>
      <sheetName val="Scope Reconciliation"/>
      <sheetName val="SUMRY"/>
      <sheetName val="LMP"/>
      <sheetName val="SITE OVERHEADS"/>
      <sheetName val="1st Slab"/>
      <sheetName val="Costing"/>
      <sheetName val="Order Info"/>
      <sheetName val="Fin Sum"/>
      <sheetName val="Formulas"/>
      <sheetName val="Input"/>
      <sheetName val="Project Budget Worksheet"/>
      <sheetName val="FITZ MORT 94"/>
      <sheetName val="Mar09"/>
      <sheetName val="Rate analysis"/>
      <sheetName val="SPT vs PHI"/>
      <sheetName val="dummy"/>
      <sheetName val="MASTER_RATE ANALYSIS"/>
      <sheetName val="Fee Rate Summary"/>
      <sheetName val="box-12"/>
      <sheetName val="Sun E Type"/>
      <sheetName val="As per PCA"/>
      <sheetName val="PrintManager"/>
      <sheetName val="Assumption"/>
      <sheetName val="Project Plan - WWW"/>
      <sheetName val="Approved MTD Proj #'s"/>
      <sheetName val="BLOCK-A (MEA.SHEET)"/>
      <sheetName val="WORK TABLE"/>
      <sheetName val="Invoice"/>
      <sheetName val="Annexure"/>
      <sheetName val="list"/>
      <sheetName val="Data-Month"/>
      <sheetName val="BHANDUP"/>
      <sheetName val="WORK"/>
      <sheetName val="Lowside"/>
      <sheetName val="FT-05-02IsoBOM"/>
      <sheetName val="COST"/>
      <sheetName val="P&amp;L - AD"/>
      <sheetName val="PARAMETRES"/>
      <sheetName val="GF Columns"/>
      <sheetName val="Interface_SC"/>
      <sheetName val="Calc_ISC"/>
      <sheetName val="Calc_SC"/>
      <sheetName val="Interface_ISC"/>
      <sheetName val="GD"/>
      <sheetName val="Works - Quote Sheet"/>
      <sheetName val="Item- Compact"/>
      <sheetName val="DSLP"/>
      <sheetName val="Mat_Cost"/>
      <sheetName val="DETAILED  BOQ"/>
      <sheetName val="Total Quote"/>
      <sheetName val="Results"/>
      <sheetName val="PLGroupings"/>
      <sheetName val="Deprec."/>
      <sheetName val="gen"/>
      <sheetName val="Parameter"/>
      <sheetName val="girder"/>
      <sheetName val="Sheet3 (2)"/>
      <sheetName val="SPS DETAIL"/>
      <sheetName val="Site Dev BOQ"/>
      <sheetName val="\TCS, NAGPUR-MANJIRI C\PROGRESS"/>
      <sheetName val="PC Master List"/>
      <sheetName val="Field Values"/>
      <sheetName val="cubes_M20"/>
      <sheetName val="Build-up"/>
      <sheetName val="Parameters"/>
      <sheetName val="Structure Bills Qty"/>
      <sheetName val="BASIS -DEC 08"/>
      <sheetName val="run"/>
      <sheetName val="MN T.B."/>
      <sheetName val="Data Forecast"/>
      <sheetName val="환율"/>
      <sheetName val="tower"/>
      <sheetName val="CABLERET"/>
      <sheetName val="DLA%20Standard%20Cost%20Report1"/>
      <sheetName val="GBW"/>
      <sheetName val="目录"/>
      <sheetName val="Basic Rate"/>
      <sheetName val="Format"/>
      <sheetName val="sc-mar2000"/>
      <sheetName val="óc-sepVdec99"/>
      <sheetName val="final abstract"/>
      <sheetName val="Master Data Sheet"/>
      <sheetName val="Cement recon."/>
      <sheetName val="Conc&amp;steel-assets"/>
      <sheetName val="bom"/>
      <sheetName val="HOME"/>
      <sheetName val="datatable"/>
      <sheetName val="Intake"/>
      <sheetName val="RA"/>
      <sheetName val="PointNo.5"/>
      <sheetName val="WWR"/>
      <sheetName val="Adimi bldg"/>
      <sheetName val="Pump House"/>
      <sheetName val="Fuel Regu Station"/>
      <sheetName val="FORM-16"/>
      <sheetName val="verrous"/>
      <sheetName val="Improvements"/>
      <sheetName val="Levels"/>
      <sheetName val="Material"/>
      <sheetName val="Plant &amp;  Machinery"/>
      <sheetName val="HEAD"/>
      <sheetName val="????????"/>
      <sheetName val="Factors "/>
      <sheetName val="Budget in SAP"/>
      <sheetName val="Summary_Bank"/>
      <sheetName val="Load Details-220kV"/>
      <sheetName val="Civil Boq"/>
      <sheetName val="basic-data"/>
      <sheetName val="mem-property"/>
      <sheetName val="dlvoid"/>
      <sheetName val="Material "/>
      <sheetName val="_TCS, NAGPUR-MANJIRI C_PROGRESS"/>
      <sheetName val="inWords"/>
      <sheetName val="currency"/>
      <sheetName val="Constants Summary"/>
      <sheetName val="Cleaning &amp; Grubbing"/>
      <sheetName val="Sch-3"/>
      <sheetName val=" "/>
      <sheetName val="Intro."/>
      <sheetName val="1"/>
      <sheetName val="COLUMN"/>
      <sheetName val="Bill-12"/>
      <sheetName val="Rate_Analysis"/>
      <sheetName val="Form 6"/>
      <sheetName val="Kristal Court"/>
      <sheetName val="DataSheet"/>
      <sheetName val="Variations"/>
      <sheetName val="Criteria"/>
      <sheetName val="Cost Index"/>
      <sheetName val="TEXT"/>
      <sheetName val="concrete"/>
      <sheetName val="foot-slab reinft"/>
      <sheetName val="CASHFLOWS"/>
      <sheetName val="office"/>
      <sheetName val="Lab"/>
      <sheetName val="Bill 1-BOQ-Civil Works"/>
      <sheetName val="Fcst vs Budgets"/>
      <sheetName val="St.co.91.5lvl"/>
      <sheetName val="Layer Table"/>
      <sheetName val="WBS"/>
      <sheetName val="1-OBJ98 "/>
      <sheetName val="INTSHEET"/>
      <sheetName val="INTSHEET3"/>
      <sheetName val="master"/>
      <sheetName val="Discount &amp; Margin"/>
      <sheetName val="Headings"/>
      <sheetName val="INDIGINEOUS ITEMS "/>
      <sheetName val="Main Gate House"/>
      <sheetName val="key dates"/>
      <sheetName val="Actuals"/>
      <sheetName val="Assumption Inputs"/>
      <sheetName val="Measurment"/>
      <sheetName val="India F&amp;S Template"/>
      <sheetName val="FitOutConfCentre"/>
      <sheetName val="Option"/>
      <sheetName val="3mech"/>
      <sheetName val="2ELEC"/>
      <sheetName val="Material Rates"/>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F Blk"/>
      <sheetName val="Publicbuilding"/>
      <sheetName val="NAMES"/>
      <sheetName val="calcul"/>
      <sheetName val="BOQ T4B"/>
      <sheetName val=" Acc. Sched."/>
      <sheetName val="COP Final"/>
      <sheetName val="conc-foot-gradeslab"/>
      <sheetName val="BP"/>
      <sheetName val="02"/>
      <sheetName val="03"/>
      <sheetName val="04"/>
      <sheetName val="P1260Projected.5700 Detail"/>
      <sheetName val="P852.5000 Detail"/>
      <sheetName val="P854.5000 Detail"/>
      <sheetName val="P856.5000 Detail"/>
      <sheetName val="P858.5000 Detail"/>
      <sheetName val="P860Baseline.5000 Detail"/>
      <sheetName val="System"/>
      <sheetName val="Ra  stair"/>
      <sheetName val="단가비교표"/>
      <sheetName val="zone-8"/>
      <sheetName val="MHNO_LEV"/>
      <sheetName val="co_5"/>
      <sheetName val="Hotel"/>
      <sheetName val="Introduction"/>
      <sheetName val="Old"/>
      <sheetName val="Operating Statistics"/>
      <sheetName val="Financials"/>
      <sheetName val="STAFFSCHED "/>
      <sheetName val="Boq - Flats"/>
      <sheetName val="Detail In Door Stad"/>
      <sheetName val="CCB"/>
      <sheetName val="SUPPLY -Sanitary Fixtures"/>
      <sheetName val="External"/>
      <sheetName val="ITEMS FOR CIVIL TENDER"/>
      <sheetName val="Labor abs-NMR"/>
      <sheetName val="estimate"/>
      <sheetName val="M.S."/>
      <sheetName val="Fill_this_out_first___2"/>
      <sheetName val="Load_Details-220kV"/>
      <sheetName val="Civil_Boq"/>
      <sheetName val="Material_"/>
      <sheetName val="INDIGINEOUS_ITEMS_"/>
      <sheetName val="key_dates"/>
      <sheetName val="Main_Gate_House"/>
      <sheetName val="Total_Quote"/>
      <sheetName val="Factors_"/>
      <sheetName val="Budget_in_SAP"/>
      <sheetName val="Assumption_Inputs"/>
      <sheetName val="India_F&amp;S_Template"/>
      <sheetName val="Fill_this_out_first___3"/>
      <sheetName val="Fill_this_out_first___4"/>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5"/>
      <sheetName val="Salient_Features1"/>
      <sheetName val="IDC_AHK_1"/>
      <sheetName val="BOQ_Direct_selling_cost1"/>
      <sheetName val="Monthwise_breakup1"/>
      <sheetName val="Reinf_Analy1"/>
      <sheetName val="Power_anal1"/>
      <sheetName val="SHEET_11"/>
      <sheetName val="labour_coeff1"/>
      <sheetName val="PRECAST_lightconc-II1"/>
      <sheetName val="IO_List1"/>
      <sheetName val="Sebtion_1_SumMary1"/>
      <sheetName val="DLA_Standard_Cost_Report11"/>
      <sheetName val="Macro_custom_function1"/>
      <sheetName val="Pacakges_split1"/>
      <sheetName val="Basement_Budget1"/>
      <sheetName val="Extra_Item1"/>
      <sheetName val="TBAL9697_-group_wise__sdpl1"/>
      <sheetName val="schedule_nos1"/>
      <sheetName val="INPUT_SHEET1"/>
      <sheetName val="Stress_Calculation1"/>
      <sheetName val="DEPTH_CHART_(ORR)_L_S_1"/>
      <sheetName val="Name_List1"/>
      <sheetName val="Meas_-Hotel_Part1"/>
      <sheetName val="PA-_Consutant_1"/>
      <sheetName val="Break_up_Sheet1"/>
      <sheetName val="Cashflow_projection1"/>
      <sheetName val="1st_flr1"/>
      <sheetName val="Tender_Summary1"/>
      <sheetName val="Driveway_Beams1"/>
      <sheetName val="Staff_Acco_1"/>
      <sheetName val="Contract_Night_Staff1"/>
      <sheetName val="Contract_Day_Staff1"/>
      <sheetName val="Day_Shift1"/>
      <sheetName val="Night_Shift1"/>
      <sheetName val="Cat_A_Change_Control1"/>
      <sheetName val="RCC,Ret__Wall1"/>
      <sheetName val="Labour_productivity1"/>
      <sheetName val="Deduction_of_assets1"/>
      <sheetName val="Civil_Works1"/>
      <sheetName val="Fin_Sum1"/>
      <sheetName val="1st_Slab1"/>
      <sheetName val="Sun_E_Type1"/>
      <sheetName val="Project_Plan_-_WWW1"/>
      <sheetName val="As_per_PCA1"/>
      <sheetName val="BLOCK-A_(MEA_SHEET)1"/>
      <sheetName val="Order_Info1"/>
      <sheetName val="Approved_MTD_Proj_#'s1"/>
      <sheetName val="Scope_Reconciliation1"/>
      <sheetName val="FITZ_MORT_941"/>
      <sheetName val="Project_Budget_Worksheet1"/>
      <sheetName val="P&amp;L_-_AD1"/>
      <sheetName val="SPT_vs_PHI1"/>
      <sheetName val="MASTER_RATE_ANALYSIS1"/>
      <sheetName val="Fee_Rate_Summary1"/>
      <sheetName val="Deprec_1"/>
      <sheetName val="Capex_-_Hry1"/>
      <sheetName val="Rate_analysis1"/>
      <sheetName val="LEVEL_SHEET1"/>
      <sheetName val="SITE_OVERHEADS1"/>
      <sheetName val="WORK_TABLE1"/>
      <sheetName val="Sheet3_(2)1"/>
      <sheetName val="Structure_Bills_Qty1"/>
      <sheetName val="GF_Columns1"/>
      <sheetName val="Works_-_Quote_Sheet1"/>
      <sheetName val="Item-_Compact1"/>
      <sheetName val="PC_Master_List1"/>
      <sheetName val="Field_Values1"/>
      <sheetName val="Data_Forecast1"/>
      <sheetName val="SPS_DETAIL1"/>
      <sheetName val="Site_Dev_BOQ1"/>
      <sheetName val="\TCS,_NAGPUR-MANJIRI_C\PROGRES1"/>
      <sheetName val="MN_T_B_1"/>
      <sheetName val="Load_Details-220kV1"/>
      <sheetName val="Civil_Boq1"/>
      <sheetName val="Material_1"/>
      <sheetName val="BASIS_-DEC_081"/>
      <sheetName val="Basic_Rate1"/>
      <sheetName val="INDIGINEOUS_ITEMS_1"/>
      <sheetName val="DETAILED__BOQ1"/>
      <sheetName val="Master_Data_Sheet1"/>
      <sheetName val="final_abstract1"/>
      <sheetName val="Cement_recon_1"/>
      <sheetName val="Adimi_bldg"/>
      <sheetName val="Pump_House"/>
      <sheetName val="Fuel_Regu_Station"/>
      <sheetName val="Brand"/>
      <sheetName val="PackSize"/>
      <sheetName val="PackagingType"/>
      <sheetName val="Plant"/>
      <sheetName val="ProductHierarchy"/>
      <sheetName val="PurchGroup"/>
      <sheetName val="Sub-brand"/>
      <sheetName val="UOM"/>
      <sheetName val="Variant"/>
      <sheetName val="Debits as on 12.04.08"/>
      <sheetName val="Infrastructure"/>
      <sheetName val="key_dates1"/>
      <sheetName val="Main_Gate_House1"/>
      <sheetName val="Total_Quote1"/>
      <sheetName val="Factors_1"/>
      <sheetName val="Budget_in_SAP1"/>
      <sheetName val="Assumption_Inputs1"/>
      <sheetName val="India_F&amp;S_Template1"/>
      <sheetName val="Boq_-_Flats"/>
      <sheetName val="_"/>
      <sheetName val="Cleaning_&amp;_Grubbing"/>
      <sheetName val="Intro_"/>
      <sheetName val="Fcst_vs_Budgets"/>
      <sheetName val="Plant_&amp;__Machinery"/>
      <sheetName val="Fill_this_out_first___6"/>
      <sheetName val="PDF_Front2"/>
      <sheetName val="Simple_Letter2"/>
      <sheetName val="Overall_Summary2"/>
      <sheetName val="CSI_Summary2"/>
      <sheetName val="Section_1_Areas2"/>
      <sheetName val="Section_1_Summary2"/>
      <sheetName val="Section_12"/>
      <sheetName val="Section_2_Areas2"/>
      <sheetName val="Section_2_Summary2"/>
      <sheetName val="Section_22"/>
      <sheetName val="Section_3_Areas2"/>
      <sheetName val="Section_3_Summary2"/>
      <sheetName val="Section_32"/>
      <sheetName val="Section_4_Areas2"/>
      <sheetName val="Section_4_Summary2"/>
      <sheetName val="Section_42"/>
      <sheetName val="Section_5_Areas2"/>
      <sheetName val="Section_5_Summary2"/>
      <sheetName val="Section_52"/>
      <sheetName val="Sitework_Areas2"/>
      <sheetName val="Section_6_Areas2"/>
      <sheetName val="Section_6_Summary2"/>
      <sheetName val="Section_62"/>
      <sheetName val="Sitework_Summary2"/>
      <sheetName val="Comparison_Summary2"/>
      <sheetName val="Fill_this_out_first___7"/>
      <sheetName val="Salient_Features2"/>
      <sheetName val="IDC_AHK_2"/>
      <sheetName val="BOQ_Direct_selling_cost2"/>
      <sheetName val="Monthwise_breakup2"/>
      <sheetName val="Reinf_Analy2"/>
      <sheetName val="Power_anal2"/>
      <sheetName val="SHEET_12"/>
      <sheetName val="labour_coeff2"/>
      <sheetName val="PRECAST_lightconc-II2"/>
      <sheetName val="IO_List2"/>
      <sheetName val="Sebtion_1_SumMary2"/>
      <sheetName val="DLA_Standard_Cost_Report12"/>
      <sheetName val="Macro_custom_function2"/>
      <sheetName val="Pacakges_split2"/>
      <sheetName val="Basement_Budget2"/>
      <sheetName val="Extra_Item2"/>
      <sheetName val="TBAL9697_-group_wise__sdpl2"/>
      <sheetName val="schedule_nos2"/>
      <sheetName val="INPUT_SHEET2"/>
      <sheetName val="Stress_Calculation2"/>
      <sheetName val="DEPTH_CHART_(ORR)_L_S_2"/>
      <sheetName val="Name_List2"/>
      <sheetName val="Meas_-Hotel_Part2"/>
      <sheetName val="PA-_Consutant_2"/>
      <sheetName val="Break_up_Sheet2"/>
      <sheetName val="Cashflow_projection2"/>
      <sheetName val="1st_flr2"/>
      <sheetName val="Tender_Summary2"/>
      <sheetName val="Driveway_Beams2"/>
      <sheetName val="Staff_Acco_2"/>
      <sheetName val="Contract_Night_Staff2"/>
      <sheetName val="Contract_Day_Staff2"/>
      <sheetName val="Day_Shift2"/>
      <sheetName val="Night_Shift2"/>
      <sheetName val="Cat_A_Change_Control2"/>
      <sheetName val="RCC,Ret__Wall2"/>
      <sheetName val="Labour_productivity2"/>
      <sheetName val="Deduction_of_assets2"/>
      <sheetName val="Civil_Works2"/>
      <sheetName val="Fin_Sum2"/>
      <sheetName val="1st_Slab2"/>
      <sheetName val="Sun_E_Type2"/>
      <sheetName val="Project_Plan_-_WWW2"/>
      <sheetName val="As_per_PCA2"/>
      <sheetName val="BLOCK-A_(MEA_SHEET)2"/>
      <sheetName val="Order_Info2"/>
      <sheetName val="Approved_MTD_Proj_#'s2"/>
      <sheetName val="Scope_Reconciliation2"/>
      <sheetName val="FITZ_MORT_942"/>
      <sheetName val="Project_Budget_Worksheet2"/>
      <sheetName val="P&amp;L_-_AD2"/>
      <sheetName val="SPT_vs_PHI2"/>
      <sheetName val="MASTER_RATE_ANALYSIS2"/>
      <sheetName val="Fee_Rate_Summary2"/>
      <sheetName val="Deprec_2"/>
      <sheetName val="Capex_-_Hry2"/>
      <sheetName val="Rate_analysis2"/>
      <sheetName val="LEVEL_SHEET2"/>
      <sheetName val="SITE_OVERHEADS2"/>
      <sheetName val="WORK_TABLE2"/>
      <sheetName val="Sheet3_(2)2"/>
      <sheetName val="Structure_Bills_Qty2"/>
      <sheetName val="GF_Columns2"/>
      <sheetName val="Works_-_Quote_Sheet2"/>
      <sheetName val="Item-_Compact2"/>
      <sheetName val="PC_Master_List2"/>
      <sheetName val="Field_Values2"/>
      <sheetName val="Data_Forecast2"/>
      <sheetName val="SPS_DETAIL2"/>
      <sheetName val="Site_Dev_BOQ2"/>
      <sheetName val="\TCS,_NAGPUR-MANJIRI_C\PROGRES2"/>
      <sheetName val="MN_T_B_2"/>
      <sheetName val="Load_Details-220kV2"/>
      <sheetName val="Civil_Boq2"/>
      <sheetName val="Material_2"/>
      <sheetName val="BASIS_-DEC_082"/>
      <sheetName val="Basic_Rate2"/>
      <sheetName val="INDIGINEOUS_ITEMS_2"/>
      <sheetName val="DETAILED__BOQ2"/>
      <sheetName val="Master_Data_Sheet2"/>
      <sheetName val="final_abstract2"/>
      <sheetName val="Cement_recon_2"/>
      <sheetName val="key_dates2"/>
      <sheetName val="Main_Gate_House2"/>
      <sheetName val="Total_Quote2"/>
      <sheetName val="Factors_2"/>
      <sheetName val="Budget_in_SAP2"/>
      <sheetName val="Assumption_Inputs2"/>
      <sheetName val="India_F&amp;S_Template2"/>
      <sheetName val="Boq_-_Flats1"/>
      <sheetName val="_1"/>
      <sheetName val="Cleaning_&amp;_Grubbing1"/>
      <sheetName val="Intro_1"/>
      <sheetName val="Fcst_vs_Budgets1"/>
      <sheetName val="Plant_&amp;__Machinery1"/>
      <sheetName val="ACS(1)"/>
      <sheetName val="FAS-C(4)"/>
      <sheetName val="CCTV(old)"/>
      <sheetName val="Loan Schedule"/>
      <sheetName val="hyperstatic-3"/>
      <sheetName val="Current Bill MB ref"/>
      <sheetName val="Adimi_bldg1"/>
      <sheetName val="Pump_House1"/>
      <sheetName val="Fuel_Regu_Station1"/>
      <sheetName val="_TCS,_NAGPUR-MANJIRI_C_PROGRESS"/>
      <sheetName val="PointNo_5"/>
      <sheetName val="Material_Rates"/>
      <sheetName val="St_co_91_5lvl"/>
      <sheetName val="Layer_Table"/>
      <sheetName val="BOQ_T4B"/>
      <sheetName val="MEP BOQ-"/>
      <sheetName val="wooden door"/>
      <sheetName val="Sub con Summary"/>
      <sheetName val="Cost saving"/>
      <sheetName val="Fakeeh"/>
      <sheetName val="qualify"/>
      <sheetName val="GENERAL SUMMARY"/>
      <sheetName val="LMP Summary"/>
      <sheetName val="Sec Summary"/>
      <sheetName val="MEP"/>
      <sheetName val="TOP SHEET"/>
      <sheetName val="Labour cost"/>
      <sheetName val="BILLING SCHEDULE"/>
      <sheetName val="bill curve"/>
      <sheetName val="CASH IN &amp; OUT FLOW "/>
      <sheetName val="cash flow curve"/>
      <sheetName val="Revised Labour"/>
      <sheetName val="Rein.Ana"/>
      <sheetName val="Sheet6"/>
      <sheetName val="Ceiling"/>
      <sheetName val="Concrete-Data"/>
      <sheetName val="Gen.Exp.Breakup"/>
      <sheetName val="cover page"/>
      <sheetName val="Project Data"/>
      <sheetName val="Info"/>
      <sheetName val="CL"/>
      <sheetName val="Cash2"/>
      <sheetName val="Drop Down List"/>
      <sheetName val="30개월기준대비표 아랍택)"/>
      <sheetName val="총괄표 (2)"/>
      <sheetName val="CIF COST ITEM"/>
      <sheetName val="LeadSheet"/>
      <sheetName val="3MLKQ"/>
      <sheetName val="Base Assumptions"/>
      <sheetName val="PCC"/>
      <sheetName val="Data sheet"/>
      <sheetName val="Door"/>
      <sheetName val="Per Unit"/>
      <sheetName val="Window"/>
      <sheetName val="Footing"/>
      <sheetName val="Rate analysis civil"/>
      <sheetName val="Rate Analysis "/>
      <sheetName val="Monthly Plan May'16"/>
      <sheetName val="Performance Report"/>
      <sheetName val=" bus bay"/>
      <sheetName val="doq-10"/>
      <sheetName val="doq-I"/>
      <sheetName val="doq 4"/>
      <sheetName val="doq 2"/>
      <sheetName val="Labour &amp; Plant"/>
      <sheetName val="S2groupcode"/>
      <sheetName val="Definitions"/>
      <sheetName val="Sales &amp; Prod"/>
      <sheetName val="Primero Tower Budget"/>
      <sheetName val="Buying Schedule"/>
      <sheetName val="CRF Register"/>
      <sheetName val="beam-reinft-IIInd floor"/>
      <sheetName val="TOS_N5"/>
      <sheetName val="________"/>
      <sheetName val="PEP-DATA"/>
      <sheetName val="REPAIR&amp; MAINT"/>
      <sheetName val="Basic Resources"/>
      <sheetName val="loads at base of pier"/>
      <sheetName val="E &amp; R"/>
      <sheetName val="98Price"/>
      <sheetName val="bs BP 04 SA"/>
      <sheetName val="Cover_Sheet"/>
      <sheetName val="Ov%rall Summary"/>
      <sheetName val="BOQ (2)"/>
      <sheetName val="GN-ST-10"/>
      <sheetName val="Rev P"/>
      <sheetName val="3. Elemental Summary"/>
      <sheetName val="Cost summary"/>
      <sheetName val="Factor Sheet"/>
      <sheetName val="Admin"/>
      <sheetName val="Wordsdata"/>
      <sheetName val="upa"/>
      <sheetName val="Block A - BOQ"/>
      <sheetName val="ICO_budzet_97"/>
      <sheetName val="Reinforcement"/>
      <sheetName val="Builtup Area"/>
      <sheetName val="Lead (Final)"/>
      <sheetName val="D.UT-MECH"/>
      <sheetName val="Rob. elektr."/>
      <sheetName val="supply"/>
      <sheetName val="PRSH"/>
      <sheetName val="labour rates"/>
      <sheetName val="소상 &quot;1&quot;"/>
      <sheetName val="MenuData"/>
      <sheetName val="BOQ Distribution"/>
      <sheetName val="AOR"/>
      <sheetName val="Gen Info"/>
      <sheetName val="Combined Results "/>
      <sheetName val="#REF!"/>
      <sheetName val="Forecast Variance Planning hrs"/>
      <sheetName val="Raw Data"/>
      <sheetName val="Det_Des"/>
      <sheetName val="Rec"/>
      <sheetName val="Ra__stair"/>
      <sheetName val="MEP_BOQ-"/>
      <sheetName val="wooden_door"/>
      <sheetName val="Sub_con_Summary"/>
      <sheetName val="Cost_saving"/>
      <sheetName val="GENERAL_SUMMARY"/>
      <sheetName val="LMP_Summary"/>
      <sheetName val="Sec_Summary"/>
      <sheetName val="Labour_cost"/>
      <sheetName val="BILLING_SCHEDULE"/>
      <sheetName val="bill_curve"/>
      <sheetName val="CASH_IN_&amp;_OUT_FLOW_"/>
      <sheetName val="cash_flow_curve"/>
      <sheetName val="Revised_Labour"/>
      <sheetName val="Rein_Ana"/>
      <sheetName val="Gen_Exp_Breakup"/>
      <sheetName val="cover_page"/>
      <sheetName val="Project_Data"/>
      <sheetName val="Drop_Down_List"/>
      <sheetName val="30개월기준대비표_아랍택)"/>
      <sheetName val="총괄표_(2)"/>
      <sheetName val="CIF_COST_ITEM"/>
      <sheetName val="Constants_Summary"/>
      <sheetName val="Form_6"/>
      <sheetName val="Raw_Data"/>
      <sheetName val="REPAIR&amp;_MAINT"/>
      <sheetName val="Material_Rates1"/>
      <sheetName val="Ra__stair1"/>
      <sheetName val="MEP_BOQ-1"/>
      <sheetName val="wooden_door1"/>
      <sheetName val="Sub_con_Summary1"/>
      <sheetName val="Cost_saving1"/>
      <sheetName val="GENERAL_SUMMARY1"/>
      <sheetName val="LMP_Summary1"/>
      <sheetName val="Sec_Summary1"/>
      <sheetName val="Labour_cost1"/>
      <sheetName val="BILLING_SCHEDULE1"/>
      <sheetName val="bill_curve1"/>
      <sheetName val="CASH_IN_&amp;_OUT_FLOW_1"/>
      <sheetName val="cash_flow_curve1"/>
      <sheetName val="Revised_Labour1"/>
      <sheetName val="Rein_Ana1"/>
      <sheetName val="Gen_Exp_Breakup1"/>
      <sheetName val="cover_page1"/>
      <sheetName val="Project_Data1"/>
      <sheetName val="Drop_Down_List1"/>
      <sheetName val="30개월기준대비표_아랍택)1"/>
      <sheetName val="총괄표_(2)1"/>
      <sheetName val="CIF_COST_ITEM1"/>
      <sheetName val="_TCS,_NAGPUR-MANJIRI_C_PROGRES1"/>
      <sheetName val="Constants_Summary1"/>
      <sheetName val="Form_61"/>
      <sheetName val="Raw_Data1"/>
      <sheetName val="PointNo_51"/>
      <sheetName val="REPAIR&amp;_MAINT1"/>
      <sheetName val="Material_Rates2"/>
      <sheetName val="Ra__stair2"/>
      <sheetName val="MEP_BOQ-2"/>
      <sheetName val="wooden_door2"/>
      <sheetName val="Sub_con_Summary2"/>
      <sheetName val="Cost_saving2"/>
      <sheetName val="GENERAL_SUMMARY2"/>
      <sheetName val="LMP_Summary2"/>
      <sheetName val="Sec_Summary2"/>
      <sheetName val="Labour_cost2"/>
      <sheetName val="BILLING_SCHEDULE2"/>
      <sheetName val="bill_curve2"/>
      <sheetName val="CASH_IN_&amp;_OUT_FLOW_2"/>
      <sheetName val="cash_flow_curve2"/>
      <sheetName val="Revised_Labour2"/>
      <sheetName val="Rein_Ana2"/>
      <sheetName val="Gen_Exp_Breakup2"/>
      <sheetName val="cover_page2"/>
      <sheetName val="Project_Data2"/>
      <sheetName val="Drop_Down_List2"/>
      <sheetName val="30개월기준대비표_아랍택)2"/>
      <sheetName val="총괄표_(2)2"/>
      <sheetName val="CIF_COST_ITEM2"/>
      <sheetName val="Cleaning_&amp;_Grubbing2"/>
      <sheetName val="_2"/>
      <sheetName val="Intro_2"/>
      <sheetName val="_TCS,_NAGPUR-MANJIRI_C_PROGRES2"/>
      <sheetName val="Adimi_bldg2"/>
      <sheetName val="Pump_House2"/>
      <sheetName val="Fuel_Regu_Station2"/>
      <sheetName val="Constants_Summary2"/>
      <sheetName val="Form_62"/>
      <sheetName val="Raw_Data2"/>
      <sheetName val="PointNo_52"/>
      <sheetName val="Plant_&amp;__Machinery2"/>
      <sheetName val="REPAIR&amp;_MAINT2"/>
      <sheetName val="PDF_Front3"/>
      <sheetName val="Simple_Letter3"/>
      <sheetName val="Overall_Summary3"/>
      <sheetName val="CSI_Summary3"/>
      <sheetName val="Section_1_Areas3"/>
      <sheetName val="Section_1_Summary3"/>
      <sheetName val="Section_13"/>
      <sheetName val="Section_2_Areas3"/>
      <sheetName val="Section_2_Summary3"/>
      <sheetName val="Section_23"/>
      <sheetName val="Section_3_Areas3"/>
      <sheetName val="Section_3_Summary3"/>
      <sheetName val="Section_33"/>
      <sheetName val="Section_4_Areas3"/>
      <sheetName val="Section_4_Summary3"/>
      <sheetName val="Section_43"/>
      <sheetName val="Section_5_Areas3"/>
      <sheetName val="Section_5_Summary3"/>
      <sheetName val="Section_53"/>
      <sheetName val="Sitework_Areas3"/>
      <sheetName val="Section_6_Areas3"/>
      <sheetName val="Section_6_Summary3"/>
      <sheetName val="Section_63"/>
      <sheetName val="Sitework_Summary3"/>
      <sheetName val="Comparison_Summary3"/>
      <sheetName val="Fill_this_out_first___8"/>
      <sheetName val="SHEET_13"/>
      <sheetName val="Salient_Features3"/>
      <sheetName val="IDC_AHK_3"/>
      <sheetName val="BOQ_Direct_selling_cost3"/>
      <sheetName val="Monthwise_breakup3"/>
      <sheetName val="Reinf_Analy3"/>
      <sheetName val="Power_anal3"/>
      <sheetName val="Macro_custom_function3"/>
      <sheetName val="labour_coeff3"/>
      <sheetName val="PRECAST_lightconc-II3"/>
      <sheetName val="DLA_Standard_Cost_Report13"/>
      <sheetName val="IO_List3"/>
      <sheetName val="Sebtion_1_SumMary3"/>
      <sheetName val="Tender_Summary3"/>
      <sheetName val="TBAL9697_-group_wise__sdpl3"/>
      <sheetName val="Staff_Acco_3"/>
      <sheetName val="Pacakges_split3"/>
      <sheetName val="Basement_Budget3"/>
      <sheetName val="Extra_Item3"/>
      <sheetName val="Civil_Works3"/>
      <sheetName val="Cat_A_Change_Control3"/>
      <sheetName val="Meas_-Hotel_Part3"/>
      <sheetName val="RCC,Ret__Wall3"/>
      <sheetName val="Driveway_Beams3"/>
      <sheetName val="Labour_productivity3"/>
      <sheetName val="Stress_Calculation3"/>
      <sheetName val="Deduction_of_assets3"/>
      <sheetName val="schedule_nos3"/>
      <sheetName val="INPUT_SHEET3"/>
      <sheetName val="DEPTH_CHART_(ORR)_L_S_3"/>
      <sheetName val="Name_List3"/>
      <sheetName val="Contract_Night_Staff3"/>
      <sheetName val="Contract_Day_Staff3"/>
      <sheetName val="Day_Shift3"/>
      <sheetName val="Night_Shift3"/>
      <sheetName val="PA-_Consutant_3"/>
      <sheetName val="Cashflow_projection3"/>
      <sheetName val="Break_up_Sheet3"/>
      <sheetName val="1st_flr3"/>
      <sheetName val="Fin_Sum3"/>
      <sheetName val="1st_Slab3"/>
      <sheetName val="Order_Info3"/>
      <sheetName val="Scope_Reconciliation3"/>
      <sheetName val="Project_Budget_Worksheet3"/>
      <sheetName val="Approved_MTD_Proj_#'s3"/>
      <sheetName val="Sun_E_Type3"/>
      <sheetName val="As_per_PCA3"/>
      <sheetName val="BLOCK-A_(MEA_SHEET)3"/>
      <sheetName val="Project_Plan_-_WWW3"/>
      <sheetName val="WORK_TABLE3"/>
      <sheetName val="SITE_OVERHEADS3"/>
      <sheetName val="FITZ_MORT_943"/>
      <sheetName val="Capex_-_Hry3"/>
      <sheetName val="LEVEL_SHEET3"/>
      <sheetName val="Material_Rates3"/>
      <sheetName val="SPT_vs_PHI3"/>
      <sheetName val="MASTER_RATE_ANALYSIS3"/>
      <sheetName val="Fee_Rate_Summary3"/>
      <sheetName val="Site_Dev_BOQ3"/>
      <sheetName val="Sheet3_(2)3"/>
      <sheetName val="\TCS,_NAGPUR-MANJIRI_C\PROGRES3"/>
      <sheetName val="Ra__stair3"/>
      <sheetName val="MEP_BOQ-3"/>
      <sheetName val="wooden_door3"/>
      <sheetName val="Sub_con_Summary3"/>
      <sheetName val="Cost_saving3"/>
      <sheetName val="GENERAL_SUMMARY3"/>
      <sheetName val="LMP_Summary3"/>
      <sheetName val="Sec_Summary3"/>
      <sheetName val="Labour_cost3"/>
      <sheetName val="BILLING_SCHEDULE3"/>
      <sheetName val="bill_curve3"/>
      <sheetName val="CASH_IN_&amp;_OUT_FLOW_3"/>
      <sheetName val="cash_flow_curve3"/>
      <sheetName val="Revised_Labour3"/>
      <sheetName val="Rein_Ana3"/>
      <sheetName val="Gen_Exp_Breakup3"/>
      <sheetName val="Total_Quote3"/>
      <sheetName val="Works_-_Quote_Sheet3"/>
      <sheetName val="cover_page3"/>
      <sheetName val="Project_Data3"/>
      <sheetName val="Drop_Down_List3"/>
      <sheetName val="30개월기준대비표_아랍택)3"/>
      <sheetName val="총괄표_(2)3"/>
      <sheetName val="CIF_COST_ITEM3"/>
      <sheetName val="Item-_Compact3"/>
      <sheetName val="P&amp;L_-_AD3"/>
      <sheetName val="GF_Columns3"/>
      <sheetName val="Deprec_3"/>
      <sheetName val="DETAILED__BOQ3"/>
      <sheetName val="SPS_DETAIL3"/>
      <sheetName val="PC_Master_List3"/>
      <sheetName val="Field_Values3"/>
      <sheetName val="Structure_Bills_Qty3"/>
      <sheetName val="BASIS_-DEC_083"/>
      <sheetName val="MN_T_B_3"/>
      <sheetName val="Data_Forecast3"/>
      <sheetName val="Basic_Rate3"/>
      <sheetName val="final_abstract3"/>
      <sheetName val="Master_Data_Sheet3"/>
      <sheetName val="Cement_recon_3"/>
      <sheetName val="Cleaning_&amp;_Grubbing3"/>
      <sheetName val="_3"/>
      <sheetName val="Intro_3"/>
      <sheetName val="_TCS,_NAGPUR-MANJIRI_C_PROGRES3"/>
      <sheetName val="Budget_in_SAP3"/>
      <sheetName val="Civil_Boq3"/>
      <sheetName val="Material_3"/>
      <sheetName val="Factors_3"/>
      <sheetName val="Adimi_bldg3"/>
      <sheetName val="Pump_House3"/>
      <sheetName val="Fuel_Regu_Station3"/>
      <sheetName val="Constants_Summary3"/>
      <sheetName val="Form_63"/>
      <sheetName val="Raw_Data3"/>
      <sheetName val="PointNo_53"/>
      <sheetName val="Plant_&amp;__Machinery3"/>
      <sheetName val="Load_Details-220kV3"/>
      <sheetName val="REPAIR&amp;_MAINT3"/>
      <sheetName val="General"/>
      <sheetName val="Fill_this_out_first___9"/>
      <sheetName val="PDF_Front4"/>
      <sheetName val="Simple_Letter4"/>
      <sheetName val="Overall_Summary4"/>
      <sheetName val="CSI_Summary4"/>
      <sheetName val="Section_1_Areas4"/>
      <sheetName val="Section_1_Summary4"/>
      <sheetName val="Section_14"/>
      <sheetName val="Section_2_Areas4"/>
      <sheetName val="Section_2_Summary4"/>
      <sheetName val="Section_24"/>
      <sheetName val="Section_3_Areas4"/>
      <sheetName val="Section_3_Summary4"/>
      <sheetName val="Section_34"/>
      <sheetName val="Section_4_Areas4"/>
      <sheetName val="Section_4_Summary4"/>
      <sheetName val="Section_44"/>
      <sheetName val="Section_5_Areas4"/>
      <sheetName val="Section_5_Summary4"/>
      <sheetName val="Section_54"/>
      <sheetName val="Sitework_Areas4"/>
      <sheetName val="Section_6_Areas4"/>
      <sheetName val="Section_6_Summary4"/>
      <sheetName val="Section_64"/>
      <sheetName val="Sitework_Summary4"/>
      <sheetName val="Comparison_Summary4"/>
      <sheetName val="Fill_this_out_first___10"/>
      <sheetName val="SHEET_14"/>
      <sheetName val="Salient_Features4"/>
      <sheetName val="IDC_AHK_4"/>
      <sheetName val="BOQ_Direct_selling_cost4"/>
      <sheetName val="Monthwise_breakup4"/>
      <sheetName val="Reinf_Analy4"/>
      <sheetName val="Power_anal4"/>
      <sheetName val="Macro_custom_function4"/>
      <sheetName val="labour_coeff4"/>
      <sheetName val="PRECAST_lightconc-II4"/>
      <sheetName val="DLA_Standard_Cost_Report14"/>
      <sheetName val="IO_List4"/>
      <sheetName val="Sebtion_1_SumMary4"/>
      <sheetName val="Tender_Summary4"/>
      <sheetName val="TBAL9697_-group_wise__sdpl4"/>
      <sheetName val="Staff_Acco_4"/>
      <sheetName val="Pacakges_split4"/>
      <sheetName val="Basement_Budget4"/>
      <sheetName val="Extra_Item4"/>
      <sheetName val="Civil_Works4"/>
      <sheetName val="Cat_A_Change_Control4"/>
      <sheetName val="Meas_-Hotel_Part4"/>
      <sheetName val="RCC,Ret__Wall4"/>
      <sheetName val="Driveway_Beams4"/>
      <sheetName val="Labour_productivity4"/>
      <sheetName val="Stress_Calculation4"/>
      <sheetName val="Deduction_of_assets4"/>
      <sheetName val="schedule_nos4"/>
      <sheetName val="INPUT_SHEET4"/>
      <sheetName val="DEPTH_CHART_(ORR)_L_S_4"/>
      <sheetName val="Name_List4"/>
      <sheetName val="Contract_Night_Staff4"/>
      <sheetName val="Contract_Day_Staff4"/>
      <sheetName val="Day_Shift4"/>
      <sheetName val="Night_Shift4"/>
      <sheetName val="PA-_Consutant_4"/>
      <sheetName val="Cashflow_projection4"/>
      <sheetName val="Break_up_Sheet4"/>
      <sheetName val="1st_flr4"/>
      <sheetName val="Fin_Sum4"/>
      <sheetName val="1st_Slab4"/>
      <sheetName val="Order_Info4"/>
      <sheetName val="Scope_Reconciliation4"/>
      <sheetName val="Project_Budget_Worksheet4"/>
      <sheetName val="Approved_MTD_Proj_#'s4"/>
      <sheetName val="Sun_E_Type4"/>
      <sheetName val="As_per_PCA4"/>
      <sheetName val="BLOCK-A_(MEA_SHEET)4"/>
      <sheetName val="Project_Plan_-_WWW4"/>
      <sheetName val="WORK_TABLE4"/>
      <sheetName val="SITE_OVERHEADS4"/>
      <sheetName val="FITZ_MORT_944"/>
      <sheetName val="Capex_-_Hry4"/>
      <sheetName val="LEVEL_SHEET4"/>
      <sheetName val="Material_Rates4"/>
      <sheetName val="SPT_vs_PHI4"/>
      <sheetName val="MASTER_RATE_ANALYSIS4"/>
      <sheetName val="Fee_Rate_Summary4"/>
      <sheetName val="Site_Dev_BOQ4"/>
      <sheetName val="Sheet3_(2)4"/>
      <sheetName val="\TCS,_NAGPUR-MANJIRI_C\PROGRES4"/>
      <sheetName val="Ra__stair4"/>
      <sheetName val="MEP_BOQ-4"/>
      <sheetName val="wooden_door4"/>
      <sheetName val="Sub_con_Summary4"/>
      <sheetName val="Cost_saving4"/>
      <sheetName val="GENERAL_SUMMARY4"/>
      <sheetName val="LMP_Summary4"/>
      <sheetName val="Sec_Summary4"/>
      <sheetName val="Labour_cost4"/>
      <sheetName val="BILLING_SCHEDULE4"/>
      <sheetName val="bill_curve4"/>
      <sheetName val="CASH_IN_&amp;_OUT_FLOW_4"/>
      <sheetName val="cash_flow_curve4"/>
      <sheetName val="Revised_Labour4"/>
      <sheetName val="Rein_Ana4"/>
      <sheetName val="Gen_Exp_Breakup4"/>
      <sheetName val="Total_Quote4"/>
      <sheetName val="Works_-_Quote_Sheet4"/>
      <sheetName val="cover_page4"/>
      <sheetName val="Project_Data4"/>
      <sheetName val="Drop_Down_List4"/>
      <sheetName val="30개월기준대비표_아랍택)4"/>
      <sheetName val="총괄표_(2)4"/>
      <sheetName val="CIF_COST_ITEM4"/>
      <sheetName val="Item-_Compact4"/>
      <sheetName val="P&amp;L_-_AD4"/>
      <sheetName val="GF_Columns4"/>
      <sheetName val="Deprec_4"/>
      <sheetName val="DETAILED__BOQ4"/>
      <sheetName val="SPS_DETAIL4"/>
      <sheetName val="PC_Master_List4"/>
      <sheetName val="Field_Values4"/>
      <sheetName val="Structure_Bills_Qty4"/>
      <sheetName val="BASIS_-DEC_084"/>
      <sheetName val="MN_T_B_4"/>
      <sheetName val="Data_Forecast4"/>
      <sheetName val="Basic_Rate4"/>
      <sheetName val="final_abstract4"/>
      <sheetName val="Master_Data_Sheet4"/>
      <sheetName val="Cement_recon_4"/>
      <sheetName val="Cleaning_&amp;_Grubbing4"/>
      <sheetName val="_4"/>
      <sheetName val="Intro_4"/>
      <sheetName val="_TCS,_NAGPUR-MANJIRI_C_PROGRES4"/>
      <sheetName val="Budget_in_SAP4"/>
      <sheetName val="Civil_Boq4"/>
      <sheetName val="Material_4"/>
      <sheetName val="Factors_4"/>
      <sheetName val="Adimi_bldg4"/>
      <sheetName val="Pump_House4"/>
      <sheetName val="Fuel_Regu_Station4"/>
      <sheetName val="Constants_Summary4"/>
      <sheetName val="Form_64"/>
      <sheetName val="Raw_Data4"/>
      <sheetName val="PointNo_54"/>
      <sheetName val="Plant_&amp;__Machinery4"/>
      <sheetName val="Load_Details-220kV4"/>
      <sheetName val="REPAIR&amp;_MAINT4"/>
      <sheetName val="Fill_this_out_first___11"/>
      <sheetName val="PDF_Front5"/>
      <sheetName val="Simple_Letter5"/>
      <sheetName val="Overall_Summary5"/>
      <sheetName val="CSI_Summary5"/>
      <sheetName val="Section_1_Areas5"/>
      <sheetName val="Section_1_Summary5"/>
      <sheetName val="Section_15"/>
      <sheetName val="Section_2_Areas5"/>
      <sheetName val="Section_2_Summary5"/>
      <sheetName val="Section_25"/>
      <sheetName val="Section_3_Areas5"/>
      <sheetName val="Section_3_Summary5"/>
      <sheetName val="Section_35"/>
      <sheetName val="Section_4_Areas5"/>
      <sheetName val="Section_4_Summary5"/>
      <sheetName val="Section_45"/>
      <sheetName val="Section_5_Areas5"/>
      <sheetName val="Section_5_Summary5"/>
      <sheetName val="Section_55"/>
      <sheetName val="Sitework_Areas5"/>
      <sheetName val="Section_6_Areas5"/>
      <sheetName val="Section_6_Summary5"/>
      <sheetName val="Section_65"/>
      <sheetName val="Sitework_Summary5"/>
      <sheetName val="Comparison_Summary5"/>
      <sheetName val="Fill_this_out_first___12"/>
      <sheetName val="SHEET_15"/>
      <sheetName val="Salient_Features5"/>
      <sheetName val="IDC_AHK_5"/>
      <sheetName val="BOQ_Direct_selling_cost5"/>
      <sheetName val="Monthwise_breakup5"/>
      <sheetName val="Reinf_Analy5"/>
      <sheetName val="Power_anal5"/>
      <sheetName val="Macro_custom_function5"/>
      <sheetName val="labour_coeff5"/>
      <sheetName val="PRECAST_lightconc-II5"/>
      <sheetName val="DLA_Standard_Cost_Report15"/>
      <sheetName val="IO_List5"/>
      <sheetName val="Sebtion_1_SumMary5"/>
      <sheetName val="Tender_Summary5"/>
      <sheetName val="TBAL9697_-group_wise__sdpl5"/>
      <sheetName val="Staff_Acco_5"/>
      <sheetName val="Pacakges_split5"/>
      <sheetName val="Basement_Budget5"/>
      <sheetName val="Extra_Item5"/>
      <sheetName val="Civil_Works5"/>
      <sheetName val="Cat_A_Change_Control5"/>
      <sheetName val="Meas_-Hotel_Part5"/>
      <sheetName val="RCC,Ret__Wall5"/>
      <sheetName val="Driveway_Beams5"/>
      <sheetName val="Labour_productivity5"/>
      <sheetName val="Stress_Calculation5"/>
      <sheetName val="Deduction_of_assets5"/>
      <sheetName val="schedule_nos5"/>
      <sheetName val="INPUT_SHEET5"/>
      <sheetName val="DEPTH_CHART_(ORR)_L_S_5"/>
      <sheetName val="Name_List5"/>
      <sheetName val="Contract_Night_Staff5"/>
      <sheetName val="Contract_Day_Staff5"/>
      <sheetName val="Day_Shift5"/>
      <sheetName val="Night_Shift5"/>
      <sheetName val="PA-_Consutant_5"/>
      <sheetName val="Cashflow_projection5"/>
      <sheetName val="Break_up_Sheet5"/>
      <sheetName val="1st_flr5"/>
      <sheetName val="Fin_Sum5"/>
      <sheetName val="1st_Slab5"/>
      <sheetName val="Order_Info5"/>
      <sheetName val="Scope_Reconciliation5"/>
      <sheetName val="Project_Budget_Worksheet5"/>
      <sheetName val="Approved_MTD_Proj_#'s5"/>
      <sheetName val="Sun_E_Type5"/>
      <sheetName val="As_per_PCA5"/>
      <sheetName val="BLOCK-A_(MEA_SHEET)5"/>
      <sheetName val="Project_Plan_-_WWW5"/>
      <sheetName val="WORK_TABLE5"/>
      <sheetName val="SITE_OVERHEADS5"/>
      <sheetName val="FITZ_MORT_945"/>
      <sheetName val="Capex_-_Hry5"/>
      <sheetName val="LEVEL_SHEET5"/>
      <sheetName val="Material_Rates5"/>
      <sheetName val="SPT_vs_PHI5"/>
      <sheetName val="MASTER_RATE_ANALYSIS5"/>
      <sheetName val="Fee_Rate_Summary5"/>
      <sheetName val="Site_Dev_BOQ5"/>
      <sheetName val="Sheet3_(2)5"/>
      <sheetName val="\TCS,_NAGPUR-MANJIRI_C\PROGRES5"/>
      <sheetName val="Ra__stair5"/>
      <sheetName val="MEP_BOQ-5"/>
      <sheetName val="wooden_door5"/>
      <sheetName val="Sub_con_Summary5"/>
      <sheetName val="Cost_saving5"/>
      <sheetName val="GENERAL_SUMMARY5"/>
      <sheetName val="LMP_Summary5"/>
      <sheetName val="Sec_Summary5"/>
      <sheetName val="Labour_cost5"/>
      <sheetName val="BILLING_SCHEDULE5"/>
      <sheetName val="bill_curve5"/>
      <sheetName val="CASH_IN_&amp;_OUT_FLOW_5"/>
      <sheetName val="cash_flow_curve5"/>
      <sheetName val="Revised_Labour5"/>
      <sheetName val="Rein_Ana5"/>
      <sheetName val="Gen_Exp_Breakup5"/>
      <sheetName val="Total_Quote5"/>
      <sheetName val="Works_-_Quote_Sheet5"/>
      <sheetName val="cover_page5"/>
      <sheetName val="Project_Data5"/>
      <sheetName val="Drop_Down_List5"/>
      <sheetName val="30개월기준대비표_아랍택)5"/>
      <sheetName val="총괄표_(2)5"/>
      <sheetName val="CIF_COST_ITEM5"/>
      <sheetName val="Item-_Compact5"/>
      <sheetName val="P&amp;L_-_AD5"/>
      <sheetName val="GF_Columns5"/>
      <sheetName val="Deprec_5"/>
      <sheetName val="DETAILED__BOQ5"/>
      <sheetName val="SPS_DETAIL5"/>
      <sheetName val="PC_Master_List5"/>
      <sheetName val="Field_Values5"/>
      <sheetName val="Structure_Bills_Qty5"/>
      <sheetName val="BASIS_-DEC_085"/>
      <sheetName val="MN_T_B_5"/>
      <sheetName val="Data_Forecast5"/>
      <sheetName val="Basic_Rate5"/>
      <sheetName val="final_abstract5"/>
      <sheetName val="Master_Data_Sheet5"/>
      <sheetName val="Cement_recon_5"/>
      <sheetName val="Cleaning_&amp;_Grubbing5"/>
      <sheetName val="_5"/>
      <sheetName val="Intro_5"/>
      <sheetName val="_TCS,_NAGPUR-MANJIRI_C_PROGRES5"/>
      <sheetName val="Budget_in_SAP5"/>
      <sheetName val="Civil_Boq5"/>
      <sheetName val="Material_5"/>
      <sheetName val="Factors_5"/>
      <sheetName val="Adimi_bldg5"/>
      <sheetName val="Pump_House5"/>
      <sheetName val="Fuel_Regu_Station5"/>
      <sheetName val="Constants_Summary5"/>
      <sheetName val="Form_65"/>
      <sheetName val="Raw_Data5"/>
      <sheetName val="PointNo_55"/>
      <sheetName val="Plant_&amp;__Machinery5"/>
      <sheetName val="Load_Details-220kV5"/>
      <sheetName val="REPAIR&amp;_MAINT5"/>
      <sheetName val="Fill_this_out_first___13"/>
      <sheetName val="PDF_Front6"/>
      <sheetName val="Simple_Letter6"/>
      <sheetName val="Overall_Summary6"/>
      <sheetName val="CSI_Summary6"/>
      <sheetName val="Section_1_Areas6"/>
      <sheetName val="Section_1_Summary6"/>
      <sheetName val="Section_16"/>
      <sheetName val="Section_2_Areas6"/>
      <sheetName val="Section_2_Summary6"/>
      <sheetName val="Section_26"/>
      <sheetName val="Section_3_Areas6"/>
      <sheetName val="Section_3_Summary6"/>
      <sheetName val="Section_36"/>
      <sheetName val="Section_4_Areas6"/>
      <sheetName val="Section_4_Summary6"/>
      <sheetName val="Section_46"/>
      <sheetName val="Section_5_Areas6"/>
      <sheetName val="Section_5_Summary6"/>
      <sheetName val="Section_56"/>
      <sheetName val="Sitework_Areas6"/>
      <sheetName val="Section_6_Areas6"/>
      <sheetName val="Section_6_Summary6"/>
      <sheetName val="Section_66"/>
      <sheetName val="Sitework_Summary6"/>
      <sheetName val="Comparison_Summary6"/>
      <sheetName val="Fill_this_out_first___14"/>
      <sheetName val="SHEET_16"/>
      <sheetName val="Salient_Features6"/>
      <sheetName val="IDC_AHK_6"/>
      <sheetName val="BOQ_Direct_selling_cost6"/>
      <sheetName val="Monthwise_breakup6"/>
      <sheetName val="Reinf_Analy6"/>
      <sheetName val="Power_anal6"/>
      <sheetName val="Macro_custom_function6"/>
      <sheetName val="labour_coeff6"/>
      <sheetName val="PRECAST_lightconc-II6"/>
      <sheetName val="DLA_Standard_Cost_Report16"/>
      <sheetName val="IO_List6"/>
      <sheetName val="Sebtion_1_SumMary6"/>
      <sheetName val="Tender_Summary6"/>
      <sheetName val="TBAL9697_-group_wise__sdpl6"/>
      <sheetName val="Staff_Acco_6"/>
      <sheetName val="Pacakges_split6"/>
      <sheetName val="Basement_Budget6"/>
      <sheetName val="Extra_Item6"/>
      <sheetName val="Civil_Works6"/>
      <sheetName val="Cat_A_Change_Control6"/>
      <sheetName val="Meas_-Hotel_Part6"/>
      <sheetName val="RCC,Ret__Wall6"/>
      <sheetName val="Driveway_Beams6"/>
      <sheetName val="Labour_productivity6"/>
      <sheetName val="Stress_Calculation6"/>
      <sheetName val="Deduction_of_assets6"/>
      <sheetName val="schedule_nos6"/>
      <sheetName val="INPUT_SHEET6"/>
      <sheetName val="DEPTH_CHART_(ORR)_L_S_6"/>
      <sheetName val="Name_List6"/>
      <sheetName val="Contract_Night_Staff6"/>
      <sheetName val="Contract_Day_Staff6"/>
      <sheetName val="Day_Shift6"/>
      <sheetName val="Night_Shift6"/>
      <sheetName val="PA-_Consutant_6"/>
      <sheetName val="Cashflow_projection6"/>
      <sheetName val="Break_up_Sheet6"/>
      <sheetName val="1st_flr6"/>
      <sheetName val="Fin_Sum6"/>
      <sheetName val="1st_Slab6"/>
      <sheetName val="Order_Info6"/>
      <sheetName val="Scope_Reconciliation6"/>
      <sheetName val="Project_Budget_Worksheet6"/>
      <sheetName val="Approved_MTD_Proj_#'s6"/>
      <sheetName val="Sun_E_Type6"/>
      <sheetName val="As_per_PCA6"/>
      <sheetName val="BLOCK-A_(MEA_SHEET)6"/>
      <sheetName val="Project_Plan_-_WWW6"/>
      <sheetName val="WORK_TABLE6"/>
      <sheetName val="SITE_OVERHEADS6"/>
      <sheetName val="FITZ_MORT_946"/>
      <sheetName val="Capex_-_Hry6"/>
      <sheetName val="LEVEL_SHEET6"/>
      <sheetName val="Material_Rates6"/>
      <sheetName val="SPT_vs_PHI6"/>
      <sheetName val="MASTER_RATE_ANALYSIS6"/>
      <sheetName val="Fee_Rate_Summary6"/>
      <sheetName val="Site_Dev_BOQ6"/>
      <sheetName val="Sheet3_(2)6"/>
      <sheetName val="\TCS,_NAGPUR-MANJIRI_C\PROGRES6"/>
      <sheetName val="Ra__stair6"/>
      <sheetName val="MEP_BOQ-6"/>
      <sheetName val="wooden_door6"/>
      <sheetName val="Sub_con_Summary6"/>
      <sheetName val="Cost_saving6"/>
      <sheetName val="GENERAL_SUMMARY6"/>
      <sheetName val="LMP_Summary6"/>
      <sheetName val="Sec_Summary6"/>
      <sheetName val="Labour_cost6"/>
      <sheetName val="BILLING_SCHEDULE6"/>
      <sheetName val="bill_curve6"/>
      <sheetName val="CASH_IN_&amp;_OUT_FLOW_6"/>
      <sheetName val="cash_flow_curve6"/>
      <sheetName val="Revised_Labour6"/>
      <sheetName val="Rein_Ana6"/>
      <sheetName val="Gen_Exp_Breakup6"/>
      <sheetName val="Total_Quote6"/>
      <sheetName val="Works_-_Quote_Sheet6"/>
      <sheetName val="cover_page6"/>
      <sheetName val="Project_Data6"/>
      <sheetName val="Drop_Down_List6"/>
      <sheetName val="30개월기준대비표_아랍택)6"/>
      <sheetName val="총괄표_(2)6"/>
      <sheetName val="CIF_COST_ITEM6"/>
      <sheetName val="Item-_Compact6"/>
      <sheetName val="P&amp;L_-_AD6"/>
      <sheetName val="GF_Columns6"/>
      <sheetName val="Deprec_6"/>
      <sheetName val="DETAILED__BOQ6"/>
      <sheetName val="SPS_DETAIL6"/>
      <sheetName val="PC_Master_List6"/>
      <sheetName val="Field_Values6"/>
      <sheetName val="Structure_Bills_Qty6"/>
      <sheetName val="BASIS_-DEC_086"/>
      <sheetName val="MN_T_B_6"/>
      <sheetName val="Data_Forecast6"/>
      <sheetName val="Basic_Rate6"/>
      <sheetName val="final_abstract6"/>
      <sheetName val="Master_Data_Sheet6"/>
      <sheetName val="Cement_recon_6"/>
      <sheetName val="Cleaning_&amp;_Grubbing6"/>
      <sheetName val="_6"/>
      <sheetName val="Intro_6"/>
      <sheetName val="_TCS,_NAGPUR-MANJIRI_C_PROGRES6"/>
      <sheetName val="Budget_in_SAP6"/>
      <sheetName val="Civil_Boq6"/>
      <sheetName val="Material_6"/>
      <sheetName val="Factors_6"/>
      <sheetName val="Adimi_bldg6"/>
      <sheetName val="Pump_House6"/>
      <sheetName val="Fuel_Regu_Station6"/>
      <sheetName val="Constants_Summary6"/>
      <sheetName val="Form_66"/>
      <sheetName val="Raw_Data6"/>
      <sheetName val="PointNo_56"/>
      <sheetName val="Plant_&amp;__Machinery6"/>
      <sheetName val="Load_Details-220kV6"/>
      <sheetName val="REPAIR&amp;_MAINT6"/>
      <sheetName val="Fill_this_out_first___15"/>
      <sheetName val="PDF_Front7"/>
      <sheetName val="Simple_Letter7"/>
      <sheetName val="Overall_Summary7"/>
      <sheetName val="CSI_Summary7"/>
      <sheetName val="Section_1_Areas7"/>
      <sheetName val="Section_1_Summary7"/>
      <sheetName val="Section_17"/>
      <sheetName val="Section_2_Areas7"/>
      <sheetName val="Section_2_Summary7"/>
      <sheetName val="Section_27"/>
      <sheetName val="Section_3_Areas7"/>
      <sheetName val="Section_3_Summary7"/>
      <sheetName val="Section_37"/>
      <sheetName val="Section_4_Areas7"/>
      <sheetName val="Section_4_Summary7"/>
      <sheetName val="Section_47"/>
      <sheetName val="Section_5_Areas7"/>
      <sheetName val="Section_5_Summary7"/>
      <sheetName val="Section_57"/>
      <sheetName val="Sitework_Areas7"/>
      <sheetName val="Section_6_Areas7"/>
      <sheetName val="Section_6_Summary7"/>
      <sheetName val="Section_67"/>
      <sheetName val="Sitework_Summary7"/>
      <sheetName val="Comparison_Summary7"/>
      <sheetName val="Fill_this_out_first___16"/>
      <sheetName val="SHEET_17"/>
      <sheetName val="Salient_Features7"/>
      <sheetName val="IDC_AHK_7"/>
      <sheetName val="BOQ_Direct_selling_cost7"/>
      <sheetName val="Monthwise_breakup7"/>
      <sheetName val="Reinf_Analy7"/>
      <sheetName val="Power_anal7"/>
      <sheetName val="Macro_custom_function7"/>
      <sheetName val="labour_coeff7"/>
      <sheetName val="PRECAST_lightconc-II7"/>
      <sheetName val="DLA_Standard_Cost_Report17"/>
      <sheetName val="IO_List7"/>
      <sheetName val="Sebtion_1_SumMary7"/>
      <sheetName val="Tender_Summary7"/>
      <sheetName val="TBAL9697_-group_wise__sdpl7"/>
      <sheetName val="Staff_Acco_7"/>
      <sheetName val="Pacakges_split7"/>
      <sheetName val="Basement_Budget7"/>
      <sheetName val="Extra_Item7"/>
      <sheetName val="Civil_Works7"/>
      <sheetName val="Cat_A_Change_Control7"/>
      <sheetName val="Meas_-Hotel_Part7"/>
      <sheetName val="RCC,Ret__Wall7"/>
      <sheetName val="Driveway_Beams7"/>
      <sheetName val="Labour_productivity7"/>
      <sheetName val="Stress_Calculation7"/>
      <sheetName val="Deduction_of_assets7"/>
      <sheetName val="schedule_nos7"/>
      <sheetName val="INPUT_SHEET7"/>
      <sheetName val="DEPTH_CHART_(ORR)_L_S_7"/>
      <sheetName val="Name_List7"/>
      <sheetName val="Contract_Night_Staff7"/>
      <sheetName val="Contract_Day_Staff7"/>
      <sheetName val="Day_Shift7"/>
      <sheetName val="Night_Shift7"/>
      <sheetName val="PA-_Consutant_7"/>
      <sheetName val="Cashflow_projection7"/>
      <sheetName val="Break_up_Sheet7"/>
      <sheetName val="1st_flr7"/>
      <sheetName val="Fin_Sum7"/>
      <sheetName val="1st_Slab7"/>
      <sheetName val="Order_Info7"/>
      <sheetName val="Scope_Reconciliation7"/>
      <sheetName val="Project_Budget_Worksheet7"/>
      <sheetName val="Approved_MTD_Proj_#'s7"/>
      <sheetName val="Sun_E_Type7"/>
      <sheetName val="As_per_PCA7"/>
      <sheetName val="BLOCK-A_(MEA_SHEET)7"/>
      <sheetName val="Project_Plan_-_WWW7"/>
      <sheetName val="WORK_TABLE7"/>
      <sheetName val="SITE_OVERHEADS7"/>
      <sheetName val="FITZ_MORT_947"/>
      <sheetName val="Capex_-_Hry7"/>
      <sheetName val="LEVEL_SHEET7"/>
      <sheetName val="Material_Rates7"/>
      <sheetName val="SPT_vs_PHI7"/>
      <sheetName val="MASTER_RATE_ANALYSIS7"/>
      <sheetName val="Fee_Rate_Summary7"/>
      <sheetName val="Site_Dev_BOQ7"/>
      <sheetName val="Sheet3_(2)7"/>
      <sheetName val="\TCS,_NAGPUR-MANJIRI_C\PROGRES7"/>
      <sheetName val="Ra__stair7"/>
      <sheetName val="MEP_BOQ-7"/>
      <sheetName val="wooden_door7"/>
      <sheetName val="Sub_con_Summary7"/>
      <sheetName val="Cost_saving7"/>
      <sheetName val="GENERAL_SUMMARY7"/>
      <sheetName val="LMP_Summary7"/>
      <sheetName val="Sec_Summary7"/>
      <sheetName val="Labour_cost7"/>
      <sheetName val="BILLING_SCHEDULE7"/>
      <sheetName val="bill_curve7"/>
      <sheetName val="CASH_IN_&amp;_OUT_FLOW_7"/>
      <sheetName val="cash_flow_curve7"/>
      <sheetName val="Revised_Labour7"/>
      <sheetName val="Rein_Ana7"/>
      <sheetName val="Gen_Exp_Breakup7"/>
      <sheetName val="Total_Quote7"/>
      <sheetName val="Works_-_Quote_Sheet7"/>
      <sheetName val="cover_page7"/>
      <sheetName val="Project_Data7"/>
      <sheetName val="Drop_Down_List7"/>
      <sheetName val="30개월기준대비표_아랍택)7"/>
      <sheetName val="총괄표_(2)7"/>
      <sheetName val="CIF_COST_ITEM7"/>
      <sheetName val="Item-_Compact7"/>
      <sheetName val="P&amp;L_-_AD7"/>
      <sheetName val="GF_Columns7"/>
      <sheetName val="Deprec_7"/>
      <sheetName val="DETAILED__BOQ7"/>
      <sheetName val="SPS_DETAIL7"/>
      <sheetName val="PC_Master_List7"/>
      <sheetName val="Field_Values7"/>
      <sheetName val="Structure_Bills_Qty7"/>
      <sheetName val="BASIS_-DEC_087"/>
      <sheetName val="MN_T_B_7"/>
      <sheetName val="Data_Forecast7"/>
      <sheetName val="Basic_Rate7"/>
      <sheetName val="final_abstract7"/>
      <sheetName val="Master_Data_Sheet7"/>
      <sheetName val="Cement_recon_7"/>
      <sheetName val="Cleaning_&amp;_Grubbing7"/>
      <sheetName val="_7"/>
      <sheetName val="Intro_7"/>
      <sheetName val="_TCS,_NAGPUR-MANJIRI_C_PROGRES7"/>
      <sheetName val="Budget_in_SAP7"/>
      <sheetName val="Civil_Boq7"/>
      <sheetName val="Material_7"/>
      <sheetName val="Factors_7"/>
      <sheetName val="Adimi_bldg7"/>
      <sheetName val="Pump_House7"/>
      <sheetName val="Fuel_Regu_Station7"/>
      <sheetName val="Constants_Summary7"/>
      <sheetName val="Form_67"/>
      <sheetName val="Raw_Data7"/>
      <sheetName val="PointNo_57"/>
      <sheetName val="Plant_&amp;__Machinery7"/>
      <sheetName val="Load_Details-220kV7"/>
      <sheetName val="REPAIR&amp;_MAINT7"/>
      <sheetName val="Fill_this_out_first___17"/>
      <sheetName val="PDF_Front8"/>
      <sheetName val="Simple_Letter8"/>
      <sheetName val="Overall_Summary8"/>
      <sheetName val="CSI_Summary8"/>
      <sheetName val="Section_1_Areas8"/>
      <sheetName val="Section_1_Summary8"/>
      <sheetName val="Section_18"/>
      <sheetName val="Section_2_Areas8"/>
      <sheetName val="Section_2_Summary8"/>
      <sheetName val="Section_28"/>
      <sheetName val="Section_3_Areas8"/>
      <sheetName val="Section_3_Summary8"/>
      <sheetName val="Section_38"/>
      <sheetName val="Section_4_Areas8"/>
      <sheetName val="Section_4_Summary8"/>
      <sheetName val="Section_48"/>
      <sheetName val="Section_5_Areas8"/>
      <sheetName val="Section_5_Summary8"/>
      <sheetName val="Section_58"/>
      <sheetName val="Sitework_Areas8"/>
      <sheetName val="Section_6_Areas8"/>
      <sheetName val="Section_6_Summary8"/>
      <sheetName val="Section_68"/>
      <sheetName val="Sitework_Summary8"/>
      <sheetName val="Comparison_Summary8"/>
      <sheetName val="Fill_this_out_first___18"/>
      <sheetName val="SHEET_18"/>
      <sheetName val="Salient_Features8"/>
      <sheetName val="IDC_AHK_8"/>
      <sheetName val="BOQ_Direct_selling_cost8"/>
      <sheetName val="Monthwise_breakup8"/>
      <sheetName val="Reinf_Analy8"/>
      <sheetName val="Power_anal8"/>
      <sheetName val="Macro_custom_function8"/>
      <sheetName val="labour_coeff8"/>
      <sheetName val="PRECAST_lightconc-II8"/>
      <sheetName val="DLA_Standard_Cost_Report18"/>
      <sheetName val="IO_List8"/>
      <sheetName val="Sebtion_1_SumMary8"/>
      <sheetName val="Tender_Summary8"/>
      <sheetName val="TBAL9697_-group_wise__sdpl8"/>
      <sheetName val="Staff_Acco_8"/>
      <sheetName val="Pacakges_split8"/>
      <sheetName val="Basement_Budget8"/>
      <sheetName val="Extra_Item8"/>
      <sheetName val="Civil_Works8"/>
      <sheetName val="Cat_A_Change_Control8"/>
      <sheetName val="Meas_-Hotel_Part8"/>
      <sheetName val="RCC,Ret__Wall8"/>
      <sheetName val="Driveway_Beams8"/>
      <sheetName val="Labour_productivity8"/>
      <sheetName val="Stress_Calculation8"/>
      <sheetName val="Deduction_of_assets8"/>
      <sheetName val="schedule_nos8"/>
      <sheetName val="INPUT_SHEET8"/>
      <sheetName val="DEPTH_CHART_(ORR)_L_S_8"/>
      <sheetName val="Name_List8"/>
      <sheetName val="Contract_Night_Staff8"/>
      <sheetName val="Contract_Day_Staff8"/>
      <sheetName val="Day_Shift8"/>
      <sheetName val="Night_Shift8"/>
      <sheetName val="PA-_Consutant_8"/>
      <sheetName val="Cashflow_projection8"/>
      <sheetName val="Break_up_Sheet8"/>
      <sheetName val="1st_flr8"/>
      <sheetName val="Fin_Sum8"/>
      <sheetName val="1st_Slab8"/>
      <sheetName val="Order_Info8"/>
      <sheetName val="Scope_Reconciliation8"/>
      <sheetName val="Project_Budget_Worksheet8"/>
      <sheetName val="Approved_MTD_Proj_#'s8"/>
      <sheetName val="Sun_E_Type8"/>
      <sheetName val="As_per_PCA8"/>
      <sheetName val="BLOCK-A_(MEA_SHEET)8"/>
      <sheetName val="Project_Plan_-_WWW8"/>
      <sheetName val="WORK_TABLE8"/>
      <sheetName val="SITE_OVERHEADS8"/>
      <sheetName val="FITZ_MORT_948"/>
      <sheetName val="Capex_-_Hry8"/>
      <sheetName val="LEVEL_SHEET8"/>
      <sheetName val="Material_Rates8"/>
      <sheetName val="SPT_vs_PHI8"/>
      <sheetName val="MASTER_RATE_ANALYSIS8"/>
      <sheetName val="Fee_Rate_Summary8"/>
      <sheetName val="Site_Dev_BOQ8"/>
      <sheetName val="Sheet3_(2)8"/>
      <sheetName val="\TCS,_NAGPUR-MANJIRI_C\PROGRES8"/>
      <sheetName val="Ra__stair8"/>
      <sheetName val="MEP_BOQ-8"/>
      <sheetName val="wooden_door8"/>
      <sheetName val="Sub_con_Summary8"/>
      <sheetName val="Cost_saving8"/>
      <sheetName val="GENERAL_SUMMARY8"/>
      <sheetName val="LMP_Summary8"/>
      <sheetName val="Sec_Summary8"/>
      <sheetName val="Labour_cost8"/>
      <sheetName val="BILLING_SCHEDULE8"/>
      <sheetName val="bill_curve8"/>
      <sheetName val="CASH_IN_&amp;_OUT_FLOW_8"/>
      <sheetName val="cash_flow_curve8"/>
      <sheetName val="Revised_Labour8"/>
      <sheetName val="Rein_Ana8"/>
      <sheetName val="Gen_Exp_Breakup8"/>
      <sheetName val="Total_Quote8"/>
      <sheetName val="Works_-_Quote_Sheet8"/>
      <sheetName val="cover_page8"/>
      <sheetName val="Project_Data8"/>
      <sheetName val="Drop_Down_List8"/>
      <sheetName val="30개월기준대비표_아랍택)8"/>
      <sheetName val="총괄표_(2)8"/>
      <sheetName val="CIF_COST_ITEM8"/>
      <sheetName val="Item-_Compact8"/>
      <sheetName val="P&amp;L_-_AD8"/>
      <sheetName val="GF_Columns8"/>
      <sheetName val="Deprec_8"/>
      <sheetName val="DETAILED__BOQ8"/>
      <sheetName val="SPS_DETAIL8"/>
      <sheetName val="PC_Master_List8"/>
      <sheetName val="Field_Values8"/>
      <sheetName val="Structure_Bills_Qty8"/>
      <sheetName val="BASIS_-DEC_088"/>
      <sheetName val="MN_T_B_8"/>
      <sheetName val="Data_Forecast8"/>
      <sheetName val="Basic_Rate8"/>
      <sheetName val="final_abstract8"/>
      <sheetName val="Master_Data_Sheet8"/>
      <sheetName val="Cement_recon_8"/>
      <sheetName val="Cleaning_&amp;_Grubbing8"/>
      <sheetName val="_8"/>
      <sheetName val="Intro_8"/>
      <sheetName val="_TCS,_NAGPUR-MANJIRI_C_PROGRES8"/>
      <sheetName val="Budget_in_SAP8"/>
      <sheetName val="Civil_Boq8"/>
      <sheetName val="Material_8"/>
      <sheetName val="Factors_8"/>
      <sheetName val="Adimi_bldg8"/>
      <sheetName val="Pump_House8"/>
      <sheetName val="Fuel_Regu_Station8"/>
      <sheetName val="Constants_Summary8"/>
      <sheetName val="Form_68"/>
      <sheetName val="Raw_Data8"/>
      <sheetName val="PointNo_58"/>
      <sheetName val="Plant_&amp;__Machinery8"/>
      <sheetName val="Load_Details-220kV8"/>
      <sheetName val="REPAIR&amp;_MAINT8"/>
      <sheetName val="C9901"/>
      <sheetName val="Fill_this_out_first___19"/>
      <sheetName val="PDF_Front9"/>
      <sheetName val="Simple_Letter9"/>
      <sheetName val="Overall_Summary9"/>
      <sheetName val="CSI_Summary9"/>
      <sheetName val="Section_1_Areas9"/>
      <sheetName val="Section_1_Summary9"/>
      <sheetName val="Section_19"/>
      <sheetName val="Section_2_Areas9"/>
      <sheetName val="Section_2_Summary9"/>
      <sheetName val="Section_29"/>
      <sheetName val="Section_3_Areas9"/>
      <sheetName val="Section_3_Summary9"/>
      <sheetName val="Section_39"/>
      <sheetName val="Section_4_Areas9"/>
      <sheetName val="Section_4_Summary9"/>
      <sheetName val="Section_49"/>
      <sheetName val="Section_5_Areas9"/>
      <sheetName val="Section_5_Summary9"/>
      <sheetName val="Section_59"/>
      <sheetName val="Sitework_Areas9"/>
      <sheetName val="Section_6_Areas9"/>
      <sheetName val="Section_6_Summary9"/>
      <sheetName val="Section_69"/>
      <sheetName val="Sitework_Summary9"/>
      <sheetName val="Comparison_Summary9"/>
      <sheetName val="Fill_this_out_first___20"/>
      <sheetName val="SHEET_19"/>
      <sheetName val="Salient_Features9"/>
      <sheetName val="IDC_AHK_9"/>
      <sheetName val="BOQ_Direct_selling_cost9"/>
      <sheetName val="Monthwise_breakup9"/>
      <sheetName val="Reinf_Analy9"/>
      <sheetName val="Power_anal9"/>
      <sheetName val="Macro_custom_function9"/>
      <sheetName val="labour_coeff9"/>
      <sheetName val="PRECAST_lightconc-II9"/>
      <sheetName val="DLA_Standard_Cost_Report19"/>
      <sheetName val="IO_List9"/>
      <sheetName val="Sebtion_1_SumMary9"/>
      <sheetName val="Tender_Summary9"/>
      <sheetName val="TBAL9697_-group_wise__sdpl9"/>
      <sheetName val="Staff_Acco_9"/>
      <sheetName val="Pacakges_split9"/>
      <sheetName val="Basement_Budget9"/>
      <sheetName val="Extra_Item9"/>
      <sheetName val="Civil_Works9"/>
      <sheetName val="Cat_A_Change_Control9"/>
      <sheetName val="Meas_-Hotel_Part9"/>
      <sheetName val="RCC,Ret__Wall9"/>
      <sheetName val="Driveway_Beams9"/>
      <sheetName val="Labour_productivity9"/>
      <sheetName val="Stress_Calculation9"/>
      <sheetName val="Deduction_of_assets9"/>
      <sheetName val="schedule_nos9"/>
      <sheetName val="INPUT_SHEET9"/>
      <sheetName val="DEPTH_CHART_(ORR)_L_S_9"/>
      <sheetName val="Name_List9"/>
      <sheetName val="Contract_Night_Staff9"/>
      <sheetName val="Contract_Day_Staff9"/>
      <sheetName val="Day_Shift9"/>
      <sheetName val="Night_Shift9"/>
      <sheetName val="PA-_Consutant_9"/>
      <sheetName val="Cashflow_projection9"/>
      <sheetName val="Break_up_Sheet9"/>
      <sheetName val="1st_flr9"/>
      <sheetName val="Fin_Sum9"/>
      <sheetName val="1st_Slab9"/>
      <sheetName val="Order_Info9"/>
      <sheetName val="Scope_Reconciliation9"/>
      <sheetName val="Project_Budget_Worksheet9"/>
      <sheetName val="Approved_MTD_Proj_#'s9"/>
      <sheetName val="Sun_E_Type9"/>
      <sheetName val="As_per_PCA9"/>
      <sheetName val="BLOCK-A_(MEA_SHEET)9"/>
      <sheetName val="Project_Plan_-_WWW9"/>
      <sheetName val="WORK_TABLE9"/>
      <sheetName val="SITE_OVERHEADS9"/>
      <sheetName val="FITZ_MORT_949"/>
      <sheetName val="Capex_-_Hry9"/>
      <sheetName val="LEVEL_SHEET9"/>
      <sheetName val="Material_Rates9"/>
      <sheetName val="SPT_vs_PHI9"/>
      <sheetName val="MASTER_RATE_ANALYSIS9"/>
      <sheetName val="Fee_Rate_Summary9"/>
      <sheetName val="Site_Dev_BOQ9"/>
      <sheetName val="Sheet3_(2)9"/>
      <sheetName val="\TCS,_NAGPUR-MANJIRI_C\PROGRES9"/>
      <sheetName val="Ra__stair9"/>
      <sheetName val="MEP_BOQ-9"/>
      <sheetName val="wooden_door9"/>
      <sheetName val="Sub_con_Summary9"/>
      <sheetName val="Cost_saving9"/>
      <sheetName val="GENERAL_SUMMARY9"/>
      <sheetName val="LMP_Summary9"/>
      <sheetName val="Sec_Summary9"/>
      <sheetName val="Labour_cost9"/>
      <sheetName val="BILLING_SCHEDULE9"/>
      <sheetName val="bill_curve9"/>
      <sheetName val="CASH_IN_&amp;_OUT_FLOW_9"/>
      <sheetName val="cash_flow_curve9"/>
      <sheetName val="Revised_Labour9"/>
      <sheetName val="Rein_Ana9"/>
      <sheetName val="Gen_Exp_Breakup9"/>
      <sheetName val="Total_Quote9"/>
      <sheetName val="Works_-_Quote_Sheet9"/>
      <sheetName val="cover_page9"/>
      <sheetName val="Project_Data9"/>
      <sheetName val="Drop_Down_List9"/>
      <sheetName val="30개월기준대비표_아랍택)9"/>
      <sheetName val="총괄표_(2)9"/>
      <sheetName val="CIF_COST_ITEM9"/>
      <sheetName val="Item-_Compact9"/>
      <sheetName val="P&amp;L_-_AD9"/>
      <sheetName val="GF_Columns9"/>
      <sheetName val="Deprec_9"/>
      <sheetName val="DETAILED__BOQ9"/>
      <sheetName val="SPS_DETAIL9"/>
      <sheetName val="PC_Master_List9"/>
      <sheetName val="Field_Values9"/>
      <sheetName val="Structure_Bills_Qty9"/>
      <sheetName val="BASIS_-DEC_089"/>
      <sheetName val="MN_T_B_9"/>
      <sheetName val="Data_Forecast9"/>
      <sheetName val="Basic_Rate9"/>
      <sheetName val="final_abstract9"/>
      <sheetName val="Master_Data_Sheet9"/>
      <sheetName val="Cement_recon_9"/>
      <sheetName val="Cleaning_&amp;_Grubbing9"/>
      <sheetName val="_9"/>
      <sheetName val="Intro_9"/>
      <sheetName val="_TCS,_NAGPUR-MANJIRI_C_PROGRES9"/>
      <sheetName val="Budget_in_SAP9"/>
      <sheetName val="Civil_Boq9"/>
      <sheetName val="Material_9"/>
      <sheetName val="Factors_9"/>
      <sheetName val="Adimi_bldg9"/>
      <sheetName val="Pump_House9"/>
      <sheetName val="Fuel_Regu_Station9"/>
      <sheetName val="Constants_Summary9"/>
      <sheetName val="Form_69"/>
      <sheetName val="Raw_Data9"/>
      <sheetName val="PointNo_59"/>
      <sheetName val="Plant_&amp;__Machinery9"/>
      <sheetName val="Load_Details-220kV9"/>
      <sheetName val="REPAIR&amp;_MAINT9"/>
      <sheetName val="Rate_analysis3"/>
      <sheetName val="Fill_this_out_first___21"/>
      <sheetName val="PDF_Front10"/>
      <sheetName val="Simple_Letter10"/>
      <sheetName val="Overall_Summary10"/>
      <sheetName val="CSI_Summary10"/>
      <sheetName val="Section_1_Areas10"/>
      <sheetName val="Section_1_Summary10"/>
      <sheetName val="Section_110"/>
      <sheetName val="Section_2_Areas10"/>
      <sheetName val="Section_2_Summary10"/>
      <sheetName val="Section_210"/>
      <sheetName val="Section_3_Areas10"/>
      <sheetName val="Section_3_Summary10"/>
      <sheetName val="Section_310"/>
      <sheetName val="Section_4_Areas10"/>
      <sheetName val="Section_4_Summary10"/>
      <sheetName val="Section_410"/>
      <sheetName val="Section_5_Areas10"/>
      <sheetName val="Section_5_Summary10"/>
      <sheetName val="Section_510"/>
      <sheetName val="Sitework_Areas10"/>
      <sheetName val="Section_6_Areas10"/>
      <sheetName val="Section_6_Summary10"/>
      <sheetName val="Section_610"/>
      <sheetName val="Sitework_Summary10"/>
      <sheetName val="Comparison_Summary10"/>
      <sheetName val="Fill_this_out_first___22"/>
      <sheetName val="SHEET_110"/>
      <sheetName val="Salient_Features10"/>
      <sheetName val="IDC_AHK_10"/>
      <sheetName val="BOQ_Direct_selling_cost10"/>
      <sheetName val="Monthwise_breakup10"/>
      <sheetName val="Reinf_Analy10"/>
      <sheetName val="Power_anal10"/>
      <sheetName val="Macro_custom_function10"/>
      <sheetName val="labour_coeff10"/>
      <sheetName val="PRECAST_lightconc-II10"/>
      <sheetName val="DLA_Standard_Cost_Report110"/>
      <sheetName val="IO_List10"/>
      <sheetName val="Sebtion_1_SumMary10"/>
      <sheetName val="Tender_Summary10"/>
      <sheetName val="TBAL9697_-group_wise__sdpl10"/>
      <sheetName val="Staff_Acco_10"/>
      <sheetName val="Pacakges_split10"/>
      <sheetName val="Basement_Budget10"/>
      <sheetName val="Extra_Item10"/>
      <sheetName val="Civil_Works10"/>
      <sheetName val="Cat_A_Change_Control10"/>
      <sheetName val="Meas_-Hotel_Part10"/>
      <sheetName val="RCC,Ret__Wall10"/>
      <sheetName val="Driveway_Beams10"/>
      <sheetName val="Labour_productivity10"/>
      <sheetName val="Stress_Calculation10"/>
      <sheetName val="Deduction_of_assets10"/>
      <sheetName val="schedule_nos10"/>
      <sheetName val="INPUT_SHEET10"/>
      <sheetName val="DEPTH_CHART_(ORR)_L_S_10"/>
      <sheetName val="Name_List10"/>
      <sheetName val="Contract_Night_Staff10"/>
      <sheetName val="Contract_Day_Staff10"/>
      <sheetName val="Day_Shift10"/>
      <sheetName val="Night_Shift10"/>
      <sheetName val="PA-_Consutant_10"/>
      <sheetName val="Cashflow_projection10"/>
      <sheetName val="Break_up_Sheet10"/>
      <sheetName val="1st_flr10"/>
      <sheetName val="Fin_Sum10"/>
      <sheetName val="1st_Slab10"/>
      <sheetName val="Order_Info10"/>
      <sheetName val="Scope_Reconciliation10"/>
      <sheetName val="Project_Budget_Worksheet10"/>
      <sheetName val="Approved_MTD_Proj_#'s10"/>
      <sheetName val="Sun_E_Type10"/>
      <sheetName val="As_per_PCA10"/>
      <sheetName val="BLOCK-A_(MEA_SHEET)10"/>
      <sheetName val="Project_Plan_-_WWW10"/>
      <sheetName val="WORK_TABLE10"/>
      <sheetName val="SITE_OVERHEADS10"/>
      <sheetName val="FITZ_MORT_9410"/>
      <sheetName val="Capex_-_Hry10"/>
      <sheetName val="LEVEL_SHEET10"/>
      <sheetName val="Material_Rates10"/>
      <sheetName val="SPT_vs_PHI10"/>
      <sheetName val="MASTER_RATE_ANALYSIS10"/>
      <sheetName val="Fee_Rate_Summary10"/>
      <sheetName val="Site_Dev_BOQ10"/>
      <sheetName val="Rate_analysis4"/>
      <sheetName val="Sheet3_(2)10"/>
      <sheetName val="\TCS,_NAGPUR-MANJIRI_C\PROGRE10"/>
      <sheetName val="Ra__stair10"/>
      <sheetName val="MEP_BOQ-10"/>
      <sheetName val="wooden_door10"/>
      <sheetName val="Sub_con_Summary10"/>
      <sheetName val="Cost_saving10"/>
      <sheetName val="GENERAL_SUMMARY10"/>
      <sheetName val="LMP_Summary10"/>
      <sheetName val="Sec_Summary10"/>
      <sheetName val="Labour_cost10"/>
      <sheetName val="BILLING_SCHEDULE10"/>
      <sheetName val="bill_curve10"/>
      <sheetName val="CASH_IN_&amp;_OUT_FLOW_10"/>
      <sheetName val="cash_flow_curve10"/>
      <sheetName val="Revised_Labour10"/>
      <sheetName val="Rein_Ana10"/>
      <sheetName val="Gen_Exp_Breakup10"/>
      <sheetName val="Total_Quote10"/>
      <sheetName val="Works_-_Quote_Sheet10"/>
      <sheetName val="cover_page10"/>
      <sheetName val="Project_Data10"/>
      <sheetName val="Drop_Down_List10"/>
      <sheetName val="30개월기준대비표_아랍택)10"/>
      <sheetName val="총괄표_(2)10"/>
      <sheetName val="CIF_COST_ITEM10"/>
      <sheetName val="Item-_Compact10"/>
      <sheetName val="P&amp;L_-_AD10"/>
      <sheetName val="GF_Columns10"/>
      <sheetName val="Deprec_10"/>
      <sheetName val="DETAILED__BOQ10"/>
      <sheetName val="SPS_DETAIL10"/>
      <sheetName val="PC_Master_List10"/>
      <sheetName val="Field_Values10"/>
      <sheetName val="Structure_Bills_Qty10"/>
      <sheetName val="BASIS_-DEC_0810"/>
      <sheetName val="MN_T_B_10"/>
      <sheetName val="Data_Forecast10"/>
      <sheetName val="Basic_Rate10"/>
      <sheetName val="final_abstract10"/>
      <sheetName val="Master_Data_Sheet10"/>
      <sheetName val="Cement_recon_10"/>
      <sheetName val="Cleaning_&amp;_Grubbing10"/>
      <sheetName val="_10"/>
      <sheetName val="Intro_10"/>
      <sheetName val="_TCS,_NAGPUR-MANJIRI_C_PROGRE10"/>
      <sheetName val="Budget_in_SAP10"/>
      <sheetName val="Civil_Boq10"/>
      <sheetName val="Material_10"/>
      <sheetName val="Factors_10"/>
      <sheetName val="Adimi_bldg10"/>
      <sheetName val="Pump_House10"/>
      <sheetName val="Fuel_Regu_Station10"/>
      <sheetName val="Constants_Summary10"/>
      <sheetName val="Form_610"/>
      <sheetName val="Raw_Data10"/>
      <sheetName val="PointNo_510"/>
      <sheetName val="Plant_&amp;__Machinery10"/>
      <sheetName val="Load_Details-220kV10"/>
      <sheetName val="REPAIR&amp;_MAINT10"/>
      <sheetName val="Fill_this_out_first___23"/>
      <sheetName val="PDF_Front11"/>
      <sheetName val="Simple_Letter11"/>
      <sheetName val="Overall_Summary11"/>
      <sheetName val="CSI_Summary11"/>
      <sheetName val="Section_1_Areas11"/>
      <sheetName val="Section_1_Summary11"/>
      <sheetName val="Section_111"/>
      <sheetName val="Section_2_Areas11"/>
      <sheetName val="Section_2_Summary11"/>
      <sheetName val="Section_211"/>
      <sheetName val="Section_3_Areas11"/>
      <sheetName val="Section_3_Summary11"/>
      <sheetName val="Section_311"/>
      <sheetName val="Section_4_Areas11"/>
      <sheetName val="Section_4_Summary11"/>
      <sheetName val="Section_411"/>
      <sheetName val="Section_5_Areas11"/>
      <sheetName val="Section_5_Summary11"/>
      <sheetName val="Section_511"/>
      <sheetName val="Sitework_Areas11"/>
      <sheetName val="Section_6_Areas11"/>
      <sheetName val="Section_6_Summary11"/>
      <sheetName val="Section_611"/>
      <sheetName val="Sitework_Summary11"/>
      <sheetName val="Comparison_Summary11"/>
      <sheetName val="Fill_this_out_first___24"/>
      <sheetName val="SHEET_111"/>
      <sheetName val="Salient_Features11"/>
      <sheetName val="IDC_AHK_11"/>
      <sheetName val="BOQ_Direct_selling_cost11"/>
      <sheetName val="Monthwise_breakup11"/>
      <sheetName val="Reinf_Analy11"/>
      <sheetName val="Power_anal11"/>
      <sheetName val="Macro_custom_function11"/>
      <sheetName val="labour_coeff11"/>
      <sheetName val="PRECAST_lightconc-II11"/>
      <sheetName val="DLA_Standard_Cost_Report111"/>
      <sheetName val="IO_List11"/>
      <sheetName val="Sebtion_1_SumMary11"/>
      <sheetName val="Tender_Summary11"/>
      <sheetName val="TBAL9697_-group_wise__sdpl11"/>
      <sheetName val="Staff_Acco_11"/>
      <sheetName val="Pacakges_split11"/>
      <sheetName val="Basement_Budget11"/>
      <sheetName val="Extra_Item11"/>
      <sheetName val="Civil_Works11"/>
      <sheetName val="Cat_A_Change_Control11"/>
      <sheetName val="Meas_-Hotel_Part11"/>
      <sheetName val="RCC,Ret__Wall11"/>
      <sheetName val="Driveway_Beams11"/>
      <sheetName val="Labour_productivity11"/>
      <sheetName val="Stress_Calculation11"/>
      <sheetName val="Deduction_of_assets11"/>
      <sheetName val="schedule_nos11"/>
      <sheetName val="INPUT_SHEET11"/>
      <sheetName val="DEPTH_CHART_(ORR)_L_S_11"/>
      <sheetName val="Name_List11"/>
      <sheetName val="Contract_Night_Staff11"/>
      <sheetName val="Contract_Day_Staff11"/>
      <sheetName val="Day_Shift11"/>
      <sheetName val="Night_Shift11"/>
      <sheetName val="PA-_Consutant_11"/>
      <sheetName val="Cashflow_projection11"/>
      <sheetName val="Break_up_Sheet11"/>
      <sheetName val="1st_flr11"/>
      <sheetName val="Fin_Sum11"/>
      <sheetName val="1st_Slab11"/>
      <sheetName val="Order_Info11"/>
      <sheetName val="Scope_Reconciliation11"/>
      <sheetName val="Project_Budget_Worksheet11"/>
      <sheetName val="Approved_MTD_Proj_#'s11"/>
      <sheetName val="Sun_E_Type11"/>
      <sheetName val="As_per_PCA11"/>
      <sheetName val="BLOCK-A_(MEA_SHEET)11"/>
      <sheetName val="Project_Plan_-_WWW11"/>
      <sheetName val="WORK_TABLE11"/>
      <sheetName val="SITE_OVERHEADS11"/>
      <sheetName val="FITZ_MORT_9411"/>
      <sheetName val="Capex_-_Hry11"/>
      <sheetName val="LEVEL_SHEET11"/>
      <sheetName val="Material_Rates11"/>
      <sheetName val="SPT_vs_PHI11"/>
      <sheetName val="MASTER_RATE_ANALYSIS11"/>
      <sheetName val="Fee_Rate_Summary11"/>
      <sheetName val="Site_Dev_BOQ11"/>
      <sheetName val="Rate_analysis5"/>
      <sheetName val="Sheet3_(2)11"/>
      <sheetName val="\TCS,_NAGPUR-MANJIRI_C\PROGRE11"/>
      <sheetName val="Ra__stair11"/>
      <sheetName val="MEP_BOQ-11"/>
      <sheetName val="wooden_door11"/>
      <sheetName val="Sub_con_Summary11"/>
      <sheetName val="Cost_saving11"/>
      <sheetName val="GENERAL_SUMMARY11"/>
      <sheetName val="LMP_Summary11"/>
      <sheetName val="Sec_Summary11"/>
      <sheetName val="Labour_cost11"/>
      <sheetName val="BILLING_SCHEDULE11"/>
      <sheetName val="bill_curve11"/>
      <sheetName val="CASH_IN_&amp;_OUT_FLOW_11"/>
      <sheetName val="cash_flow_curve11"/>
      <sheetName val="Revised_Labour11"/>
      <sheetName val="Rein_Ana11"/>
      <sheetName val="Gen_Exp_Breakup11"/>
      <sheetName val="Total_Quote11"/>
      <sheetName val="Works_-_Quote_Sheet11"/>
      <sheetName val="cover_page11"/>
      <sheetName val="Project_Data11"/>
      <sheetName val="Drop_Down_List11"/>
      <sheetName val="30개월기준대비표_아랍택)11"/>
      <sheetName val="총괄표_(2)11"/>
      <sheetName val="CIF_COST_ITEM11"/>
      <sheetName val="Item-_Compact11"/>
      <sheetName val="P&amp;L_-_AD11"/>
      <sheetName val="GF_Columns11"/>
      <sheetName val="Deprec_11"/>
      <sheetName val="DETAILED__BOQ11"/>
      <sheetName val="SPS_DETAIL11"/>
      <sheetName val="PC_Master_List11"/>
      <sheetName val="Field_Values11"/>
      <sheetName val="Structure_Bills_Qty11"/>
      <sheetName val="BASIS_-DEC_0811"/>
      <sheetName val="MN_T_B_11"/>
      <sheetName val="Data_Forecast11"/>
      <sheetName val="Basic_Rate11"/>
      <sheetName val="final_abstract11"/>
      <sheetName val="Master_Data_Sheet11"/>
      <sheetName val="Cement_recon_11"/>
      <sheetName val="Cleaning_&amp;_Grubbing11"/>
      <sheetName val="_11"/>
      <sheetName val="Intro_11"/>
      <sheetName val="_TCS,_NAGPUR-MANJIRI_C_PROGRE11"/>
      <sheetName val="Budget_in_SAP11"/>
      <sheetName val="Civil_Boq11"/>
      <sheetName val="Material_11"/>
      <sheetName val="Factors_11"/>
      <sheetName val="Adimi_bldg11"/>
      <sheetName val="Pump_House11"/>
      <sheetName val="Fuel_Regu_Station11"/>
      <sheetName val="Constants_Summary11"/>
      <sheetName val="Form_611"/>
      <sheetName val="Raw_Data11"/>
      <sheetName val="PointNo_511"/>
      <sheetName val="Plant_&amp;__Machinery11"/>
      <sheetName val="Load_Details-220kV11"/>
      <sheetName val="REPAIR&amp;_MAINT11"/>
      <sheetName val="Fill_this_out_first___25"/>
      <sheetName val="PDF_Front12"/>
      <sheetName val="Simple_Letter12"/>
      <sheetName val="Overall_Summary12"/>
      <sheetName val="CSI_Summary12"/>
      <sheetName val="Section_1_Areas12"/>
      <sheetName val="Section_1_Summary12"/>
      <sheetName val="Section_112"/>
      <sheetName val="Section_2_Areas12"/>
      <sheetName val="Section_2_Summary12"/>
      <sheetName val="Section_212"/>
      <sheetName val="Section_3_Areas12"/>
      <sheetName val="Section_3_Summary12"/>
      <sheetName val="Section_312"/>
      <sheetName val="Section_4_Areas12"/>
      <sheetName val="Section_4_Summary12"/>
      <sheetName val="Section_412"/>
      <sheetName val="Section_5_Areas12"/>
      <sheetName val="Section_5_Summary12"/>
      <sheetName val="Section_512"/>
      <sheetName val="Sitework_Areas12"/>
      <sheetName val="Section_6_Areas12"/>
      <sheetName val="Section_6_Summary12"/>
      <sheetName val="Section_612"/>
      <sheetName val="Sitework_Summary12"/>
      <sheetName val="Comparison_Summary12"/>
      <sheetName val="Fill_this_out_first___26"/>
      <sheetName val="SHEET_112"/>
      <sheetName val="Salient_Features12"/>
      <sheetName val="IDC_AHK_12"/>
      <sheetName val="BOQ_Direct_selling_cost12"/>
      <sheetName val="Monthwise_breakup12"/>
      <sheetName val="Reinf_Analy12"/>
      <sheetName val="Power_anal12"/>
      <sheetName val="Macro_custom_function12"/>
      <sheetName val="labour_coeff12"/>
      <sheetName val="PRECAST_lightconc-II12"/>
      <sheetName val="DLA_Standard_Cost_Report112"/>
      <sheetName val="IO_List12"/>
      <sheetName val="Sebtion_1_SumMary12"/>
      <sheetName val="Tender_Summary12"/>
      <sheetName val="TBAL9697_-group_wise__sdpl12"/>
      <sheetName val="Staff_Acco_12"/>
      <sheetName val="Pacakges_split12"/>
      <sheetName val="Basement_Budget12"/>
      <sheetName val="Extra_Item12"/>
      <sheetName val="Civil_Works12"/>
      <sheetName val="Cat_A_Change_Control12"/>
      <sheetName val="Meas_-Hotel_Part12"/>
      <sheetName val="RCC,Ret__Wall12"/>
      <sheetName val="Driveway_Beams12"/>
      <sheetName val="Labour_productivity12"/>
      <sheetName val="Stress_Calculation12"/>
      <sheetName val="Deduction_of_assets12"/>
      <sheetName val="schedule_nos12"/>
      <sheetName val="INPUT_SHEET12"/>
      <sheetName val="DEPTH_CHART_(ORR)_L_S_12"/>
      <sheetName val="Name_List12"/>
      <sheetName val="Contract_Night_Staff12"/>
      <sheetName val="Contract_Day_Staff12"/>
      <sheetName val="Day_Shift12"/>
      <sheetName val="Night_Shift12"/>
      <sheetName val="PA-_Consutant_12"/>
      <sheetName val="Cashflow_projection12"/>
      <sheetName val="Break_up_Sheet12"/>
      <sheetName val="1st_flr12"/>
      <sheetName val="Fin_Sum12"/>
      <sheetName val="1st_Slab12"/>
      <sheetName val="Order_Info12"/>
      <sheetName val="Scope_Reconciliation12"/>
      <sheetName val="Project_Budget_Worksheet12"/>
      <sheetName val="Approved_MTD_Proj_#'s12"/>
      <sheetName val="Sun_E_Type12"/>
      <sheetName val="As_per_PCA12"/>
      <sheetName val="BLOCK-A_(MEA_SHEET)12"/>
      <sheetName val="Project_Plan_-_WWW12"/>
      <sheetName val="WORK_TABLE12"/>
      <sheetName val="SITE_OVERHEADS12"/>
      <sheetName val="FITZ_MORT_9412"/>
      <sheetName val="Capex_-_Hry12"/>
      <sheetName val="LEVEL_SHEET12"/>
      <sheetName val="Material_Rates12"/>
      <sheetName val="SPT_vs_PHI12"/>
      <sheetName val="MASTER_RATE_ANALYSIS12"/>
      <sheetName val="Fee_Rate_Summary12"/>
      <sheetName val="Site_Dev_BOQ12"/>
      <sheetName val="Rate_analysis6"/>
      <sheetName val="Sheet3_(2)12"/>
      <sheetName val="\TCS,_NAGPUR-MANJIRI_C\PROGRE12"/>
      <sheetName val="Ra__stair12"/>
      <sheetName val="MEP_BOQ-12"/>
      <sheetName val="wooden_door12"/>
      <sheetName val="Sub_con_Summary12"/>
      <sheetName val="Cost_saving12"/>
      <sheetName val="GENERAL_SUMMARY12"/>
      <sheetName val="LMP_Summary12"/>
      <sheetName val="Sec_Summary12"/>
      <sheetName val="Labour_cost12"/>
      <sheetName val="BILLING_SCHEDULE12"/>
      <sheetName val="bill_curve12"/>
      <sheetName val="CASH_IN_&amp;_OUT_FLOW_12"/>
      <sheetName val="cash_flow_curve12"/>
      <sheetName val="Revised_Labour12"/>
      <sheetName val="Rein_Ana12"/>
      <sheetName val="Gen_Exp_Breakup12"/>
      <sheetName val="Total_Quote12"/>
      <sheetName val="Works_-_Quote_Sheet12"/>
      <sheetName val="cover_page12"/>
      <sheetName val="Project_Data12"/>
      <sheetName val="Drop_Down_List12"/>
      <sheetName val="30개월기준대비표_아랍택)12"/>
      <sheetName val="총괄표_(2)12"/>
      <sheetName val="CIF_COST_ITEM12"/>
      <sheetName val="Item-_Compact12"/>
      <sheetName val="P&amp;L_-_AD12"/>
      <sheetName val="GF_Columns12"/>
      <sheetName val="Deprec_12"/>
      <sheetName val="DETAILED__BOQ12"/>
      <sheetName val="SPS_DETAIL12"/>
      <sheetName val="PC_Master_List12"/>
      <sheetName val="Field_Values12"/>
      <sheetName val="Structure_Bills_Qty12"/>
      <sheetName val="BASIS_-DEC_0812"/>
      <sheetName val="MN_T_B_12"/>
      <sheetName val="Data_Forecast12"/>
      <sheetName val="Basic_Rate12"/>
      <sheetName val="final_abstract12"/>
      <sheetName val="Master_Data_Sheet12"/>
      <sheetName val="Cement_recon_12"/>
      <sheetName val="Cleaning_&amp;_Grubbing12"/>
      <sheetName val="_12"/>
      <sheetName val="Intro_12"/>
      <sheetName val="_TCS,_NAGPUR-MANJIRI_C_PROGRE12"/>
      <sheetName val="Budget_in_SAP12"/>
      <sheetName val="Civil_Boq12"/>
      <sheetName val="Material_12"/>
      <sheetName val="Factors_12"/>
      <sheetName val="Adimi_bldg12"/>
      <sheetName val="Pump_House12"/>
      <sheetName val="Fuel_Regu_Station12"/>
      <sheetName val="Constants_Summary12"/>
      <sheetName val="Form_612"/>
      <sheetName val="Raw_Data12"/>
      <sheetName val="PointNo_512"/>
      <sheetName val="Plant_&amp;__Machinery12"/>
      <sheetName val="Load_Details-220kV12"/>
      <sheetName val="REPAIR&amp;_MAINT12"/>
      <sheetName val="Fill_this_out_first___27"/>
      <sheetName val="Fill_this_out_first___29"/>
      <sheetName val="PDF_Front13"/>
      <sheetName val="Simple_Letter13"/>
      <sheetName val="Overall_Summary13"/>
      <sheetName val="CSI_Summary13"/>
      <sheetName val="Section_1_Areas13"/>
      <sheetName val="Section_1_Summary13"/>
      <sheetName val="Section_113"/>
      <sheetName val="Section_2_Areas13"/>
      <sheetName val="Section_2_Summary13"/>
      <sheetName val="Section_213"/>
      <sheetName val="Section_3_Areas13"/>
      <sheetName val="Section_3_Summary13"/>
      <sheetName val="Section_313"/>
      <sheetName val="Section_4_Areas13"/>
      <sheetName val="Section_4_Summary13"/>
      <sheetName val="Section_413"/>
      <sheetName val="Section_5_Areas13"/>
      <sheetName val="Section_5_Summary13"/>
      <sheetName val="Section_513"/>
      <sheetName val="Sitework_Areas13"/>
      <sheetName val="Section_6_Areas13"/>
      <sheetName val="Section_6_Summary13"/>
      <sheetName val="Section_613"/>
      <sheetName val="Sitework_Summary13"/>
      <sheetName val="Comparison_Summary13"/>
      <sheetName val="Fill_this_out_first___28"/>
      <sheetName val="SHEET_113"/>
      <sheetName val="Salient_Features13"/>
      <sheetName val="IDC_AHK_13"/>
      <sheetName val="BOQ_Direct_selling_cost13"/>
      <sheetName val="Monthwise_breakup13"/>
      <sheetName val="Reinf_Analy13"/>
      <sheetName val="Power_anal13"/>
      <sheetName val="Macro_custom_function13"/>
      <sheetName val="labour_coeff13"/>
      <sheetName val="PRECAST_lightconc-II13"/>
      <sheetName val="DLA_Standard_Cost_Report113"/>
      <sheetName val="IO_List13"/>
      <sheetName val="Sebtion_1_SumMary13"/>
      <sheetName val="Tender_Summary13"/>
      <sheetName val="TBAL9697_-group_wise__sdpl13"/>
      <sheetName val="Staff_Acco_13"/>
      <sheetName val="Pacakges_split13"/>
      <sheetName val="Basement_Budget13"/>
      <sheetName val="Extra_Item13"/>
      <sheetName val="Civil_Works13"/>
      <sheetName val="Cat_A_Change_Control13"/>
      <sheetName val="Meas_-Hotel_Part13"/>
      <sheetName val="RCC,Ret__Wall13"/>
      <sheetName val="Driveway_Beams13"/>
      <sheetName val="Labour_productivity13"/>
      <sheetName val="Stress_Calculation13"/>
      <sheetName val="Deduction_of_assets13"/>
      <sheetName val="schedule_nos13"/>
      <sheetName val="INPUT_SHEET13"/>
      <sheetName val="DEPTH_CHART_(ORR)_L_S_13"/>
      <sheetName val="Name_List13"/>
      <sheetName val="Contract_Night_Staff13"/>
      <sheetName val="Contract_Day_Staff13"/>
      <sheetName val="Day_Shift13"/>
      <sheetName val="Night_Shift13"/>
      <sheetName val="PA-_Consutant_13"/>
      <sheetName val="Cashflow_projection13"/>
      <sheetName val="Break_up_Sheet13"/>
      <sheetName val="1st_flr13"/>
      <sheetName val="Fin_Sum13"/>
      <sheetName val="1st_Slab13"/>
      <sheetName val="Order_Info13"/>
      <sheetName val="Scope_Reconciliation13"/>
      <sheetName val="Project_Budget_Worksheet13"/>
      <sheetName val="Approved_MTD_Proj_#'s13"/>
      <sheetName val="Sun_E_Type13"/>
      <sheetName val="As_per_PCA13"/>
      <sheetName val="BLOCK-A_(MEA_SHEET)13"/>
      <sheetName val="Project_Plan_-_WWW13"/>
      <sheetName val="WORK_TABLE13"/>
      <sheetName val="SITE_OVERHEADS13"/>
      <sheetName val="FITZ_MORT_9413"/>
      <sheetName val="Capex_-_Hry13"/>
      <sheetName val="LEVEL_SHEET13"/>
      <sheetName val="Material_Rates13"/>
      <sheetName val="SPT_vs_PHI13"/>
      <sheetName val="MASTER_RATE_ANALYSIS13"/>
      <sheetName val="Fee_Rate_Summary13"/>
      <sheetName val="Site_Dev_BOQ13"/>
      <sheetName val="Sheet3_(2)13"/>
      <sheetName val="\TCS,_NAGPUR-MANJIRI_C\PROGRE13"/>
      <sheetName val="Ra__stair13"/>
      <sheetName val="MEP_BOQ-13"/>
      <sheetName val="wooden_door13"/>
      <sheetName val="Sub_con_Summary13"/>
      <sheetName val="Cost_saving13"/>
      <sheetName val="GENERAL_SUMMARY13"/>
      <sheetName val="LMP_Summary13"/>
      <sheetName val="Sec_Summary13"/>
      <sheetName val="Labour_cost13"/>
      <sheetName val="BILLING_SCHEDULE13"/>
      <sheetName val="bill_curve13"/>
      <sheetName val="CASH_IN_&amp;_OUT_FLOW_13"/>
      <sheetName val="cash_flow_curve13"/>
      <sheetName val="Revised_Labour13"/>
      <sheetName val="Rein_Ana13"/>
      <sheetName val="Gen_Exp_Breakup13"/>
      <sheetName val="Total_Quote13"/>
      <sheetName val="Works_-_Quote_Sheet13"/>
      <sheetName val="cover_page13"/>
      <sheetName val="Project_Data13"/>
      <sheetName val="Drop_Down_List13"/>
      <sheetName val="30개월기준대비표_아랍택)13"/>
      <sheetName val="총괄표_(2)13"/>
      <sheetName val="CIF_COST_ITEM13"/>
      <sheetName val="Item-_Compact13"/>
      <sheetName val="P&amp;L_-_AD13"/>
      <sheetName val="GF_Columns13"/>
      <sheetName val="Deprec_13"/>
      <sheetName val="DETAILED__BOQ13"/>
      <sheetName val="SPS_DETAIL13"/>
      <sheetName val="PC_Master_List13"/>
      <sheetName val="Field_Values13"/>
      <sheetName val="Structure_Bills_Qty13"/>
      <sheetName val="BASIS_-DEC_0813"/>
      <sheetName val="MN_T_B_13"/>
      <sheetName val="Data_Forecast13"/>
      <sheetName val="Basic_Rate13"/>
      <sheetName val="final_abstract13"/>
      <sheetName val="Master_Data_Sheet13"/>
      <sheetName val="Cement_recon_13"/>
      <sheetName val="Cleaning_&amp;_Grubbing13"/>
      <sheetName val="_13"/>
      <sheetName val="Intro_13"/>
      <sheetName val="_TCS,_NAGPUR-MANJIRI_C_PROGRE13"/>
      <sheetName val="Budget_in_SAP13"/>
      <sheetName val="Civil_Boq13"/>
      <sheetName val="Material_13"/>
      <sheetName val="Factors_13"/>
      <sheetName val="Adimi_bldg13"/>
      <sheetName val="Pump_House13"/>
      <sheetName val="Fuel_Regu_Station13"/>
      <sheetName val="Constants_Summary13"/>
      <sheetName val="Form_613"/>
      <sheetName val="Raw_Data13"/>
      <sheetName val="PointNo_513"/>
      <sheetName val="Plant_&amp;__Machinery13"/>
      <sheetName val="Load_Details-220kV13"/>
      <sheetName val="REPAIR&amp;_MAINT13"/>
      <sheetName val="Fill_this_out_first___30"/>
      <sheetName val="PDF_Front14"/>
      <sheetName val="Simple_Letter14"/>
      <sheetName val="Overall_Summary14"/>
      <sheetName val="CSI_Summary14"/>
      <sheetName val="Section_1_Areas14"/>
      <sheetName val="Section_1_Summary14"/>
      <sheetName val="Section_114"/>
      <sheetName val="Section_2_Areas14"/>
      <sheetName val="Section_2_Summary14"/>
      <sheetName val="Section_214"/>
      <sheetName val="Section_3_Areas14"/>
      <sheetName val="Section_3_Summary14"/>
      <sheetName val="Section_314"/>
      <sheetName val="Section_4_Areas14"/>
      <sheetName val="Section_4_Summary14"/>
      <sheetName val="Section_414"/>
      <sheetName val="Section_5_Areas14"/>
      <sheetName val="Section_5_Summary14"/>
      <sheetName val="Section_514"/>
      <sheetName val="Sitework_Areas14"/>
      <sheetName val="Section_6_Areas14"/>
      <sheetName val="Section_6_Summary14"/>
      <sheetName val="Section_614"/>
      <sheetName val="Sitework_Summary14"/>
      <sheetName val="Comparison_Summary14"/>
      <sheetName val="Fill_this_out_first___31"/>
      <sheetName val="SHEET_114"/>
      <sheetName val="Salient_Features14"/>
      <sheetName val="IDC_AHK_14"/>
      <sheetName val="BOQ_Direct_selling_cost14"/>
      <sheetName val="Monthwise_breakup14"/>
      <sheetName val="Reinf_Analy14"/>
      <sheetName val="Power_anal14"/>
      <sheetName val="Macro_custom_function14"/>
      <sheetName val="labour_coeff14"/>
      <sheetName val="PRECAST_lightconc-II14"/>
      <sheetName val="DLA_Standard_Cost_Report114"/>
      <sheetName val="IO_List14"/>
      <sheetName val="Sebtion_1_SumMary14"/>
      <sheetName val="Tender_Summary14"/>
      <sheetName val="TBAL9697_-group_wise__sdpl14"/>
      <sheetName val="Staff_Acco_14"/>
      <sheetName val="Pacakges_split14"/>
      <sheetName val="Basement_Budget14"/>
      <sheetName val="Extra_Item14"/>
      <sheetName val="Civil_Works14"/>
      <sheetName val="Cat_A_Change_Control14"/>
      <sheetName val="Meas_-Hotel_Part14"/>
      <sheetName val="RCC,Ret__Wall14"/>
      <sheetName val="Driveway_Beams14"/>
      <sheetName val="Labour_productivity14"/>
      <sheetName val="Stress_Calculation14"/>
      <sheetName val="Deduction_of_assets14"/>
      <sheetName val="schedule_nos14"/>
      <sheetName val="INPUT_SHEET14"/>
      <sheetName val="DEPTH_CHART_(ORR)_L_S_14"/>
      <sheetName val="Name_List14"/>
      <sheetName val="Contract_Night_Staff14"/>
      <sheetName val="Contract_Day_Staff14"/>
      <sheetName val="Day_Shift14"/>
      <sheetName val="Night_Shift14"/>
      <sheetName val="PA-_Consutant_14"/>
      <sheetName val="Cashflow_projection14"/>
      <sheetName val="Break_up_Sheet14"/>
      <sheetName val="1st_flr14"/>
      <sheetName val="Fin_Sum14"/>
      <sheetName val="1st_Slab14"/>
      <sheetName val="Order_Info14"/>
      <sheetName val="Scope_Reconciliation14"/>
      <sheetName val="Project_Budget_Worksheet14"/>
      <sheetName val="Approved_MTD_Proj_#'s14"/>
      <sheetName val="Sun_E_Type14"/>
      <sheetName val="As_per_PCA14"/>
      <sheetName val="BLOCK-A_(MEA_SHEET)14"/>
      <sheetName val="Project_Plan_-_WWW14"/>
      <sheetName val="WORK_TABLE14"/>
      <sheetName val="SITE_OVERHEADS14"/>
      <sheetName val="FITZ_MORT_9414"/>
      <sheetName val="Capex_-_Hry14"/>
      <sheetName val="LEVEL_SHEET14"/>
      <sheetName val="Material_Rates14"/>
      <sheetName val="SPT_vs_PHI14"/>
      <sheetName val="MASTER_RATE_ANALYSIS14"/>
      <sheetName val="Fee_Rate_Summary14"/>
      <sheetName val="Site_Dev_BOQ14"/>
      <sheetName val="Sheet3_(2)14"/>
      <sheetName val="\TCS,_NAGPUR-MANJIRI_C\PROGRE14"/>
      <sheetName val="Ra__stair14"/>
      <sheetName val="MEP_BOQ-14"/>
      <sheetName val="wooden_door14"/>
      <sheetName val="Sub_con_Summary14"/>
      <sheetName val="Cost_saving14"/>
      <sheetName val="GENERAL_SUMMARY14"/>
      <sheetName val="LMP_Summary14"/>
      <sheetName val="Sec_Summary14"/>
      <sheetName val="Labour_cost14"/>
      <sheetName val="BILLING_SCHEDULE14"/>
      <sheetName val="bill_curve14"/>
      <sheetName val="CASH_IN_&amp;_OUT_FLOW_14"/>
      <sheetName val="cash_flow_curve14"/>
      <sheetName val="Revised_Labour14"/>
      <sheetName val="Rein_Ana14"/>
      <sheetName val="Gen_Exp_Breakup14"/>
      <sheetName val="Total_Quote14"/>
      <sheetName val="Works_-_Quote_Sheet14"/>
      <sheetName val="cover_page14"/>
      <sheetName val="Project_Data14"/>
      <sheetName val="Drop_Down_List14"/>
      <sheetName val="30개월기준대비표_아랍택)14"/>
      <sheetName val="총괄표_(2)14"/>
      <sheetName val="CIF_COST_ITEM14"/>
      <sheetName val="Item-_Compact14"/>
      <sheetName val="P&amp;L_-_AD14"/>
      <sheetName val="GF_Columns14"/>
      <sheetName val="Deprec_14"/>
      <sheetName val="DETAILED__BOQ14"/>
      <sheetName val="SPS_DETAIL14"/>
      <sheetName val="PC_Master_List14"/>
      <sheetName val="Field_Values14"/>
      <sheetName val="Structure_Bills_Qty14"/>
      <sheetName val="BASIS_-DEC_0814"/>
      <sheetName val="MN_T_B_14"/>
      <sheetName val="Data_Forecast14"/>
      <sheetName val="Basic_Rate14"/>
      <sheetName val="final_abstract14"/>
      <sheetName val="Master_Data_Sheet14"/>
      <sheetName val="Cement_recon_14"/>
      <sheetName val="Cleaning_&amp;_Grubbing14"/>
      <sheetName val="_14"/>
      <sheetName val="Intro_14"/>
      <sheetName val="_TCS,_NAGPUR-MANJIRI_C_PROGRE14"/>
      <sheetName val="Budget_in_SAP14"/>
      <sheetName val="Civil_Boq14"/>
      <sheetName val="Material_14"/>
      <sheetName val="Factors_14"/>
      <sheetName val="Adimi_bldg14"/>
      <sheetName val="Pump_House14"/>
      <sheetName val="Fuel_Regu_Station14"/>
      <sheetName val="Constants_Summary14"/>
      <sheetName val="Form_614"/>
      <sheetName val="Raw_Data14"/>
      <sheetName val="PointNo_514"/>
      <sheetName val="Plant_&amp;__Machinery14"/>
      <sheetName val="Load_Details-220kV14"/>
      <sheetName val="REPAIR&amp;_MAINT14"/>
      <sheetName val="Fill_this_out_first___32"/>
      <sheetName val="PDF_Front15"/>
      <sheetName val="Simple_Letter15"/>
      <sheetName val="Overall_Summary15"/>
      <sheetName val="CSI_Summary15"/>
      <sheetName val="Section_1_Areas15"/>
      <sheetName val="Section_1_Summary15"/>
      <sheetName val="Section_115"/>
      <sheetName val="Section_2_Areas15"/>
      <sheetName val="Section_2_Summary15"/>
      <sheetName val="Section_215"/>
      <sheetName val="Section_3_Areas15"/>
      <sheetName val="Section_3_Summary15"/>
      <sheetName val="Section_315"/>
      <sheetName val="Section_4_Areas15"/>
      <sheetName val="Section_4_Summary15"/>
      <sheetName val="Section_415"/>
      <sheetName val="Section_5_Areas15"/>
      <sheetName val="Section_5_Summary15"/>
      <sheetName val="Section_515"/>
      <sheetName val="Sitework_Areas15"/>
      <sheetName val="Section_6_Areas15"/>
      <sheetName val="Section_6_Summary15"/>
      <sheetName val="Section_615"/>
      <sheetName val="Sitework_Summary15"/>
      <sheetName val="Comparison_Summary15"/>
      <sheetName val="Fill_this_out_first___33"/>
      <sheetName val="SHEET_115"/>
      <sheetName val="Salient_Features15"/>
      <sheetName val="IDC_AHK_15"/>
      <sheetName val="BOQ_Direct_selling_cost15"/>
      <sheetName val="Monthwise_breakup15"/>
      <sheetName val="Reinf_Analy15"/>
      <sheetName val="Power_anal15"/>
      <sheetName val="Macro_custom_function15"/>
      <sheetName val="labour_coeff15"/>
      <sheetName val="PRECAST_lightconc-II15"/>
      <sheetName val="DLA_Standard_Cost_Report115"/>
      <sheetName val="IO_List15"/>
      <sheetName val="Sebtion_1_SumMary15"/>
      <sheetName val="Tender_Summary15"/>
      <sheetName val="TBAL9697_-group_wise__sdpl15"/>
      <sheetName val="Staff_Acco_15"/>
      <sheetName val="Pacakges_split15"/>
      <sheetName val="Basement_Budget15"/>
      <sheetName val="Extra_Item15"/>
      <sheetName val="Civil_Works15"/>
      <sheetName val="Cat_A_Change_Control15"/>
      <sheetName val="Meas_-Hotel_Part15"/>
      <sheetName val="RCC,Ret__Wall15"/>
      <sheetName val="Driveway_Beams15"/>
      <sheetName val="Labour_productivity15"/>
      <sheetName val="Stress_Calculation15"/>
      <sheetName val="Deduction_of_assets15"/>
      <sheetName val="schedule_nos15"/>
      <sheetName val="INPUT_SHEET15"/>
      <sheetName val="DEPTH_CHART_(ORR)_L_S_15"/>
      <sheetName val="Name_List15"/>
      <sheetName val="Contract_Night_Staff15"/>
      <sheetName val="Contract_Day_Staff15"/>
      <sheetName val="Day_Shift15"/>
      <sheetName val="Night_Shift15"/>
      <sheetName val="PA-_Consutant_15"/>
      <sheetName val="Cashflow_projection15"/>
      <sheetName val="Break_up_Sheet15"/>
      <sheetName val="1st_flr15"/>
      <sheetName val="Fin_Sum15"/>
      <sheetName val="1st_Slab15"/>
      <sheetName val="Order_Info15"/>
      <sheetName val="Scope_Reconciliation15"/>
      <sheetName val="Project_Budget_Worksheet15"/>
      <sheetName val="Approved_MTD_Proj_#'s15"/>
      <sheetName val="Sun_E_Type15"/>
      <sheetName val="As_per_PCA15"/>
      <sheetName val="BLOCK-A_(MEA_SHEET)15"/>
      <sheetName val="Project_Plan_-_WWW15"/>
      <sheetName val="WORK_TABLE15"/>
      <sheetName val="SITE_OVERHEADS15"/>
      <sheetName val="FITZ_MORT_9415"/>
      <sheetName val="Capex_-_Hry15"/>
      <sheetName val="LEVEL_SHEET15"/>
      <sheetName val="Material_Rates15"/>
      <sheetName val="SPT_vs_PHI15"/>
      <sheetName val="MASTER_RATE_ANALYSIS15"/>
      <sheetName val="Fee_Rate_Summary15"/>
      <sheetName val="Site_Dev_BOQ15"/>
      <sheetName val="Sheet3_(2)15"/>
      <sheetName val="\TCS,_NAGPUR-MANJIRI_C\PROGRE15"/>
      <sheetName val="Ra__stair15"/>
      <sheetName val="MEP_BOQ-15"/>
      <sheetName val="wooden_door15"/>
      <sheetName val="Sub_con_Summary15"/>
      <sheetName val="Cost_saving15"/>
      <sheetName val="GENERAL_SUMMARY15"/>
      <sheetName val="LMP_Summary15"/>
      <sheetName val="Sec_Summary15"/>
      <sheetName val="Labour_cost15"/>
      <sheetName val="BILLING_SCHEDULE15"/>
      <sheetName val="bill_curve15"/>
      <sheetName val="CASH_IN_&amp;_OUT_FLOW_15"/>
      <sheetName val="cash_flow_curve15"/>
      <sheetName val="Revised_Labour15"/>
      <sheetName val="Rein_Ana15"/>
      <sheetName val="Gen_Exp_Breakup15"/>
      <sheetName val="Total_Quote15"/>
      <sheetName val="Works_-_Quote_Sheet15"/>
      <sheetName val="cover_page15"/>
      <sheetName val="Project_Data15"/>
      <sheetName val="Drop_Down_List15"/>
      <sheetName val="30개월기준대비표_아랍택)15"/>
      <sheetName val="총괄표_(2)15"/>
      <sheetName val="CIF_COST_ITEM15"/>
      <sheetName val="Item-_Compact15"/>
      <sheetName val="P&amp;L_-_AD15"/>
      <sheetName val="GF_Columns15"/>
      <sheetName val="Deprec_15"/>
      <sheetName val="DETAILED__BOQ15"/>
      <sheetName val="SPS_DETAIL15"/>
      <sheetName val="PC_Master_List15"/>
      <sheetName val="Field_Values15"/>
      <sheetName val="Structure_Bills_Qty15"/>
      <sheetName val="BASIS_-DEC_0815"/>
      <sheetName val="MN_T_B_15"/>
      <sheetName val="Data_Forecast15"/>
      <sheetName val="Basic_Rate15"/>
      <sheetName val="final_abstract15"/>
      <sheetName val="Master_Data_Sheet15"/>
      <sheetName val="Cement_recon_15"/>
      <sheetName val="Cleaning_&amp;_Grubbing15"/>
      <sheetName val="_15"/>
      <sheetName val="Intro_15"/>
      <sheetName val="_TCS,_NAGPUR-MANJIRI_C_PROGRE15"/>
      <sheetName val="Budget_in_SAP15"/>
      <sheetName val="Civil_Boq15"/>
      <sheetName val="Material_15"/>
      <sheetName val="Factors_15"/>
      <sheetName val="Adimi_bldg15"/>
      <sheetName val="Pump_House15"/>
      <sheetName val="Fuel_Regu_Station15"/>
      <sheetName val="Constants_Summary15"/>
      <sheetName val="Form_615"/>
      <sheetName val="Raw_Data15"/>
      <sheetName val="PointNo_515"/>
      <sheetName val="Plant_&amp;__Machinery15"/>
      <sheetName val="Load_Details-220kV15"/>
      <sheetName val="REPAIR&amp;_MAINT15"/>
      <sheetName val="Fill_this_out_first___34"/>
      <sheetName val="PDF_Front16"/>
      <sheetName val="Simple_Letter16"/>
      <sheetName val="Overall_Summary16"/>
      <sheetName val="CSI_Summary16"/>
      <sheetName val="Section_1_Areas16"/>
      <sheetName val="Section_1_Summary16"/>
      <sheetName val="Section_116"/>
      <sheetName val="Section_2_Areas16"/>
      <sheetName val="Section_2_Summary16"/>
      <sheetName val="Section_216"/>
      <sheetName val="Section_3_Areas16"/>
      <sheetName val="Section_3_Summary16"/>
      <sheetName val="Section_316"/>
      <sheetName val="Section_4_Areas16"/>
      <sheetName val="Section_4_Summary16"/>
      <sheetName val="Section_416"/>
      <sheetName val="Section_5_Areas16"/>
      <sheetName val="Section_5_Summary16"/>
      <sheetName val="Section_516"/>
      <sheetName val="Sitework_Areas16"/>
      <sheetName val="Section_6_Areas16"/>
      <sheetName val="Section_6_Summary16"/>
      <sheetName val="Section_616"/>
      <sheetName val="Sitework_Summary16"/>
      <sheetName val="Comparison_Summary16"/>
      <sheetName val="Fill_this_out_first___35"/>
      <sheetName val="SHEET_116"/>
      <sheetName val="Salient_Features16"/>
      <sheetName val="IDC_AHK_16"/>
      <sheetName val="BOQ_Direct_selling_cost16"/>
      <sheetName val="Monthwise_breakup16"/>
      <sheetName val="Reinf_Analy16"/>
      <sheetName val="Power_anal16"/>
      <sheetName val="Macro_custom_function16"/>
      <sheetName val="labour_coeff16"/>
      <sheetName val="PRECAST_lightconc-II16"/>
      <sheetName val="DLA_Standard_Cost_Report116"/>
      <sheetName val="IO_List16"/>
      <sheetName val="Sebtion_1_SumMary16"/>
      <sheetName val="Tender_Summary16"/>
      <sheetName val="TBAL9697_-group_wise__sdpl16"/>
      <sheetName val="Staff_Acco_16"/>
      <sheetName val="Pacakges_split16"/>
      <sheetName val="Basement_Budget16"/>
      <sheetName val="Extra_Item16"/>
      <sheetName val="Civil_Works16"/>
      <sheetName val="Cat_A_Change_Control16"/>
      <sheetName val="Meas_-Hotel_Part16"/>
      <sheetName val="RCC,Ret__Wall16"/>
      <sheetName val="Driveway_Beams16"/>
      <sheetName val="Labour_productivity16"/>
      <sheetName val="Stress_Calculation16"/>
      <sheetName val="Deduction_of_assets16"/>
      <sheetName val="schedule_nos16"/>
      <sheetName val="INPUT_SHEET16"/>
      <sheetName val="DEPTH_CHART_(ORR)_L_S_16"/>
      <sheetName val="Name_List16"/>
      <sheetName val="Contract_Night_Staff16"/>
      <sheetName val="Contract_Day_Staff16"/>
      <sheetName val="Day_Shift16"/>
      <sheetName val="Night_Shift16"/>
      <sheetName val="PA-_Consutant_16"/>
      <sheetName val="Cashflow_projection16"/>
      <sheetName val="Break_up_Sheet16"/>
      <sheetName val="1st_flr16"/>
      <sheetName val="Fin_Sum16"/>
      <sheetName val="1st_Slab16"/>
      <sheetName val="Order_Info16"/>
      <sheetName val="Scope_Reconciliation16"/>
      <sheetName val="Project_Budget_Worksheet16"/>
      <sheetName val="Approved_MTD_Proj_#'s16"/>
      <sheetName val="Sun_E_Type16"/>
      <sheetName val="As_per_PCA16"/>
      <sheetName val="BLOCK-A_(MEA_SHEET)16"/>
      <sheetName val="Project_Plan_-_WWW16"/>
      <sheetName val="WORK_TABLE16"/>
      <sheetName val="SITE_OVERHEADS16"/>
      <sheetName val="FITZ_MORT_9416"/>
      <sheetName val="Capex_-_Hry16"/>
      <sheetName val="LEVEL_SHEET16"/>
      <sheetName val="Material_Rates16"/>
      <sheetName val="SPT_vs_PHI16"/>
      <sheetName val="MASTER_RATE_ANALYSIS16"/>
      <sheetName val="Fee_Rate_Summary16"/>
      <sheetName val="Site_Dev_BOQ16"/>
      <sheetName val="Sheet3_(2)16"/>
      <sheetName val="\TCS,_NAGPUR-MANJIRI_C\PROGRE16"/>
      <sheetName val="Ra__stair16"/>
      <sheetName val="MEP_BOQ-16"/>
      <sheetName val="wooden_door16"/>
      <sheetName val="Sub_con_Summary16"/>
      <sheetName val="Cost_saving16"/>
      <sheetName val="GENERAL_SUMMARY16"/>
      <sheetName val="LMP_Summary16"/>
      <sheetName val="Sec_Summary16"/>
      <sheetName val="Labour_cost16"/>
      <sheetName val="BILLING_SCHEDULE16"/>
      <sheetName val="bill_curve16"/>
      <sheetName val="CASH_IN_&amp;_OUT_FLOW_16"/>
      <sheetName val="cash_flow_curve16"/>
      <sheetName val="Revised_Labour16"/>
      <sheetName val="Rein_Ana16"/>
      <sheetName val="Gen_Exp_Breakup16"/>
      <sheetName val="Total_Quote16"/>
      <sheetName val="Works_-_Quote_Sheet16"/>
      <sheetName val="cover_page16"/>
      <sheetName val="Project_Data16"/>
      <sheetName val="Drop_Down_List16"/>
      <sheetName val="30개월기준대비표_아랍택)16"/>
      <sheetName val="총괄표_(2)16"/>
      <sheetName val="CIF_COST_ITEM16"/>
      <sheetName val="Item-_Compact16"/>
      <sheetName val="P&amp;L_-_AD16"/>
      <sheetName val="GF_Columns16"/>
      <sheetName val="Deprec_16"/>
      <sheetName val="DETAILED__BOQ16"/>
      <sheetName val="SPS_DETAIL16"/>
      <sheetName val="PC_Master_List16"/>
      <sheetName val="Field_Values16"/>
      <sheetName val="Structure_Bills_Qty16"/>
      <sheetName val="BASIS_-DEC_0816"/>
      <sheetName val="MN_T_B_16"/>
      <sheetName val="Data_Forecast16"/>
      <sheetName val="Basic_Rate16"/>
      <sheetName val="final_abstract16"/>
      <sheetName val="Master_Data_Sheet16"/>
      <sheetName val="Cement_recon_16"/>
      <sheetName val="Cleaning_&amp;_Grubbing16"/>
      <sheetName val="_16"/>
      <sheetName val="Intro_16"/>
      <sheetName val="_TCS,_NAGPUR-MANJIRI_C_PROGRE16"/>
      <sheetName val="Budget_in_SAP16"/>
      <sheetName val="Civil_Boq16"/>
      <sheetName val="Material_16"/>
      <sheetName val="Factors_16"/>
      <sheetName val="Adimi_bldg16"/>
      <sheetName val="Pump_House16"/>
      <sheetName val="Fuel_Regu_Station16"/>
      <sheetName val="Constants_Summary16"/>
      <sheetName val="Form_616"/>
      <sheetName val="Raw_Data16"/>
      <sheetName val="PointNo_516"/>
      <sheetName val="Plant_&amp;__Machinery16"/>
      <sheetName val="Load_Details-220kV16"/>
      <sheetName val="REPAIR&amp;_MAINT16"/>
      <sheetName val="Fill_this_out_first___36"/>
      <sheetName val="Fill_this_out_first___37"/>
      <sheetName val="PDF_Front17"/>
      <sheetName val="Simple_Letter17"/>
      <sheetName val="Overall_Summary17"/>
      <sheetName val="CSI_Summary17"/>
      <sheetName val="Section_1_Areas17"/>
      <sheetName val="Section_1_Summary17"/>
      <sheetName val="Section_117"/>
      <sheetName val="Section_2_Areas17"/>
      <sheetName val="Section_2_Summary17"/>
      <sheetName val="Section_217"/>
      <sheetName val="Section_3_Areas17"/>
      <sheetName val="Section_3_Summary17"/>
      <sheetName val="Section_317"/>
      <sheetName val="Section_4_Areas17"/>
      <sheetName val="Section_4_Summary17"/>
      <sheetName val="Section_417"/>
      <sheetName val="Section_5_Areas17"/>
      <sheetName val="Section_5_Summary17"/>
      <sheetName val="Section_517"/>
      <sheetName val="Sitework_Areas17"/>
      <sheetName val="Section_6_Areas17"/>
      <sheetName val="Section_6_Summary17"/>
      <sheetName val="Section_617"/>
      <sheetName val="Sitework_Summary17"/>
      <sheetName val="Comparison_Summary17"/>
      <sheetName val="Fill_this_out_first___38"/>
      <sheetName val="SHEET_117"/>
      <sheetName val="Salient_Features17"/>
      <sheetName val="IDC_AHK_17"/>
      <sheetName val="BOQ_Direct_selling_cost17"/>
      <sheetName val="Monthwise_breakup17"/>
      <sheetName val="Reinf_Analy17"/>
      <sheetName val="Power_anal17"/>
      <sheetName val="Macro_custom_function17"/>
      <sheetName val="labour_coeff17"/>
      <sheetName val="PRECAST_lightconc-II17"/>
      <sheetName val="DLA_Standard_Cost_Report117"/>
      <sheetName val="IO_List17"/>
      <sheetName val="Sebtion_1_SumMary17"/>
      <sheetName val="Tender_Summary17"/>
      <sheetName val="TBAL9697_-group_wise__sdpl17"/>
      <sheetName val="Staff_Acco_17"/>
      <sheetName val="Pacakges_split17"/>
      <sheetName val="Basement_Budget17"/>
      <sheetName val="Extra_Item17"/>
      <sheetName val="Civil_Works17"/>
      <sheetName val="Cat_A_Change_Control17"/>
      <sheetName val="Meas_-Hotel_Part17"/>
      <sheetName val="RCC,Ret__Wall17"/>
      <sheetName val="Driveway_Beams17"/>
      <sheetName val="Labour_productivity17"/>
      <sheetName val="Stress_Calculation17"/>
      <sheetName val="Deduction_of_assets17"/>
      <sheetName val="schedule_nos17"/>
      <sheetName val="INPUT_SHEET17"/>
      <sheetName val="DEPTH_CHART_(ORR)_L_S_17"/>
      <sheetName val="Name_List17"/>
      <sheetName val="Contract_Night_Staff17"/>
      <sheetName val="Contract_Day_Staff17"/>
      <sheetName val="Day_Shift17"/>
      <sheetName val="Night_Shift17"/>
      <sheetName val="PA-_Consutant_17"/>
      <sheetName val="Cashflow_projection17"/>
      <sheetName val="Break_up_Sheet17"/>
      <sheetName val="1st_flr17"/>
      <sheetName val="Fin_Sum17"/>
      <sheetName val="1st_Slab17"/>
      <sheetName val="Order_Info17"/>
      <sheetName val="Scope_Reconciliation17"/>
      <sheetName val="Project_Budget_Worksheet17"/>
      <sheetName val="Approved_MTD_Proj_#'s17"/>
      <sheetName val="Sun_E_Type17"/>
      <sheetName val="As_per_PCA17"/>
      <sheetName val="BLOCK-A_(MEA_SHEET)17"/>
      <sheetName val="Project_Plan_-_WWW17"/>
      <sheetName val="WORK_TABLE17"/>
      <sheetName val="SITE_OVERHEADS17"/>
      <sheetName val="FITZ_MORT_9417"/>
      <sheetName val="Capex_-_Hry17"/>
      <sheetName val="LEVEL_SHEET17"/>
      <sheetName val="Material_Rates17"/>
      <sheetName val="SPT_vs_PHI17"/>
      <sheetName val="MASTER_RATE_ANALYSIS17"/>
      <sheetName val="Fee_Rate_Summary17"/>
      <sheetName val="Site_Dev_BOQ17"/>
      <sheetName val="Rate_analysis7"/>
      <sheetName val="Sheet3_(2)17"/>
      <sheetName val="\TCS,_NAGPUR-MANJIRI_C\PROGRE17"/>
      <sheetName val="Ra__stair17"/>
      <sheetName val="MEP_BOQ-17"/>
      <sheetName val="wooden_door17"/>
      <sheetName val="Sub_con_Summary17"/>
      <sheetName val="Cost_saving17"/>
      <sheetName val="GENERAL_SUMMARY17"/>
      <sheetName val="LMP_Summary17"/>
      <sheetName val="Sec_Summary17"/>
      <sheetName val="Labour_cost17"/>
      <sheetName val="BILLING_SCHEDULE17"/>
      <sheetName val="bill_curve17"/>
      <sheetName val="CASH_IN_&amp;_OUT_FLOW_17"/>
      <sheetName val="cash_flow_curve17"/>
      <sheetName val="Revised_Labour17"/>
      <sheetName val="Rein_Ana17"/>
      <sheetName val="Gen_Exp_Breakup17"/>
      <sheetName val="Total_Quote17"/>
      <sheetName val="Works_-_Quote_Sheet17"/>
      <sheetName val="cover_page17"/>
      <sheetName val="Project_Data17"/>
      <sheetName val="Drop_Down_List17"/>
      <sheetName val="30개월기준대비표_아랍택)17"/>
      <sheetName val="총괄표_(2)17"/>
      <sheetName val="CIF_COST_ITEM17"/>
      <sheetName val="Item-_Compact17"/>
      <sheetName val="P&amp;L_-_AD17"/>
      <sheetName val="GF_Columns17"/>
      <sheetName val="Deprec_17"/>
      <sheetName val="DETAILED__BOQ17"/>
      <sheetName val="SPS_DETAIL17"/>
      <sheetName val="PC_Master_List17"/>
      <sheetName val="Field_Values17"/>
      <sheetName val="Structure_Bills_Qty17"/>
      <sheetName val="BASIS_-DEC_0817"/>
      <sheetName val="MN_T_B_17"/>
      <sheetName val="Data_Forecast17"/>
      <sheetName val="Basic_Rate17"/>
      <sheetName val="final_abstract17"/>
      <sheetName val="Master_Data_Sheet17"/>
      <sheetName val="Cement_recon_17"/>
      <sheetName val="Cleaning_&amp;_Grubbing17"/>
      <sheetName val="_17"/>
      <sheetName val="Intro_17"/>
      <sheetName val="_TCS,_NAGPUR-MANJIRI_C_PROGRE17"/>
      <sheetName val="Budget_in_SAP17"/>
      <sheetName val="Civil_Boq17"/>
      <sheetName val="Material_17"/>
      <sheetName val="Factors_17"/>
      <sheetName val="Adimi_bldg17"/>
      <sheetName val="Pump_House17"/>
      <sheetName val="Fuel_Regu_Station17"/>
      <sheetName val="Constants_Summary17"/>
      <sheetName val="Form_617"/>
      <sheetName val="Raw_Data17"/>
      <sheetName val="PointNo_517"/>
      <sheetName val="Plant_&amp;__Machinery17"/>
      <sheetName val="Load_Details-220kV17"/>
      <sheetName val="REPAIR&amp;_MAINT17"/>
      <sheetName val="Final"/>
      <sheetName val="Rate_analysis8"/>
      <sheetName val="PRC_PROG "/>
      <sheetName val="Val breakdown"/>
      <sheetName val="Orç. Estrelas Santiago"/>
      <sheetName val="Bill No.3"/>
      <sheetName val="Fill_this_out_first___39"/>
      <sheetName val="Fill_this_out_first___41"/>
      <sheetName val="PDF_Front18"/>
      <sheetName val="Simple_Letter18"/>
      <sheetName val="Overall_Summary18"/>
      <sheetName val="CSI_Summary18"/>
      <sheetName val="Section_1_Areas18"/>
      <sheetName val="Section_1_Summary18"/>
      <sheetName val="Section_118"/>
      <sheetName val="Section_2_Areas18"/>
      <sheetName val="Section_2_Summary18"/>
      <sheetName val="Section_218"/>
      <sheetName val="Section_3_Areas18"/>
      <sheetName val="Section_3_Summary18"/>
      <sheetName val="Section_318"/>
      <sheetName val="Section_4_Areas18"/>
      <sheetName val="Section_4_Summary18"/>
      <sheetName val="Section_418"/>
      <sheetName val="Section_5_Areas18"/>
      <sheetName val="Section_5_Summary18"/>
      <sheetName val="Section_518"/>
      <sheetName val="Sitework_Areas18"/>
      <sheetName val="Section_6_Areas18"/>
      <sheetName val="Section_6_Summary18"/>
      <sheetName val="Section_618"/>
      <sheetName val="Sitework_Summary18"/>
      <sheetName val="Comparison_Summary18"/>
      <sheetName val="Fill_this_out_first___40"/>
      <sheetName val="SHEET_118"/>
      <sheetName val="Salient_Features18"/>
      <sheetName val="IDC_AHK_18"/>
      <sheetName val="BOQ_Direct_selling_cost18"/>
      <sheetName val="Monthwise_breakup18"/>
      <sheetName val="Reinf_Analy18"/>
      <sheetName val="Power_anal18"/>
      <sheetName val="PRECAST_lightconc-II18"/>
      <sheetName val="labour_coeff18"/>
      <sheetName val="DLA_Standard_Cost_Report118"/>
      <sheetName val="Macro_custom_function18"/>
      <sheetName val="IO_List18"/>
      <sheetName val="Sebtion_1_SumMary18"/>
      <sheetName val="Tender_Summary18"/>
      <sheetName val="TBAL9697_-group_wise__sdpl18"/>
      <sheetName val="Staff_Acco_18"/>
      <sheetName val="Pacakges_split18"/>
      <sheetName val="Basement_Budget18"/>
      <sheetName val="Extra_Item18"/>
      <sheetName val="Civil_Works18"/>
      <sheetName val="Cat_A_Change_Control18"/>
      <sheetName val="Meas_-Hotel_Part18"/>
      <sheetName val="RCC,Ret__Wall18"/>
      <sheetName val="Driveway_Beams18"/>
      <sheetName val="Labour_productivity18"/>
      <sheetName val="Stress_Calculation18"/>
      <sheetName val="Deduction_of_assets18"/>
      <sheetName val="schedule_nos18"/>
      <sheetName val="INPUT_SHEET18"/>
      <sheetName val="DEPTH_CHART_(ORR)_L_S_18"/>
      <sheetName val="Name_List18"/>
      <sheetName val="Contract_Night_Staff18"/>
      <sheetName val="Contract_Day_Staff18"/>
      <sheetName val="Day_Shift18"/>
      <sheetName val="Night_Shift18"/>
      <sheetName val="PA-_Consutant_18"/>
      <sheetName val="Cashflow_projection18"/>
      <sheetName val="Break_up_Sheet18"/>
      <sheetName val="1st_flr18"/>
      <sheetName val="Fin_Sum18"/>
      <sheetName val="1st_Slab18"/>
      <sheetName val="Order_Info18"/>
      <sheetName val="Scope_Reconciliation18"/>
      <sheetName val="Project_Budget_Worksheet18"/>
      <sheetName val="Approved_MTD_Proj_#'s18"/>
      <sheetName val="Sun_E_Type18"/>
      <sheetName val="As_per_PCA18"/>
      <sheetName val="BLOCK-A_(MEA_SHEET)18"/>
      <sheetName val="Project_Plan_-_WWW18"/>
      <sheetName val="WORK_TABLE18"/>
      <sheetName val="SITE_OVERHEADS18"/>
      <sheetName val="FITZ_MORT_9418"/>
      <sheetName val="Capex_-_Hry18"/>
      <sheetName val="LEVEL_SHEET18"/>
      <sheetName val="Material_Rates18"/>
      <sheetName val="SPT_vs_PHI18"/>
      <sheetName val="MASTER_RATE_ANALYSIS18"/>
      <sheetName val="Fee_Rate_Summary18"/>
      <sheetName val="Site_Dev_BOQ18"/>
      <sheetName val="Sheet3_(2)18"/>
      <sheetName val="\TCS,_NAGPUR-MANJIRI_C\PROGRE18"/>
      <sheetName val="Ra__stair18"/>
      <sheetName val="MEP_BOQ-18"/>
      <sheetName val="wooden_door18"/>
      <sheetName val="Sub_con_Summary18"/>
      <sheetName val="Cost_saving18"/>
      <sheetName val="GENERAL_SUMMARY18"/>
      <sheetName val="LMP_Summary18"/>
      <sheetName val="Sec_Summary18"/>
      <sheetName val="Labour_cost18"/>
      <sheetName val="BILLING_SCHEDULE18"/>
      <sheetName val="bill_curve18"/>
      <sheetName val="CASH_IN_&amp;_OUT_FLOW_18"/>
      <sheetName val="cash_flow_curve18"/>
      <sheetName val="Revised_Labour18"/>
      <sheetName val="Rein_Ana18"/>
      <sheetName val="cover_page18"/>
      <sheetName val="Project_Data18"/>
      <sheetName val="Gen_Exp_Breakup18"/>
      <sheetName val="Total_Quote18"/>
      <sheetName val="Works_-_Quote_Sheet18"/>
      <sheetName val="30개월기준대비표_아랍택)18"/>
      <sheetName val="총괄표_(2)18"/>
      <sheetName val="Drop_Down_List18"/>
      <sheetName val="CIF_COST_ITEM18"/>
      <sheetName val="Item-_Compact18"/>
      <sheetName val="P&amp;L_-_AD18"/>
      <sheetName val="GF_Columns18"/>
      <sheetName val="Deprec_18"/>
      <sheetName val="DETAILED__BOQ18"/>
      <sheetName val="SPS_DETAIL18"/>
      <sheetName val="PC_Master_List18"/>
      <sheetName val="Field_Values18"/>
      <sheetName val="Structure_Bills_Qty18"/>
      <sheetName val="BASIS_-DEC_0818"/>
      <sheetName val="MN_T_B_18"/>
      <sheetName val="Data_Forecast18"/>
      <sheetName val="Basic_Rate18"/>
      <sheetName val="final_abstract18"/>
      <sheetName val="Master_Data_Sheet18"/>
      <sheetName val="Cement_recon_18"/>
      <sheetName val="Cleaning_&amp;_Grubbing18"/>
      <sheetName val="_18"/>
      <sheetName val="Intro_18"/>
      <sheetName val="_TCS,_NAGPUR-MANJIRI_C_PROGRE18"/>
      <sheetName val="Budget_in_SAP18"/>
      <sheetName val="Civil_Boq18"/>
      <sheetName val="Material_18"/>
      <sheetName val="Factors_18"/>
      <sheetName val="Adimi_bldg18"/>
      <sheetName val="Pump_House18"/>
      <sheetName val="Fuel_Regu_Station18"/>
      <sheetName val="Constants_Summary18"/>
      <sheetName val="Form_618"/>
      <sheetName val="Raw_Data18"/>
      <sheetName val="PointNo_518"/>
      <sheetName val="Plant_&amp;__Machinery18"/>
      <sheetName val="Load_Details-220kV18"/>
      <sheetName val="REPAIR&amp;_MAINT18"/>
      <sheetName val="F_Blk"/>
      <sheetName val="Discount_&amp;_Margin"/>
      <sheetName val="M_S_"/>
      <sheetName val="COP_Final"/>
      <sheetName val="Forecast_Variance_Planning_hrs"/>
      <sheetName val="PRC_PROG_"/>
      <sheetName val="Val_breakdown"/>
      <sheetName val="Orç__Estrelas_Santiago"/>
      <sheetName val="Bill_No_3"/>
      <sheetName val="REPAIR&amp;_MAINT20"/>
      <sheetName val="REPAIR&amp;_MAINT19"/>
      <sheetName val="REPAIR&amp;_MAINT21"/>
      <sheetName val="Micro"/>
      <sheetName val="GM &amp; TA"/>
      <sheetName val="Macro"/>
      <sheetName val="Scaff-Rose"/>
      <sheetName val="[DLA Standard Cost Report1][DLA"/>
      <sheetName val="9. Package split - Cost "/>
      <sheetName val="10. &amp; 11. Rate Code &amp; BQ"/>
      <sheetName val="zone-2"/>
      <sheetName val="Z1_DATA"/>
      <sheetName val="Summary year Plan"/>
      <sheetName val="EAS"/>
      <sheetName val="Master data"/>
      <sheetName val="Design sheet"/>
      <sheetName val="D2_CO"/>
      <sheetName val="[DLA Standard Cost Report1]\TCS"/>
      <sheetName val="Contractor &amp; Material Price"/>
      <sheetName val="NT LBH"/>
      <sheetName val="dataCollection"/>
      <sheetName val="Cost_Index"/>
      <sheetName val="Blore"/>
      <sheetName val="Chnai"/>
      <sheetName val="Pune"/>
      <sheetName val="CABLE DATA"/>
      <sheetName val="col-reinft1"/>
      <sheetName val="Config"/>
      <sheetName val="Break Dw"/>
      <sheetName val="BBS (F)"/>
      <sheetName val="Inc.St.-Link"/>
      <sheetName val="Lease rents"/>
      <sheetName val="R&amp;P"/>
      <sheetName val="Groupings-final"/>
      <sheetName val="Sched"/>
      <sheetName val="Trial"/>
      <sheetName val="FA_Final"/>
      <sheetName val="Main-Material"/>
      <sheetName val=""/>
      <sheetName val="para"/>
      <sheetName val="kppl pl"/>
      <sheetName val="SP Break Up"/>
      <sheetName val="Other"/>
      <sheetName val="HR &amp; Admin"/>
      <sheetName val="Quotation"/>
      <sheetName val="Sheet5"/>
      <sheetName val="Labour Rate "/>
      <sheetName val="(M+L)"/>
      <sheetName val="Col up to plinth"/>
      <sheetName val="old boq"/>
      <sheetName val="RCN-L B D"/>
      <sheetName val="A0744339"/>
      <sheetName val="Sensitivity"/>
      <sheetName val="tie beam"/>
      <sheetName val="Footings"/>
      <sheetName val="3cd Annexure"/>
      <sheetName val="Working3"/>
      <sheetName val="Working2"/>
      <sheetName val="Variables"/>
      <sheetName val="2.Trad"/>
      <sheetName val="KLHT"/>
      <sheetName val="ITB COST"/>
      <sheetName val="DCF"/>
      <sheetName val="MFG"/>
      <sheetName val="Pilling_24"/>
      <sheetName val="Codes"/>
      <sheetName val="BOQ LT"/>
      <sheetName val="Cabinet"/>
      <sheetName val="INDU"/>
      <sheetName val="_DLA Standard Cost Report1__DLA"/>
      <sheetName val="ABSTRACT"/>
      <sheetName val="sheeet7"/>
      <sheetName val="Allocation"/>
      <sheetName val="Final abstract Sheet RA01"/>
      <sheetName val="Variables_x"/>
      <sheetName val="refer"/>
      <sheetName val="p1-costg"/>
      <sheetName val="GR.slab-reinft"/>
      <sheetName val="Debit_RMC"/>
      <sheetName val="Debit_Transit"/>
      <sheetName val="2.02 ( Emb.From BA)"/>
      <sheetName val="RATE COMPILATION"/>
      <sheetName val="CrRajWMM"/>
      <sheetName val="S1BOQ &amp; Workplan"/>
      <sheetName val="(Do not delete)"/>
      <sheetName val="Materials "/>
      <sheetName val="MRATES"/>
      <sheetName val="STEEL"/>
      <sheetName val="Costs"/>
      <sheetName val="PROFITABILITY ANALYSIS (MONTH)"/>
      <sheetName val="PROFITABILITY ANALYSIS (YTD)"/>
      <sheetName val="Sheet7"/>
      <sheetName val="personal."/>
      <sheetName val="Work done "/>
      <sheetName val="CapitalMetrics"/>
      <sheetName val="NetBQ"/>
      <sheetName val="Boiler&amp;TG"/>
      <sheetName val="Aoc"/>
      <sheetName val="Rate all Items"/>
      <sheetName val="Main Assump."/>
      <sheetName val="Cut &amp; Sew"/>
      <sheetName val="GiaVL"/>
      <sheetName val="Variation Statement"/>
      <sheetName val="A-CompanyInfo"/>
      <sheetName val="TrialBalance"/>
      <sheetName val="F.Slab"/>
      <sheetName val="Plinth Beam1"/>
      <sheetName val="Ledger"/>
      <sheetName val="Global Assm."/>
      <sheetName val="Summary_CFA"/>
      <sheetName val="BLR 1"/>
      <sheetName val="GAS"/>
      <sheetName val="DEAE"/>
      <sheetName val="BLR2"/>
      <sheetName val="BLR3"/>
      <sheetName val="BLR4"/>
      <sheetName val="BLR5"/>
      <sheetName val="DEM"/>
      <sheetName val="SAM"/>
      <sheetName val="CHEM"/>
      <sheetName val="COP"/>
      <sheetName val="15-21"/>
      <sheetName val="Comp"/>
      <sheetName val="Component Pricing, Costs"/>
      <sheetName val="class &amp; category"/>
      <sheetName val="MSU"/>
      <sheetName val="ELEC&amp; MISC"/>
      <sheetName val="Loan Data"/>
      <sheetName val="June 03"/>
      <sheetName val="A91_97"/>
      <sheetName val="11-02- to 16-02"/>
      <sheetName val="Basic Rates"/>
      <sheetName val="BBSR_12.00 Acre - THDC"/>
      <sheetName val="Bank Rev"/>
      <sheetName val="sum"/>
      <sheetName val="Dev Sum"/>
      <sheetName val="DWTables"/>
      <sheetName val="D"/>
      <sheetName val="Budget_CF - Overall"/>
      <sheetName val="Internet"/>
      <sheetName val="TB"/>
      <sheetName val="BS"/>
      <sheetName val="B1"/>
      <sheetName val="Legend"/>
      <sheetName val="Consolidated"/>
      <sheetName val="Projects"/>
      <sheetName val="Centaurus- Consultacny"/>
      <sheetName val="Material List "/>
      <sheetName val="BS1"/>
      <sheetName val="Sec-I"/>
      <sheetName val="3rd Chair Spacer"/>
      <sheetName val="MG"/>
      <sheetName val="Data rough"/>
      <sheetName val="_DLA Standard Cost Report1__TCS"/>
      <sheetName val="Final abstract Sheet RA04"/>
      <sheetName val="Final abstract Sheet RA03"/>
      <sheetName val="beam-reinft"/>
      <sheetName val="GN_ST_10"/>
      <sheetName val="[DLA"/>
      <sheetName val="MH(on site)"/>
      <sheetName val="site fab&amp;ernstr"/>
      <sheetName val="DOOR-WIND"/>
      <sheetName val="11 kV SWGR"/>
      <sheetName val="Table"/>
      <sheetName val="Load Details(B2)"/>
      <sheetName val="Enquire"/>
      <sheetName val="Clause"/>
      <sheetName val="Civil "/>
      <sheetName val="BLK2"/>
      <sheetName val="BLK3"/>
      <sheetName val="radar"/>
      <sheetName val="UG"/>
      <sheetName val="Progress"/>
      <sheetName val="Column L1 to L2"/>
      <sheetName val="Column L2 to L3"/>
      <sheetName val="BEAM"/>
      <sheetName val="RAMP 3"/>
      <sheetName val="RAMP 1"/>
      <sheetName val="staircase"/>
      <sheetName val="R_Wall"/>
      <sheetName val="Column B1 to L1"/>
      <sheetName val="Slab L1"/>
      <sheetName val="Slab L2"/>
      <sheetName val="wip"/>
      <sheetName val="Precalculation"/>
      <sheetName val="Con0304"/>
      <sheetName val="MSM Vol"/>
      <sheetName val="nVision"/>
      <sheetName val="Options"/>
      <sheetName val="Summary- chisling Recovery"/>
      <sheetName val="Summary- Wire Recovery"/>
      <sheetName val="Summary- Copper Tube Recovery"/>
      <sheetName val="Summary- chisling "/>
      <sheetName val="Summary- Wire."/>
      <sheetName val="wire &amp; chisling"/>
      <sheetName val="Summary- Copper Tube "/>
      <sheetName val="Main summary all"/>
      <sheetName val="Summary-  AC -installation"/>
      <sheetName val="Summary- Stands"/>
      <sheetName val="MB sheet copper"/>
      <sheetName val="J3 Installation"/>
      <sheetName val="J1 Installation"/>
      <sheetName val="G-1 Instln"/>
      <sheetName val="G-2 Instln"/>
      <sheetName val="G-3 instln"/>
      <sheetName val="K-2 Instln"/>
      <sheetName val="Other Places"/>
      <sheetName val="Dismantling"/>
      <sheetName val="G1 Instln NEW"/>
      <sheetName val="Timeoffice"/>
      <sheetName val="Break_Up"/>
      <sheetName val="RESULT"/>
      <sheetName val="BS8007"/>
      <sheetName val="Figures"/>
      <sheetName val="projections"/>
      <sheetName val="CFForecast detail"/>
      <sheetName val="Fill_this_out_first___42"/>
      <sheetName val="Fill_this_out_first___43"/>
      <sheetName val="PDF_Front19"/>
      <sheetName val="Simple_Letter19"/>
      <sheetName val="Overall_Summary19"/>
      <sheetName val="CSI_Summary19"/>
      <sheetName val="Section_1_Areas19"/>
      <sheetName val="Section_1_Summary19"/>
      <sheetName val="Section_119"/>
      <sheetName val="Section_2_Areas19"/>
      <sheetName val="Section_2_Summary19"/>
      <sheetName val="Section_219"/>
      <sheetName val="Section_3_Areas19"/>
      <sheetName val="Section_3_Summary19"/>
      <sheetName val="Section_319"/>
      <sheetName val="Section_4_Areas19"/>
      <sheetName val="Section_4_Summary19"/>
      <sheetName val="Section_419"/>
      <sheetName val="Section_5_Areas19"/>
      <sheetName val="Section_5_Summary19"/>
      <sheetName val="Section_519"/>
      <sheetName val="Sitework_Areas19"/>
      <sheetName val="Section_6_Areas19"/>
      <sheetName val="Section_6_Summary19"/>
      <sheetName val="Section_619"/>
      <sheetName val="Sitework_Summary19"/>
      <sheetName val="Comparison_Summary19"/>
      <sheetName val="Fill_this_out_first___44"/>
      <sheetName val="Salient_Features19"/>
      <sheetName val="IDC_AHK_19"/>
      <sheetName val="BOQ_Direct_selling_cost19"/>
      <sheetName val="Monthwise_breakup19"/>
      <sheetName val="Reinf_Analy19"/>
      <sheetName val="Power_anal19"/>
      <sheetName val="SHEET_119"/>
      <sheetName val="PRECAST_lightconc-II19"/>
      <sheetName val="labour_coeff19"/>
      <sheetName val="Sebtion_1_SumMary19"/>
      <sheetName val="DLA_Standard_Cost_Report119"/>
      <sheetName val="IO_List19"/>
      <sheetName val="Macro_custom_function19"/>
      <sheetName val="Staff_Acco_19"/>
      <sheetName val="Pacakges_split19"/>
      <sheetName val="TBAL9697_-group_wise__sdpl19"/>
      <sheetName val="Basement_Budget19"/>
      <sheetName val="Extra_Item19"/>
      <sheetName val="Meas_-Hotel_Part19"/>
      <sheetName val="schedule_nos19"/>
      <sheetName val="INPUT_SHEET19"/>
      <sheetName val="Stress_Calculation19"/>
      <sheetName val="DEPTH_CHART_(ORR)_L_S_19"/>
      <sheetName val="Name_List19"/>
      <sheetName val="PA-_Consutant_19"/>
      <sheetName val="Break_up_Sheet19"/>
      <sheetName val="RCC,Ret__Wall19"/>
      <sheetName val="Tender_Summary19"/>
      <sheetName val="Driveway_Beams19"/>
      <sheetName val="1st_Slab19"/>
      <sheetName val="Contract_Night_Staff19"/>
      <sheetName val="Contract_Day_Staff19"/>
      <sheetName val="Day_Shift19"/>
      <sheetName val="Night_Shift19"/>
      <sheetName val="Cat_A_Change_Control19"/>
      <sheetName val="Cashflow_projection19"/>
      <sheetName val="Deduction_of_assets19"/>
      <sheetName val="Civil_Works19"/>
      <sheetName val="1st_flr19"/>
      <sheetName val="Labour_productivity19"/>
      <sheetName val="Fin_Sum19"/>
      <sheetName val="Project_Budget_Worksheet19"/>
      <sheetName val="Sun_E_Type19"/>
      <sheetName val="BLOCK-A_(MEA_SHEET)19"/>
      <sheetName val="Order_Info19"/>
      <sheetName val="As_per_PCA19"/>
      <sheetName val="Project_Plan_-_WWW19"/>
      <sheetName val="Scope_Reconciliation19"/>
      <sheetName val="WORK_TABLE19"/>
      <sheetName val="Approved_MTD_Proj_#'s19"/>
      <sheetName val="SITE_OVERHEADS19"/>
      <sheetName val="FITZ_MORT_9419"/>
      <sheetName val="GF_Columns19"/>
      <sheetName val="Capex_-_Hry19"/>
      <sheetName val="LEVEL_SHEET19"/>
      <sheetName val="Fee_Rate_Summary19"/>
      <sheetName val="P&amp;L_-_AD19"/>
      <sheetName val="Total_Quote19"/>
      <sheetName val="SPT_vs_PHI19"/>
      <sheetName val="MASTER_RATE_ANALYSIS19"/>
      <sheetName val="Deprec_19"/>
      <sheetName val="Rate_analysis9"/>
      <sheetName val="Sheet3_(2)19"/>
      <sheetName val="Site_Dev_BOQ19"/>
      <sheetName val="Works_-_Quote_Sheet19"/>
      <sheetName val="Item-_Compact19"/>
      <sheetName val="DETAILED__BOQ19"/>
      <sheetName val="Factors_19"/>
      <sheetName val="Budget_in_SAP19"/>
      <sheetName val="Structure_Bills_Qty19"/>
      <sheetName val="PC_Master_List19"/>
      <sheetName val="Field_Values19"/>
      <sheetName val="Data_Forecast19"/>
      <sheetName val="SPS_DETAIL19"/>
      <sheetName val="\TCS,_NAGPUR-MANJIRI_C\PROGRE19"/>
      <sheetName val="BASIS_-DEC_0819"/>
      <sheetName val="MN_T_B_19"/>
      <sheetName val="Basic_Rate19"/>
      <sheetName val="final_abstract19"/>
      <sheetName val="Master_Data_Sheet19"/>
      <sheetName val="Cement_recon_19"/>
      <sheetName val="Load_Details-220kV19"/>
      <sheetName val="Civil_Boq19"/>
      <sheetName val="Material_19"/>
      <sheetName val="Adimi_bldg19"/>
      <sheetName val="Pump_House19"/>
      <sheetName val="Fuel_Regu_Station19"/>
      <sheetName val="INDIGINEOUS_ITEMS_3"/>
      <sheetName val="Main_Gate_House3"/>
      <sheetName val="key_dates3"/>
      <sheetName val="Assumption_Inputs3"/>
      <sheetName val="India_F&amp;S_Template3"/>
      <sheetName val="_19"/>
      <sheetName val="Cleaning_&amp;_Grubbing19"/>
      <sheetName val="Intro_19"/>
      <sheetName val="Fcst_vs_Budgets2"/>
      <sheetName val="Plant_&amp;__Machinery19"/>
      <sheetName val="_TCS,_NAGPUR-MANJIRI_C_PROGRE19"/>
      <sheetName val="BOQ_T4B1"/>
      <sheetName val="Discount_&amp;_Margin1"/>
      <sheetName val="PointNo_519"/>
      <sheetName val="Material_Rates19"/>
      <sheetName val="Cost_Index1"/>
      <sheetName val="Form_619"/>
      <sheetName val="foot-slab_reinft"/>
      <sheetName val="Layer_Table1"/>
      <sheetName val="Constants_Summary19"/>
      <sheetName val="COP_Final1"/>
      <sheetName val="Boq_-_Flats2"/>
      <sheetName val="St_co_91_5lvl1"/>
      <sheetName val="P1260Projected_5700_Detail"/>
      <sheetName val="P852_5000_Detail"/>
      <sheetName val="P854_5000_Detail"/>
      <sheetName val="P856_5000_Detail"/>
      <sheetName val="P858_5000_Detail"/>
      <sheetName val="P860Baseline_5000_Detail"/>
      <sheetName val="1-OBJ98_"/>
      <sheetName val="_Acc__Sched_"/>
      <sheetName val="SUPPLY_-Sanitary_Fixtures"/>
      <sheetName val="ITEMS_FOR_CIVIL_TENDER"/>
      <sheetName val="F_Blk1"/>
      <sheetName val="Labor_abs-NMR"/>
      <sheetName val="M_S_1"/>
      <sheetName val="Ra__stair19"/>
      <sheetName val="Detail_In_Door_Stad"/>
      <sheetName val="Debits_as_on_12_04_08"/>
      <sheetName val="Loan_Schedule"/>
      <sheetName val="Current_Bill_MB_ref"/>
      <sheetName val="beam-reinft-IIInd_floor"/>
      <sheetName val="Kristal_Court"/>
      <sheetName val="Operating_Statistics"/>
      <sheetName val="Data_sheet"/>
      <sheetName val="Per_Unit"/>
      <sheetName val="Rate_analysis_civil"/>
      <sheetName val="Rate_Analysis_"/>
      <sheetName val="Monthly_Plan_May'16"/>
      <sheetName val="Performance_Report"/>
      <sheetName val="_bus_bay"/>
      <sheetName val="doq_4"/>
      <sheetName val="doq_2"/>
      <sheetName val="Labour_&amp;_Plant"/>
      <sheetName val="loads_at_base_of_pier"/>
      <sheetName val="Buying_Schedule"/>
      <sheetName val="CRF_Register"/>
      <sheetName val="E_&amp;_R"/>
      <sheetName val="Primero_Tower_Budget"/>
      <sheetName val="REPAIR&amp;_MAINT22"/>
      <sheetName val="Basic_Resources"/>
      <sheetName val="MEP_BOQ-19"/>
      <sheetName val="wooden_door19"/>
      <sheetName val="Sub_con_Summary19"/>
      <sheetName val="Cost_saving19"/>
      <sheetName val="GENERAL_SUMMARY19"/>
      <sheetName val="LMP_Summary19"/>
      <sheetName val="Sec_Summary19"/>
      <sheetName val="Labour_cost19"/>
      <sheetName val="BILLING_SCHEDULE19"/>
      <sheetName val="bill_curve19"/>
      <sheetName val="CASH_IN_&amp;_OUT_FLOW_19"/>
      <sheetName val="cash_flow_curve19"/>
      <sheetName val="Revised_Labour19"/>
      <sheetName val="Rein_Ana19"/>
      <sheetName val="Gen_Exp_Breakup19"/>
      <sheetName val="cover_page19"/>
      <sheetName val="Project_Data19"/>
      <sheetName val="Drop_Down_List19"/>
      <sheetName val="30개월기준대비표_아랍택)19"/>
      <sheetName val="총괄표_(2)19"/>
      <sheetName val="CIF_COST_ITEM19"/>
      <sheetName val="bs_BP_04_SA"/>
      <sheetName val="Sales_&amp;_Prod"/>
      <sheetName val="Base_Assumptions"/>
      <sheetName val="Ov%rall_Summary"/>
      <sheetName val="Cost_summary"/>
      <sheetName val="Bill_1-BOQ-Civil_Works"/>
      <sheetName val="BOQ_(2)"/>
      <sheetName val="Rev_P"/>
      <sheetName val="Block_A_-_BOQ"/>
      <sheetName val="Summary_year_Plan"/>
      <sheetName val="BOQ_Distribution"/>
      <sheetName val="3__Elemental_Summary"/>
      <sheetName val="9__Package_split_-_Cost_"/>
      <sheetName val="10__&amp;_11__Rate_Code_&amp;_BQ"/>
      <sheetName val="[DLA_Standard_Cost_Report1][DLA"/>
      <sheetName val="소상_&quot;1&quot;"/>
      <sheetName val="labour_rates"/>
      <sheetName val="STAFFSCHED_"/>
      <sheetName val="Factor_Sheet"/>
      <sheetName val="NT_LBH"/>
      <sheetName val="Builtup_Area"/>
      <sheetName val="Lead_(Final)"/>
      <sheetName val="D_UT-MECH"/>
      <sheetName val="Rob__elektr_"/>
      <sheetName val="CABLE_DATA"/>
      <sheetName val="Combined_Results_"/>
      <sheetName val="Contractor_&amp;_Material_Price"/>
      <sheetName val="Forecast_Variance_Planning_hrs1"/>
      <sheetName val="Raw_Data19"/>
      <sheetName val="PRC_PROG_1"/>
      <sheetName val="Val_breakdown1"/>
      <sheetName val="Orç__Estrelas_Santiago1"/>
      <sheetName val="Bill_No_31"/>
      <sheetName val="GM_&amp;_TA"/>
      <sheetName val="Master_data"/>
      <sheetName val="Design_sheet"/>
      <sheetName val="Gen_Info"/>
      <sheetName val="[DLA_Standard_Cost_Report1]\TCS"/>
      <sheetName val="F_Slab"/>
      <sheetName val="Plinth_Beam1"/>
      <sheetName val="Estimation"/>
      <sheetName val="HPL"/>
      <sheetName val="Fill_this_out_first___45"/>
      <sheetName val="PDF_Front20"/>
      <sheetName val="Simple_Letter20"/>
      <sheetName val="Overall_Summary20"/>
      <sheetName val="CSI_Summary20"/>
      <sheetName val="Section_1_Areas20"/>
      <sheetName val="Section_1_Summary20"/>
      <sheetName val="Section_120"/>
      <sheetName val="Section_2_Areas20"/>
      <sheetName val="Section_2_Summary20"/>
      <sheetName val="Section_220"/>
      <sheetName val="Section_3_Areas20"/>
      <sheetName val="Section_3_Summary20"/>
      <sheetName val="Section_320"/>
      <sheetName val="Section_4_Areas20"/>
      <sheetName val="Section_4_Summary20"/>
      <sheetName val="Section_420"/>
      <sheetName val="Section_5_Areas20"/>
      <sheetName val="Section_5_Summary20"/>
      <sheetName val="Section_520"/>
      <sheetName val="Sitework_Areas20"/>
      <sheetName val="Section_6_Areas20"/>
      <sheetName val="Section_6_Summary20"/>
      <sheetName val="Section_620"/>
      <sheetName val="Sitework_Summary20"/>
      <sheetName val="Comparison_Summary20"/>
      <sheetName val="Fill_this_out_first___46"/>
      <sheetName val="Salient_Features20"/>
      <sheetName val="IDC_AHK_20"/>
      <sheetName val="BOQ_Direct_selling_cost20"/>
      <sheetName val="Monthwise_breakup20"/>
      <sheetName val="Reinf_Analy20"/>
      <sheetName val="Power_anal20"/>
      <sheetName val="SHEET_120"/>
      <sheetName val="PRECAST_lightconc-II20"/>
      <sheetName val="labour_coeff20"/>
      <sheetName val="Sebtion_1_SumMary20"/>
      <sheetName val="DLA_Standard_Cost_Report120"/>
      <sheetName val="IO_List20"/>
      <sheetName val="Macro_custom_function20"/>
      <sheetName val="Staff_Acco_20"/>
      <sheetName val="Pacakges_split20"/>
      <sheetName val="TBAL9697_-group_wise__sdpl20"/>
      <sheetName val="Basement_Budget20"/>
      <sheetName val="Extra_Item20"/>
      <sheetName val="Meas_-Hotel_Part20"/>
      <sheetName val="schedule_nos20"/>
      <sheetName val="INPUT_SHEET20"/>
      <sheetName val="Stress_Calculation20"/>
      <sheetName val="DEPTH_CHART_(ORR)_L_S_20"/>
      <sheetName val="Name_List20"/>
      <sheetName val="PA-_Consutant_20"/>
      <sheetName val="Break_up_Sheet20"/>
      <sheetName val="RCC,Ret__Wall20"/>
      <sheetName val="Tender_Summary20"/>
      <sheetName val="Driveway_Beams20"/>
      <sheetName val="1st_Slab20"/>
      <sheetName val="Contract_Night_Staff20"/>
      <sheetName val="Contract_Day_Staff20"/>
      <sheetName val="Day_Shift20"/>
      <sheetName val="Night_Shift20"/>
      <sheetName val="Cat_A_Change_Control20"/>
      <sheetName val="Cashflow_projection20"/>
      <sheetName val="Deduction_of_assets20"/>
      <sheetName val="Civil_Works20"/>
      <sheetName val="1st_flr20"/>
      <sheetName val="Labour_productivity20"/>
      <sheetName val="Fin_Sum20"/>
      <sheetName val="Project_Budget_Worksheet20"/>
      <sheetName val="Sun_E_Type20"/>
      <sheetName val="BLOCK-A_(MEA_SHEET)20"/>
      <sheetName val="Order_Info20"/>
      <sheetName val="As_per_PCA20"/>
      <sheetName val="Project_Plan_-_WWW20"/>
      <sheetName val="Scope_Reconciliation20"/>
      <sheetName val="WORK_TABLE20"/>
      <sheetName val="Approved_MTD_Proj_#'s20"/>
      <sheetName val="SITE_OVERHEADS20"/>
      <sheetName val="FITZ_MORT_9420"/>
      <sheetName val="GF_Columns20"/>
      <sheetName val="Capex_-_Hry20"/>
      <sheetName val="LEVEL_SHEET20"/>
      <sheetName val="Fee_Rate_Summary20"/>
      <sheetName val="P&amp;L_-_AD20"/>
      <sheetName val="Total_Quote20"/>
      <sheetName val="SPT_vs_PHI20"/>
      <sheetName val="MASTER_RATE_ANALYSIS20"/>
      <sheetName val="Deprec_20"/>
      <sheetName val="Rate_analysis10"/>
      <sheetName val="Sheet3_(2)20"/>
      <sheetName val="Site_Dev_BOQ20"/>
      <sheetName val="Works_-_Quote_Sheet20"/>
      <sheetName val="Item-_Compact20"/>
      <sheetName val="DETAILED__BOQ20"/>
      <sheetName val="Factors_20"/>
      <sheetName val="Budget_in_SAP20"/>
      <sheetName val="Structure_Bills_Qty20"/>
      <sheetName val="PC_Master_List20"/>
      <sheetName val="Field_Values20"/>
      <sheetName val="Data_Forecast20"/>
      <sheetName val="SPS_DETAIL20"/>
      <sheetName val="\TCS,_NAGPUR-MANJIRI_C\PROGRE20"/>
      <sheetName val="BASIS_-DEC_0820"/>
      <sheetName val="MN_T_B_20"/>
      <sheetName val="Basic_Rate20"/>
      <sheetName val="final_abstract20"/>
      <sheetName val="Master_Data_Sheet20"/>
      <sheetName val="Cement_recon_20"/>
      <sheetName val="Load_Details-220kV20"/>
      <sheetName val="Civil_Boq20"/>
      <sheetName val="Material_20"/>
      <sheetName val="Adimi_bldg20"/>
      <sheetName val="Pump_House20"/>
      <sheetName val="Fuel_Regu_Station20"/>
      <sheetName val="INDIGINEOUS_ITEMS_4"/>
      <sheetName val="Main_Gate_House4"/>
      <sheetName val="key_dates4"/>
      <sheetName val="Assumption_Inputs4"/>
      <sheetName val="India_F&amp;S_Template4"/>
      <sheetName val="_20"/>
      <sheetName val="Cleaning_&amp;_Grubbing20"/>
      <sheetName val="Intro_20"/>
      <sheetName val="Fcst_vs_Budgets3"/>
      <sheetName val="Plant_&amp;__Machinery20"/>
      <sheetName val="_TCS,_NAGPUR-MANJIRI_C_PROGRE20"/>
      <sheetName val="BOQ_T4B2"/>
      <sheetName val="Discount_&amp;_Margin2"/>
      <sheetName val="PointNo_520"/>
      <sheetName val="Material_Rates20"/>
      <sheetName val="Cost_Index2"/>
      <sheetName val="Form_620"/>
      <sheetName val="foot-slab_reinft1"/>
      <sheetName val="Layer_Table2"/>
      <sheetName val="Constants_Summary20"/>
      <sheetName val="COP_Final2"/>
      <sheetName val="Boq_-_Flats3"/>
      <sheetName val="St_co_91_5lvl2"/>
      <sheetName val="P1260Projected_5700_Detail1"/>
      <sheetName val="P852_5000_Detail1"/>
      <sheetName val="P854_5000_Detail1"/>
      <sheetName val="P856_5000_Detail1"/>
      <sheetName val="P858_5000_Detail1"/>
      <sheetName val="P860Baseline_5000_Detail1"/>
      <sheetName val="1-OBJ98_1"/>
      <sheetName val="_Acc__Sched_1"/>
      <sheetName val="SUPPLY_-Sanitary_Fixtures1"/>
      <sheetName val="ITEMS_FOR_CIVIL_TENDER1"/>
      <sheetName val="F_Blk2"/>
      <sheetName val="Labor_abs-NMR1"/>
      <sheetName val="M_S_2"/>
      <sheetName val="Ra__stair20"/>
      <sheetName val="Detail_In_Door_Stad1"/>
      <sheetName val="Debits_as_on_12_04_081"/>
      <sheetName val="Loan_Schedule1"/>
      <sheetName val="Current_Bill_MB_ref1"/>
      <sheetName val="beam-reinft-IIInd_floor1"/>
      <sheetName val="Kristal_Court1"/>
      <sheetName val="Operating_Statistics1"/>
      <sheetName val="Data_sheet1"/>
      <sheetName val="Per_Unit1"/>
      <sheetName val="Rate_analysis_civil1"/>
      <sheetName val="Rate_Analysis_1"/>
      <sheetName val="Monthly_Plan_May'161"/>
      <sheetName val="Performance_Report1"/>
      <sheetName val="_bus_bay1"/>
      <sheetName val="doq_41"/>
      <sheetName val="doq_21"/>
      <sheetName val="Labour_&amp;_Plant1"/>
      <sheetName val="loads_at_base_of_pier1"/>
      <sheetName val="Buying_Schedule1"/>
      <sheetName val="CRF_Register1"/>
      <sheetName val="E_&amp;_R1"/>
      <sheetName val="Primero_Tower_Budget1"/>
      <sheetName val="REPAIR&amp;_MAINT23"/>
      <sheetName val="Basic_Resources1"/>
      <sheetName val="MEP_BOQ-20"/>
      <sheetName val="wooden_door20"/>
      <sheetName val="Sub_con_Summary20"/>
      <sheetName val="Cost_saving20"/>
      <sheetName val="GENERAL_SUMMARY20"/>
      <sheetName val="LMP_Summary20"/>
      <sheetName val="Sec_Summary20"/>
      <sheetName val="Labour_cost20"/>
      <sheetName val="BILLING_SCHEDULE20"/>
      <sheetName val="bill_curve20"/>
      <sheetName val="CASH_IN_&amp;_OUT_FLOW_20"/>
      <sheetName val="cash_flow_curve20"/>
      <sheetName val="Revised_Labour20"/>
      <sheetName val="Rein_Ana20"/>
      <sheetName val="Gen_Exp_Breakup20"/>
      <sheetName val="cover_page20"/>
      <sheetName val="Project_Data20"/>
      <sheetName val="Drop_Down_List20"/>
      <sheetName val="30개월기준대비표_아랍택)20"/>
      <sheetName val="총괄표_(2)20"/>
      <sheetName val="CIF_COST_ITEM20"/>
      <sheetName val="bs_BP_04_SA1"/>
      <sheetName val="Sales_&amp;_Prod1"/>
      <sheetName val="Base_Assumptions1"/>
      <sheetName val="Ov%rall_Summary1"/>
      <sheetName val="Cost_summary1"/>
      <sheetName val="Bill_1-BOQ-Civil_Works1"/>
      <sheetName val="BOQ_(2)1"/>
      <sheetName val="Rev_P1"/>
      <sheetName val="Block_A_-_BOQ1"/>
      <sheetName val="Summary_year_Plan1"/>
      <sheetName val="BOQ_Distribution1"/>
      <sheetName val="3__Elemental_Summary1"/>
      <sheetName val="9__Package_split_-_Cost_1"/>
      <sheetName val="10__&amp;_11__Rate_Code_&amp;_BQ1"/>
      <sheetName val="[DLA_Standard_Cost_Report1][DL1"/>
      <sheetName val="소상_&quot;1&quot;1"/>
      <sheetName val="labour_rates1"/>
      <sheetName val="STAFFSCHED_1"/>
      <sheetName val="Factor_Sheet1"/>
      <sheetName val="NT_LBH1"/>
      <sheetName val="Builtup_Area1"/>
      <sheetName val="Lead_(Final)1"/>
      <sheetName val="D_UT-MECH1"/>
      <sheetName val="Rob__elektr_1"/>
      <sheetName val="CABLE_DATA1"/>
      <sheetName val="Combined_Results_1"/>
      <sheetName val="Contractor_&amp;_Material_Price1"/>
      <sheetName val="Forecast_Variance_Planning_hrs2"/>
      <sheetName val="Raw_Data20"/>
      <sheetName val="PRC_PROG_2"/>
      <sheetName val="Val_breakdown2"/>
      <sheetName val="Orç__Estrelas_Santiago2"/>
      <sheetName val="Bill_No_32"/>
      <sheetName val="GM_&amp;_TA1"/>
      <sheetName val="Master_data1"/>
      <sheetName val="Design_sheet1"/>
      <sheetName val="Gen_Info1"/>
      <sheetName val="[DLA_Standard_Cost_Report1]\TC1"/>
      <sheetName val="F_Slab1"/>
      <sheetName val="Plinth_Beam11"/>
      <sheetName val="os gl ac"/>
      <sheetName val="Forward Rates"/>
      <sheetName val="USD YC"/>
      <sheetName val="Classification"/>
      <sheetName val="currency (2)"/>
      <sheetName val="Debtors analysis"/>
      <sheetName val="Total Debtors Ageing Sheet"/>
      <sheetName val="Loads"/>
      <sheetName val="Sanitary Fixtures"/>
      <sheetName val="Timesheet"/>
      <sheetName val="4.1 UF-DF Calc"/>
      <sheetName val="Summ"/>
      <sheetName val="Fossil_DCF"/>
      <sheetName val="03 BOQ code"/>
      <sheetName val="RMC &amp; cement qty"/>
      <sheetName val="VAL"/>
      <sheetName val="SAP World one 300915"/>
      <sheetName val="Bill 3 - Site Works"/>
      <sheetName val="compare"/>
      <sheetName val="Indices"/>
      <sheetName val="Dec resp"/>
      <sheetName val="Jan HC"/>
      <sheetName val="12-27"/>
      <sheetName val="2 years opr "/>
      <sheetName val="Tower_slab data"/>
      <sheetName val="Miscelleneous"/>
      <sheetName val="B2"/>
      <sheetName val="Cover"/>
      <sheetName val="Sales Seasonality by Month"/>
      <sheetName val="CCTV_EST1"/>
      <sheetName val="Customize Your Invoice"/>
      <sheetName val="L+M"/>
      <sheetName val="Sheet4"/>
      <sheetName val="3cd_Annexure"/>
      <sheetName val="3-Subst"/>
      <sheetName val="Notes"/>
      <sheetName val="Rates Basic"/>
      <sheetName val="PAD-F"/>
      <sheetName val="sept-plan"/>
      <sheetName val="PRICE BID"/>
      <sheetName val="Start"/>
      <sheetName val="pa-mtly"/>
      <sheetName val="Detail 1A"/>
      <sheetName val="LOCAL RATES"/>
      <sheetName val="Curve Details"/>
      <sheetName val="Final FRL"/>
      <sheetName val="sc-sepVdec99"/>
      <sheetName val="3"/>
      <sheetName val="SITE DATA"/>
      <sheetName val="Bar Budget"/>
      <sheetName val="Final Qty"/>
      <sheetName val="Machine HC - 19.08 "/>
      <sheetName val="PNM Justi"/>
      <sheetName val="Bar"/>
      <sheetName val="Analysed rate"/>
      <sheetName val="Shutter"/>
      <sheetName val="BOQ Backup"/>
      <sheetName val="list of directo"/>
      <sheetName val="[DLA Standard Cost Report1]_T_2"/>
      <sheetName val="[DLA Standard Cost Report1]_T_3"/>
      <sheetName val="[DLA Standard Cost Report1]_T_4"/>
      <sheetName val="[DLA Standard Cost Report1]_T_5"/>
      <sheetName val="[DLA Standard Cost Report1]__22"/>
      <sheetName val="[DLA Standard Cost Report1]__23"/>
      <sheetName val="[DLA Standard Cost Report1]__24"/>
      <sheetName val="[DLA Standard Cost Report1]__25"/>
      <sheetName val="[DLA Standard Cost Report1]_T_6"/>
      <sheetName val="[DLA Standard Cost Report1]_T_7"/>
      <sheetName val="[DLA Standard Cost Report1]_T_8"/>
      <sheetName val="[DLA Standard Cost Report1]_T_9"/>
      <sheetName val="[DLA Standard Cost Report1]__10"/>
      <sheetName val="[DLA Standard Cost Report1]__11"/>
      <sheetName val="[DLA Standard Cost Report1]__12"/>
      <sheetName val="[DLA Standard Cost Report1]__13"/>
      <sheetName val="[DLA Standard Cost Report1]__14"/>
      <sheetName val="[DLA Standard Cost Report1]__15"/>
      <sheetName val="[DLA Standard Cost Report1]__16"/>
      <sheetName val="[DLA Standard Cost Report1]__17"/>
      <sheetName val="[DLA Standard Cost Report1]__18"/>
      <sheetName val="[DLA Standard Cost Report1]__19"/>
      <sheetName val="[DLA Standard Cost Report1]__20"/>
      <sheetName val="[DLA Standard Cost Report1]__21"/>
      <sheetName val="[DLA Standard Cost Report1]_D_2"/>
      <sheetName val="RCC RA76(BGL)"/>
      <sheetName val="Makro1"/>
      <sheetName val="Sheet3_(2"/>
      <sheetName val="3_(2)1_x001f_"/>
      <sheetName val="_Recovered_SheetName_542_"/>
      <sheetName val="_Recovered_SheetName_543_"/>
      <sheetName val="_Recovered_SheetName_544_"/>
      <sheetName val="_Recovered_SheetName_545_"/>
      <sheetName val="_Recovered_SheetName_546_"/>
      <sheetName val="_Recovered_SheetName_547_"/>
      <sheetName val="_Recovered_SheetName_548_"/>
      <sheetName val="_Recovered_SheetName_549_"/>
      <sheetName val="_Recovered_SheetName_550_"/>
      <sheetName val="_Recovered_SheetName_551_"/>
      <sheetName val="_Recovered_SheetName_552_"/>
      <sheetName val="_Recovered_SheetName_553_"/>
      <sheetName val="_Recovered_SheetName_554_"/>
      <sheetName val="_Recovered_SheetName_555_"/>
      <sheetName val="_Recovered_SheetName_556_"/>
      <sheetName val="_Recovered_SheetName_557_"/>
      <sheetName val="_Recovered_SheetName_558_"/>
      <sheetName val="_Recovered_SheetName_559_"/>
      <sheetName val="_Recovered_SheetName_560_"/>
      <sheetName val="_Recovered_SheetName_561_"/>
      <sheetName val="_Recovered_SheetName_562_"/>
      <sheetName val="_Recovered_SheetName_563_"/>
      <sheetName val="_Recovered_SheetName_564_"/>
      <sheetName val="_Recovered_SheetName_565_"/>
      <sheetName val="_Recovered_SheetName_566_"/>
      <sheetName val="_Recovered_SheetName_567_"/>
      <sheetName val="_Recovered_SheetName_568_"/>
      <sheetName val="_Recovered_SheetName_569_"/>
      <sheetName val="_Recovered_SheetName_570_"/>
      <sheetName val="_Recovered_SheetName_571_"/>
      <sheetName val="_Recovered_SheetName_572_"/>
      <sheetName val="_Recovered_SheetName_573_"/>
      <sheetName val="_Recovered_SheetName_574_"/>
      <sheetName val="_Recovered_SheetName_575_"/>
      <sheetName val="_Recovered_SheetName_576_"/>
      <sheetName val="_Recovered_SheetName_577_"/>
      <sheetName val="_Recovered_SheetName_578_"/>
      <sheetName val="_Recovered_SheetName_579_"/>
      <sheetName val="_Recovered_SheetName_580_"/>
      <sheetName val="_Recovered_SheetName_581_"/>
      <sheetName val="_Recovered_SheetName_582_"/>
      <sheetName val="_Recovered_SheetName_583_"/>
      <sheetName val="_Recovered_SheetName_584_"/>
      <sheetName val="_Recovered_SheetName_585_"/>
      <sheetName val="_Recovered_SheetName_586_"/>
      <sheetName val="_Recovered_SheetName_587_"/>
      <sheetName val="_Recovered_SheetName_588_"/>
      <sheetName val="_Recovered_SheetName_589_"/>
      <sheetName val="_Recovered_SheetName_590_"/>
      <sheetName val="_Recovered_SheetName_591_"/>
      <sheetName val="_Recovered_SheetName_592_"/>
      <sheetName val="_Recovered_SheetName_593_"/>
      <sheetName val="_Recovered_SheetName_594_"/>
      <sheetName val="_Recovered_SheetName_595_"/>
      <sheetName val="_Recovered_SheetName_596_"/>
      <sheetName val="_Recovered_SheetName_597_"/>
      <sheetName val="_Recovered_SheetName_598_"/>
      <sheetName val="_Recovered_SheetName_599_"/>
      <sheetName val="_Recovered_SheetName_600_"/>
      <sheetName val="_Recovered_SheetName_601_"/>
      <sheetName val="_Recovered_SheetName_602_"/>
      <sheetName val="_Recovered_SheetName_603_"/>
      <sheetName val="_Recovered_SheetName_604_"/>
      <sheetName val="_Recovered_SheetName_605_"/>
      <sheetName val="_Recovered_SheetName_606_"/>
      <sheetName val="_Recovered_SheetName_607_"/>
      <sheetName val="_Recovered_SheetName_608_"/>
      <sheetName val="_Recovered_SheetName_609_"/>
      <sheetName val="_Recovered_SheetName_610_"/>
      <sheetName val="_Recovered_SheetName_611_"/>
      <sheetName val="_Recovered_SheetName_612_"/>
      <sheetName val="_Recovered_SheetName_613_"/>
      <sheetName val="_Recovered_SheetName_614_"/>
      <sheetName val="_Recovered_SheetName_615_"/>
      <sheetName val="_Recovered_SheetName_616_"/>
      <sheetName val="_Recovered_SheetName_617_"/>
      <sheetName val="_Recovered_SheetName_618_"/>
      <sheetName val="_Recovered_SheetName_619_"/>
      <sheetName val="_Recovered_SheetName_620_"/>
      <sheetName val="_Recovered_SheetName_621_"/>
      <sheetName val="_Recovered_SheetName_622_"/>
      <sheetName val="_Recovered_SheetName_623_"/>
      <sheetName val="_Recovered_SheetName_624_"/>
      <sheetName val="_Recovered_SheetName_625_"/>
      <sheetName val="_Recovered_SheetName_626_"/>
      <sheetName val="_Recovered_SheetName_627_"/>
      <sheetName val="_Recovered_SheetName_628_"/>
      <sheetName val="_Recovered_SheetName_629_"/>
      <sheetName val="_Recovered_SheetName_630_"/>
      <sheetName val="_Recovered_SheetName_631_"/>
      <sheetName val="_Recovered_SheetName_632_"/>
      <sheetName val="_Recovered_SheetName_633_"/>
      <sheetName val="_Recovered_SheetName_634_"/>
      <sheetName val="_Recovered_SheetName_635_"/>
      <sheetName val="_Recovered_SheetName_636_"/>
      <sheetName val="_Recovered_SheetName_637_"/>
      <sheetName val="_Recovered_SheetName_638_"/>
      <sheetName val="_Recovered_SheetName_639_"/>
      <sheetName val="_Recovered_SheetName_640_"/>
      <sheetName val="_Recovered_SheetName_641_"/>
      <sheetName val="_Recovered_SheetName_642_"/>
      <sheetName val="_Recovered_SheetName_643_"/>
      <sheetName val="_Recovered_SheetName_644_"/>
      <sheetName val="_Recovered_SheetName_645_"/>
      <sheetName val="_Recovered_SheetName_646_"/>
      <sheetName val="_Recovered_SheetName_647_"/>
      <sheetName val="_Recovered_SheetName_648_"/>
      <sheetName val="_Recovered_SheetName_649_"/>
      <sheetName val="_Recovered_SheetName_650_"/>
      <sheetName val="_Recovered_SheetName_651_"/>
      <sheetName val="_Recovered_SheetName_652_"/>
      <sheetName val="_Recovered_SheetName_653_"/>
      <sheetName val="_Recovered_SheetName_654_"/>
      <sheetName val="_Recovered_SheetName_655_"/>
      <sheetName val="_Recovered_SheetName_656_"/>
      <sheetName val="_Recovered_SheetName_657_"/>
      <sheetName val="_Recovered_SheetName_658_"/>
      <sheetName val="_Recovered_SheetName_659_"/>
      <sheetName val="_Recovered_SheetName_660_"/>
      <sheetName val="_Recovered_SheetName_661_"/>
      <sheetName val="_Recovered_SheetName_662_"/>
      <sheetName val="_Recovered_SheetName_663_"/>
      <sheetName val="_Recovered_SheetName_664_"/>
      <sheetName val="_Recovered_SheetName_665_"/>
      <sheetName val="_Recovered_SheetName_666_"/>
      <sheetName val="_Recovered_SheetName_667_"/>
      <sheetName val="_Recovered_SheetName_668_"/>
      <sheetName val="_Recovered_SheetName_669_"/>
      <sheetName val="_Recovered_SheetName_670_"/>
      <sheetName val="_Recovered_SheetName_671_"/>
      <sheetName val="_Recovered_SheetName_672_"/>
      <sheetName val="_Recovered_SheetName_673_"/>
      <sheetName val="_Recovered_SheetName_674_"/>
      <sheetName val="_Recovered_SheetName_675_"/>
      <sheetName val="_Recovered_SheetName_676_"/>
      <sheetName val="_Recovered_SheetName_677_"/>
      <sheetName val="_Recovered_SheetName_678_"/>
      <sheetName val="_Recovered_SheetName_679_"/>
      <sheetName val="_Recovered_SheetName_680_"/>
      <sheetName val="_Recovered_SheetName_681_"/>
      <sheetName val="_Recovered_SheetName_682_"/>
      <sheetName val="_Recovered_SheetName_683_"/>
      <sheetName val="_Recovered_SheetName_684_"/>
      <sheetName val="_Recovered_SheetName_685_"/>
      <sheetName val="_Recovered_SheetName_686_"/>
      <sheetName val="_Recovered_SheetName_687_"/>
      <sheetName val="_Recovered_SheetName_688_"/>
      <sheetName val="_Recovered_SheetName_689_"/>
      <sheetName val="_Recovered_SheetName_690_"/>
      <sheetName val="_Recovered_SheetName_691_"/>
      <sheetName val="_Recovered_SheetName_692_"/>
      <sheetName val="_Recovered_SheetName_693_"/>
      <sheetName val="_Recovered_SheetName_694_"/>
      <sheetName val="_Recovered_SheetName_695_"/>
      <sheetName val="_Recovered_SheetName_696_"/>
      <sheetName val="_Recovered_SheetName_697_"/>
      <sheetName val="_Recovered_SheetName_698_"/>
      <sheetName val="_Recovered_SheetName_699_"/>
      <sheetName val="_Recovered_SheetName_700_"/>
      <sheetName val="_Recovered_SheetName_701_"/>
      <sheetName val="_Recovered_SheetName_702_"/>
      <sheetName val="_Recovered_SheetName_703_"/>
      <sheetName val="_Recovered_SheetName_704_"/>
      <sheetName val="_Recovered_SheetName_705_"/>
      <sheetName val="_Recovered_SheetName_706_"/>
      <sheetName val="_Recovered_SheetName_707_"/>
      <sheetName val="_Recovered_SheetName_708_"/>
      <sheetName val="_Recovered_SheetName_709_"/>
      <sheetName val="_Recovered_SheetName_710_"/>
      <sheetName val="_Recovered_SheetName_711_"/>
      <sheetName val="_Recovered_SheetName_712_"/>
      <sheetName val="_Recovered_SheetName_713_"/>
      <sheetName val="_Recovered_SheetName_714_"/>
      <sheetName val="_Recovered_SheetName_715_"/>
      <sheetName val="_Recovered_SheetName_716_"/>
      <sheetName val="_Recovered_SheetName_717_"/>
      <sheetName val="_Recovered_SheetName_718_"/>
      <sheetName val="_Recovered_SheetName_719_"/>
      <sheetName val="_Recovered_SheetName_720_"/>
      <sheetName val="_Recovered_SheetName_721_"/>
      <sheetName val="_Recovered_SheetName_722_"/>
      <sheetName val="_Recovered_SheetName_723_"/>
      <sheetName val="_Recovered_SheetName_724_"/>
      <sheetName val="_Recovered_SheetName_725_"/>
      <sheetName val="_Recovered_SheetName_726_"/>
      <sheetName val="_Recovered_SheetName_727_"/>
      <sheetName val="_Recovered_SheetName_728_"/>
      <sheetName val="_Recovered_SheetName_729_"/>
      <sheetName val="_Recovered_SheetName_730_"/>
      <sheetName val="_Recovered_SheetName_731_"/>
      <sheetName val="_Recovered_SheetName_732_"/>
      <sheetName val="_Recovered_SheetName_733_"/>
      <sheetName val="_Recovered_SheetName_734_"/>
      <sheetName val="_Recovered_SheetName_735_"/>
      <sheetName val="_Recovered_SheetName_736_"/>
      <sheetName val="_Recovered_SheetName_737_"/>
      <sheetName val="_Recovered_SheetName_738_"/>
      <sheetName val="_Recovered_SheetName_739_"/>
      <sheetName val="_Recovered_SheetName_740_"/>
      <sheetName val="_Recovered_SheetName_741_"/>
      <sheetName val="_Recovered_SheetName_742_"/>
      <sheetName val="_Recovered_SheetName_743_"/>
      <sheetName val="_Recovered_SheetName_744_"/>
      <sheetName val="_Recovered_SheetName_745_"/>
      <sheetName val="_Recovered_SheetName_746_"/>
      <sheetName val="_Recovered_SheetName_747_"/>
      <sheetName val="_Recovered_SheetName_748_"/>
      <sheetName val="_Recovered_SheetName_749_"/>
      <sheetName val="_Recovered_SheetName_750_"/>
      <sheetName val="_Recovered_SheetName_751_"/>
      <sheetName val="_Recovered_SheetName_752_"/>
      <sheetName val="_Recovered_SheetName_753_"/>
      <sheetName val="_Recovered_SheetName_754_"/>
      <sheetName val="_Recovered_SheetName_755_"/>
      <sheetName val="_Recovered_SheetName_756_"/>
      <sheetName val="_Recovered_SheetName_757_"/>
      <sheetName val="_Recovered_SheetName_758_"/>
      <sheetName val="_Recovered_SheetName_759_"/>
      <sheetName val="_Recovered_SheetName_760_"/>
      <sheetName val="_Recovered_SheetName_761_"/>
      <sheetName val="_Recovered_SheetName_762_"/>
      <sheetName val="_Recovered_SheetName_763_"/>
      <sheetName val="_Recovered_SheetName_764_"/>
      <sheetName val="_Recovered_SheetName_765_"/>
      <sheetName val="_Recovered_SheetName_766_"/>
      <sheetName val="_Recovered_SheetName_767_"/>
      <sheetName val="_Recovered_SheetName_768_"/>
      <sheetName val="_Recovered_SheetName_769_"/>
      <sheetName val="_Recovered_SheetName_770_"/>
      <sheetName val="_Recovered_SheetName_771_"/>
      <sheetName val="_Recovered_SheetName_772_"/>
      <sheetName val="_Recovered_SheetName_773_"/>
      <sheetName val="_Recovered_SheetName_774_"/>
      <sheetName val="_Recovered_SheetName_775_"/>
      <sheetName val="_Recovered_SheetName_776_"/>
      <sheetName val="_Recovered_SheetName_777_"/>
      <sheetName val="_Recovered_SheetName_778_"/>
      <sheetName val="_Recovered_SheetName_779_"/>
      <sheetName val="_Recovered_SheetName_780_"/>
      <sheetName val="_Recovered_SheetName_781_"/>
      <sheetName val="_Recovered_SheetName_782_"/>
      <sheetName val="_Recovered_SheetName_783_"/>
      <sheetName val="_Recovered_SheetName_784_"/>
      <sheetName val="_Recovered_SheetName_785_"/>
      <sheetName val="_Recovered_SheetName_786_"/>
      <sheetName val="_Recovered_SheetName_787_"/>
      <sheetName val="_Recovered_SheetName_788_"/>
      <sheetName val="_Recovered_SheetName_789_"/>
      <sheetName val="_Recovered_SheetName_790_"/>
      <sheetName val="_Recovered_SheetName_791_"/>
      <sheetName val="_Recovered_SheetName_792_"/>
      <sheetName val="_Recovered_SheetName_793_"/>
      <sheetName val="_Recovered_SheetName_794_"/>
      <sheetName val="_Recovered_SheetName_795_"/>
      <sheetName val="_Recovered_SheetName_796_"/>
      <sheetName val="_Recovered_SheetName_797_"/>
      <sheetName val="_Recovered_SheetName_798_"/>
      <sheetName val="_Recovered_SheetName_799_"/>
      <sheetName val="_Recovered_SheetName_800_"/>
      <sheetName val="_Recovered_SheetName_801_"/>
      <sheetName val="_Recovered_SheetName_802_"/>
      <sheetName val="_Recovered_SheetName_803_"/>
      <sheetName val="_Recovered_SheetName_804_"/>
      <sheetName val="_Recovered_SheetName_805_"/>
      <sheetName val="_Recovered_SheetName_806_"/>
      <sheetName val="_Recovered_SheetName_807_"/>
      <sheetName val="_Recovered_SheetName_808_"/>
      <sheetName val="_Recovered_SheetName_809_"/>
      <sheetName val="_Recovered_SheetName_810_"/>
      <sheetName val="_Recovered_SheetName_811_"/>
      <sheetName val="_Recovered_SheetName_812_"/>
      <sheetName val="_Recovered_SheetName_813_"/>
      <sheetName val="_Recovered_SheetName_814_"/>
      <sheetName val="_Recovered_SheetName_815_"/>
      <sheetName val="_Recovered_SheetName_816_"/>
      <sheetName val="_Recovered_SheetName_817_"/>
      <sheetName val="_Recovered_SheetName_818_"/>
      <sheetName val="_Recovered_SheetName_819_"/>
      <sheetName val="_Recovered_SheetName_820_"/>
      <sheetName val="_Recovered_SheetName_821_"/>
      <sheetName val="_Recovered_SheetName_822_"/>
      <sheetName val="_Recovered_SheetName_823_"/>
      <sheetName val="_Recovered_SheetName_824_"/>
      <sheetName val="_Recovered_SheetName_825_"/>
      <sheetName val="_Recovered_SheetName_826_"/>
      <sheetName val="_Recovered_SheetName_827_"/>
      <sheetName val="_Recovered_SheetName_828_"/>
      <sheetName val="_Recovered_SheetName_829_"/>
      <sheetName val="_Recovered_SheetName_830_"/>
      <sheetName val="_Recovered_SheetName_831_"/>
      <sheetName val="_Recovered_SheetName_832_"/>
      <sheetName val="_Recovered_SheetName_833_"/>
      <sheetName val="_Recovered_SheetName_834_"/>
      <sheetName val="_Recovered_SheetName_835_"/>
      <sheetName val="_Recovered_SheetName_836_"/>
      <sheetName val="_Recovered_SheetName_837_"/>
      <sheetName val="_Recovered_SheetName_838_"/>
      <sheetName val="_Recovered_SheetName_839_"/>
      <sheetName val="_Recovered_SheetName_840_"/>
      <sheetName val="_Recovered_SheetName_841_"/>
      <sheetName val="_Recovered_SheetName_842_"/>
      <sheetName val="_Recovered_SheetName_843_"/>
      <sheetName val="_Recovered_SheetName_844_"/>
      <sheetName val="_Recovered_SheetName_845_"/>
      <sheetName val="_Recovered_SheetName_846_"/>
      <sheetName val="_Recovered_SheetName_847_"/>
      <sheetName val="_Recovered_SheetName_848_"/>
      <sheetName val="_Recovered_SheetName_849_"/>
      <sheetName val="_Recovered_SheetName_850_"/>
      <sheetName val="_Recovered_SheetName_851_"/>
      <sheetName val="_Recovered_SheetName_852_"/>
      <sheetName val="_Recovered_SheetName_853_"/>
      <sheetName val="_Recovered_SheetName_854_"/>
      <sheetName val="_Recovered_SheetName_855_"/>
      <sheetName val="_Recovered_SheetName_856_"/>
      <sheetName val="_Recovered_SheetName_857_"/>
      <sheetName val="_Recovered_SheetName_858_"/>
      <sheetName val="_Recovered_SheetName_859_"/>
      <sheetName val="_Recovered_SheetName_860_"/>
      <sheetName val="_Recovered_SheetName_861_"/>
      <sheetName val="_Recovered_SheetName_862_"/>
      <sheetName val="_Recovered_SheetName_863_"/>
      <sheetName val="_Recovered_SheetName_864_"/>
      <sheetName val="_Recovered_SheetName_865_"/>
      <sheetName val="_Recovered_SheetName_866_"/>
      <sheetName val="_Recovered_SheetName_867_"/>
      <sheetName val="_Recovered_SheetName_868_"/>
      <sheetName val="_Recovered_SheetName_869_"/>
      <sheetName val="_Recovered_SheetName_870_"/>
      <sheetName val="_Recovered_SheetName_871_"/>
      <sheetName val="_Recovered_SheetName_872_"/>
      <sheetName val="_Recovered_SheetName_873_"/>
      <sheetName val="_Recovered_SheetName_874_"/>
      <sheetName val="_Recovered_SheetName_875_"/>
      <sheetName val="_Recovered_SheetName_876_"/>
      <sheetName val="_Recovered_SheetName_877_"/>
      <sheetName val="_Recovered_SheetName_878_"/>
      <sheetName val="_Recovered_SheetName_879_"/>
      <sheetName val="_Recovered_SheetName_880_"/>
      <sheetName val="_Recovered_SheetName_881_"/>
      <sheetName val="_Recovered_SheetName_882_"/>
      <sheetName val="_Recovered_SheetName_883_"/>
      <sheetName val="_Recovered_SheetName_884_"/>
      <sheetName val="_Recovered_SheetName_885_"/>
      <sheetName val="_Recovered_SheetName_886_"/>
      <sheetName val="_Recovered_SheetName_887_"/>
      <sheetName val="_Recovered_SheetName_888_"/>
      <sheetName val="_Recovered_SheetName_889_"/>
      <sheetName val="_Recovered_SheetName_890_"/>
      <sheetName val="_Recovered_SheetName_891_"/>
      <sheetName val="_Recovered_SheetName_892_"/>
      <sheetName val="_Recovered_SheetName_893_"/>
      <sheetName val="_Recovered_SheetName_894_"/>
      <sheetName val="_Recovered_SheetName_895_"/>
      <sheetName val="_Recovered_SheetName_896_"/>
      <sheetName val="_Recovered_SheetName_897_"/>
      <sheetName val="_Recovered_SheetName_898_"/>
      <sheetName val="_Recovered_SheetName_899_"/>
      <sheetName val="_Recovered_SheetName_900_"/>
      <sheetName val="_Recovered_SheetName_901_"/>
      <sheetName val="_Recovered_SheetName_902_"/>
      <sheetName val="_Recovered_SheetName_903_"/>
      <sheetName val="_Recovered_SheetName_904_"/>
      <sheetName val="_Recovered_SheetName_905_"/>
      <sheetName val="_Recovered_SheetName_906_"/>
      <sheetName val="_Recovered_SheetName_907_"/>
      <sheetName val="_Recovered_SheetName_908_"/>
      <sheetName val="_Recovered_SheetName_909_"/>
      <sheetName val="_Recovered_SheetName_910_"/>
      <sheetName val="_Recovered_SheetName_911_"/>
      <sheetName val="_Recovered_SheetName_912_"/>
      <sheetName val="_Recovered_SheetName_913_"/>
      <sheetName val="_Recovered_SheetName_914_"/>
      <sheetName val="_Recovered_SheetName_915_"/>
      <sheetName val="_Recovered_SheetName_916_"/>
      <sheetName val="_Recovered_SheetName_917_"/>
      <sheetName val="_Recovered_SheetName_918_"/>
      <sheetName val="_Recovered_SheetName_919_"/>
      <sheetName val="_Recovered_SheetName_920_"/>
      <sheetName val="_Recovered_SheetName_921_"/>
      <sheetName val="_Recovered_SheetName_922_"/>
      <sheetName val="_Recovered_SheetName_923_"/>
      <sheetName val="_Recovered_SheetName_924_"/>
      <sheetName val="_Recovered_SheetName_925_"/>
      <sheetName val="_Recovered_SheetName_926_"/>
      <sheetName val="_Recovered_SheetName_927_"/>
      <sheetName val="_Recovered_SheetName_928_"/>
      <sheetName val="_Recovered_SheetName_929_"/>
      <sheetName val="_Recovered_SheetName_930_"/>
      <sheetName val="_Recovered_SheetName_931_"/>
      <sheetName val="_Recovered_SheetName_932_"/>
      <sheetName val="_Recovered_SheetName_933_"/>
      <sheetName val="_Recovered_SheetName_934_"/>
      <sheetName val="_Recovered_SheetName_935_"/>
      <sheetName val="_Recovered_SheetName_936_"/>
      <sheetName val="_Recovered_SheetName_937_"/>
      <sheetName val="_Recovered_SheetName_938_"/>
      <sheetName val="_Recovered_SheetName_939_"/>
      <sheetName val="_Recovered_SheetName_940_"/>
      <sheetName val="_Recovered_SheetName_941_"/>
      <sheetName val="_Recovered_SheetName_942_"/>
      <sheetName val="_Recovered_SheetName_943_"/>
      <sheetName val="_Recovered_SheetName_944_"/>
      <sheetName val="_Recovered_SheetName_945_"/>
      <sheetName val="_Recovered_SheetName_946_"/>
      <sheetName val="_Recovered_SheetName_947_"/>
      <sheetName val="_Recovered_SheetName_948_"/>
      <sheetName val="_Recovered_SheetName_949_"/>
      <sheetName val="_Recovered_SheetName_950_"/>
      <sheetName val="_Recovered_SheetName_951_"/>
      <sheetName val="_Recovered_SheetName_952_"/>
      <sheetName val="_Recovered_SheetName_953_"/>
      <sheetName val="_Recovered_SheetName_954_"/>
      <sheetName val="_Recovered_SheetName_955_"/>
      <sheetName val="_Recovered_SheetName_956_"/>
      <sheetName val="_Recovered_SheetName_957_"/>
      <sheetName val="_Recovered_SheetName_958_"/>
      <sheetName val="_Recovered_SheetName_959_"/>
      <sheetName val="_Recovered_SheetName_960_"/>
      <sheetName val="_Recovered_SheetName_961_"/>
      <sheetName val="_Recovered_SheetName_962_"/>
      <sheetName val="_Recovered_SheetName_963_"/>
      <sheetName val="_Recovered_SheetName_964_"/>
      <sheetName val="_Recovered_SheetName_965_"/>
      <sheetName val="_Recovered_SheetName_966_"/>
      <sheetName val="_Recovered_SheetName_967_"/>
      <sheetName val="_Recovered_SheetName_968_"/>
      <sheetName val="_Recovered_SheetName_969_"/>
      <sheetName val="_Recovered_SheetName_970_"/>
      <sheetName val="_Recovered_SheetName_971_"/>
      <sheetName val="_Recovered_SheetName_972_"/>
      <sheetName val="_Recovered_SheetName_973_"/>
      <sheetName val="_Recovered_SheetName_974_"/>
      <sheetName val="_Recovered_SheetName_975_"/>
      <sheetName val="_Recovered_SheetName_976_"/>
      <sheetName val="_Recovered_SheetName_977_"/>
      <sheetName val="_Recovered_SheetName_978_"/>
      <sheetName val="_Recovered_SheetName_979_"/>
      <sheetName val="_Recovered_SheetName_980_"/>
      <sheetName val="_Recovered_SheetName_981_"/>
      <sheetName val="_Recovered_SheetName_982_"/>
      <sheetName val="_Recovered_SheetName_983_"/>
      <sheetName val="_Recovered_SheetName_984_"/>
      <sheetName val="_Recovered_SheetName_985_"/>
      <sheetName val="_Recovered_SheetName_986_"/>
      <sheetName val="_Recovered_SheetName_987_"/>
      <sheetName val="_Recovered_SheetName_988_"/>
      <sheetName val="_Recovered_SheetName_989_"/>
      <sheetName val="_Recovered_SheetName_990_"/>
      <sheetName val="_Recovered_SheetName_991_"/>
      <sheetName val="_Recovered_SheetName_992_"/>
      <sheetName val="_Recovered_SheetName_993_"/>
      <sheetName val="_Recovered_SheetName_994_"/>
      <sheetName val="_Recovered_SheetName_995_"/>
      <sheetName val="_Recovered_SheetName_996_"/>
      <sheetName val="_Recovered_SheetName_997_"/>
      <sheetName val="_Recovered_SheetName_998_"/>
      <sheetName val="_Recovered_SheetName_999_"/>
      <sheetName val="_Recovered_SheetName_1000_"/>
      <sheetName val="_Recovered_SheetName_1001_"/>
      <sheetName val="_Recovered_SheetName_1002_"/>
      <sheetName val="_Recovered_SheetName_1003_"/>
      <sheetName val="_Recovered_SheetName_1004_"/>
      <sheetName val="_Recovered_SheetName_1005_"/>
      <sheetName val="_Recovered_SheetName_1006_"/>
      <sheetName val="_Recovered_SheetName_1007_"/>
      <sheetName val="_Recovered_SheetName_1008_"/>
      <sheetName val="_Recovered_SheetName_1009_"/>
      <sheetName val="_Recovered_SheetName_1010_"/>
      <sheetName val="_Recovered_SheetName_1011_"/>
      <sheetName val="_Recovered_SheetName_1012_"/>
      <sheetName val="_Recovered_SheetName_1013_"/>
      <sheetName val="_Recovered_SheetName_1014_"/>
      <sheetName val="_Recovered_SheetName_1015_"/>
      <sheetName val="_Recovered_SheetName_1016_"/>
      <sheetName val="_Recovered_SheetName_1017_"/>
      <sheetName val="_Recovered_SheetName_1018_"/>
      <sheetName val="_Recovered_SheetName_1019_"/>
      <sheetName val="_Recovered_SheetName_1020_"/>
      <sheetName val="_Recovered_SheetName_1021_"/>
      <sheetName val="_Recovered_SheetName_1022_"/>
      <sheetName val="_Recovered_SheetName_1023_"/>
      <sheetName val="_Recovered_SheetName_1024_"/>
      <sheetName val="_Recovered_SheetName_1025_"/>
      <sheetName val="_Recovered_SheetName_1026_"/>
      <sheetName val="_Recovered_SheetName_1027_"/>
      <sheetName val="_Recovered_SheetName_1028_"/>
      <sheetName val="_Recovered_SheetName_1029_"/>
      <sheetName val="_Recovered_SheetName_1030_"/>
      <sheetName val="_Recovered_SheetName_1031_"/>
      <sheetName val="_Recovered_SheetName_1032_"/>
      <sheetName val="_Recovered_SheetName_1033_"/>
      <sheetName val="_Recovered_SheetName_1034_"/>
      <sheetName val="_Recovered_SheetName_1035_"/>
      <sheetName val="_Recovered_SheetName_1036_"/>
      <sheetName val="_Recovered_SheetName_1037_"/>
      <sheetName val="_Recovered_SheetName_1038_"/>
      <sheetName val="_Recovered_SheetName_1039_"/>
      <sheetName val="_Recovered_SheetName_1040_"/>
      <sheetName val="_Recovered_SheetName_1041_"/>
      <sheetName val="_Recovered_SheetName_1042_"/>
      <sheetName val="_Recovered_SheetName_1043_"/>
      <sheetName val="_Recovered_SheetName_1044_"/>
      <sheetName val="_Recovered_SheetName_1045_"/>
      <sheetName val="_Recovered_SheetName_1046_"/>
      <sheetName val="_Recovered_SheetName_1047_"/>
      <sheetName val="_Recovered_SheetName_1048_"/>
      <sheetName val="_Recovered_SheetName_1049_"/>
      <sheetName val="_Recovered_SheetName_1050_"/>
      <sheetName val="_Recovered_SheetName_1051_"/>
      <sheetName val="_Recovered_SheetName_1052_"/>
      <sheetName val="_Recovered_SheetName_1053_"/>
      <sheetName val="_Recovered_SheetName_1054_"/>
      <sheetName val="_Recovered_SheetName_1055_"/>
      <sheetName val="_Recovered_SheetName_1056_"/>
      <sheetName val="_Recovered_SheetName_1057_"/>
      <sheetName val="_Recovered_SheetName_1058_"/>
      <sheetName val="_Recovered_SheetName_1059_"/>
      <sheetName val="_Recovered_SheetName_1060_"/>
      <sheetName val="_Recovered_SheetName_1061_"/>
      <sheetName val="_Recovered_SheetName_1062_"/>
      <sheetName val="_Recovered_SheetName_1063_"/>
      <sheetName val="_Recovered_SheetName_1064_"/>
      <sheetName val="_Recovered_SheetName_1065_"/>
      <sheetName val="_Recovered_SheetName_1066_"/>
      <sheetName val="_Recovered_SheetName_1067_"/>
      <sheetName val="_Recovered_SheetName_1068_"/>
      <sheetName val="_Recovered_SheetName_1069_"/>
      <sheetName val="_Recovered_SheetName_1070_"/>
      <sheetName val="_Recovered_SheetName_1071_"/>
      <sheetName val="_Recovered_SheetName_1072_"/>
      <sheetName val="_Recovered_SheetName_1073_"/>
      <sheetName val="_Recovered_SheetName_1074_"/>
      <sheetName val="_Recovered_SheetName_1075_"/>
      <sheetName val="_Recovered_SheetName_1076_"/>
      <sheetName val="_Recovered_SheetName_1077_"/>
      <sheetName val="_Recovered_SheetName_1078_"/>
      <sheetName val="_Recovered_SheetName_1079_"/>
      <sheetName val="_Recovered_SheetName_1080_"/>
      <sheetName val="_Recovered_SheetName_1081_"/>
      <sheetName val="_Recovered_SheetName_1082_"/>
      <sheetName val="_Recovered_SheetName_1083_"/>
      <sheetName val="_Recovered_SheetName_1084_"/>
      <sheetName val="_Recovered_SheetName_1085_"/>
      <sheetName val="_Recovered_SheetName_1086_"/>
      <sheetName val="_Recovered_SheetName_1087_"/>
      <sheetName val="_Recovered_SheetName_1088_"/>
      <sheetName val="_Recovered_SheetName_1089_"/>
      <sheetName val="_Recovered_SheetName_1090_"/>
      <sheetName val="_Recovered_SheetName_1091_"/>
      <sheetName val="_Recovered_SheetName_1092_"/>
      <sheetName val="_Recovered_SheetName_1093_"/>
      <sheetName val="_Recovered_SheetName_1094_"/>
      <sheetName val="_Recovered_SheetName_1095_"/>
      <sheetName val="_Recovered_SheetName_1096_"/>
      <sheetName val="_Recovered_SheetName_1097_"/>
      <sheetName val="_Recovered_SheetName_1098_"/>
      <sheetName val="_Recovered_SheetName_1099_"/>
      <sheetName val="_Recovered_SheetName_1100_"/>
      <sheetName val="_Recovered_SheetName_1101_"/>
      <sheetName val="_Recovered_SheetName_1102_"/>
      <sheetName val="_Recovered_SheetName_1103_"/>
      <sheetName val="_Recovered_SheetName_1104_"/>
      <sheetName val="_Recovered_SheetName_1105_"/>
      <sheetName val="_Recovered_SheetName_1106_"/>
      <sheetName val="_Recovered_SheetName_1107_"/>
      <sheetName val="_Recovered_SheetName_1108_"/>
      <sheetName val="_Recovered_SheetName_1109_"/>
      <sheetName val="_Recovered_SheetName_1110_"/>
      <sheetName val="_Recovered_SheetName_1111_"/>
      <sheetName val="_Recovered_SheetName_1112_"/>
      <sheetName val="_Recovered_SheetName_1113_"/>
      <sheetName val="_Recovered_SheetName_1114_"/>
      <sheetName val="_Recovered_SheetName_1115_"/>
      <sheetName val="_Recovered_SheetName_1116_"/>
      <sheetName val="_Recovered_SheetName_1117_"/>
      <sheetName val="_Recovered_SheetName_1118_"/>
      <sheetName val="_Recovered_SheetName_1119_"/>
      <sheetName val="_Recovered_SheetName_1120_"/>
      <sheetName val="_Recovered_SheetName_1121_"/>
      <sheetName val="_Recovered_SheetName_1122_"/>
      <sheetName val="_Recovered_SheetName_1123_"/>
      <sheetName val="_Recovered_SheetName_1124_"/>
      <sheetName val="_Recovered_SheetName_1125_"/>
      <sheetName val="_Recovered_SheetName_1126_"/>
      <sheetName val="_Recovered_SheetName_1127_"/>
      <sheetName val="_Recovered_SheetName_1128_"/>
      <sheetName val="_Recovered_SheetName_1129_"/>
      <sheetName val="_Recovered_SheetName_1130_"/>
      <sheetName val="_Recovered_SheetName_1131_"/>
      <sheetName val="_Recovered_SheetName_1132_"/>
      <sheetName val="_Recovered_SheetName_1133_"/>
      <sheetName val="_Recovered_SheetName_1134_"/>
      <sheetName val="_Recovered_SheetName_1135_"/>
      <sheetName val="_Recovered_SheetName_1136_"/>
      <sheetName val="_Recovered_SheetName_1137_"/>
      <sheetName val="_Recovered_SheetName_1138_"/>
      <sheetName val="_Recovered_SheetName_1139_"/>
      <sheetName val="_Recovered_SheetName_1140_"/>
      <sheetName val="_Recovered_SheetName_1141_"/>
      <sheetName val="_Recovered_SheetName_1142_"/>
      <sheetName val="_Recovered_SheetName_1143_"/>
      <sheetName val="_Recovered_SheetName_1144_"/>
      <sheetName val="_Recovered_SheetName_1145_"/>
      <sheetName val="_Recovered_SheetName_1146_"/>
      <sheetName val="_Recovered_SheetName_1147_"/>
      <sheetName val="_Recovered_SheetName_1148_"/>
      <sheetName val="_Recovered_SheetName_1149_"/>
      <sheetName val="_Recovered_SheetName_1150_"/>
      <sheetName val="_Recovered_SheetName_1151_"/>
      <sheetName val="_Recovered_SheetName_1152_"/>
      <sheetName val="_Recovered_SheetName_1153_"/>
      <sheetName val="_Recovered_SheetName_1154_"/>
      <sheetName val="_Recovered_SheetName_1155_"/>
      <sheetName val="_Recovered_SheetName_1156_"/>
      <sheetName val="_Recovered_SheetName_1157_"/>
      <sheetName val="_Recovered_SheetName_1158_"/>
      <sheetName val="_Recovered_SheetName_1159_"/>
      <sheetName val="_Recovered_SheetName_1160_"/>
      <sheetName val="_Recovered_SheetName_1161_"/>
      <sheetName val="_Recovered_SheetName_1162_"/>
      <sheetName val="_Recovered_SheetName_1163_"/>
      <sheetName val="_Recovered_SheetName_1164_"/>
      <sheetName val="_Recovered_SheetName_1165_"/>
      <sheetName val="_Recovered_SheetName_1166_"/>
      <sheetName val="_Recovered_SheetName_1167_"/>
      <sheetName val="_Recovered_SheetName_1168_"/>
      <sheetName val="_Recovered_SheetName_1169_"/>
      <sheetName val="_Recovered_SheetName_1170_"/>
      <sheetName val="_Recovered_SheetName_1171_"/>
      <sheetName val="_Recovered_SheetName_1172_"/>
      <sheetName val="_Recovered_SheetName_1173_"/>
      <sheetName val="_Recovered_SheetName_1174_"/>
      <sheetName val="_Recovered_SheetName_1175_"/>
      <sheetName val="_Recovered_SheetName_1176_"/>
      <sheetName val="_Recovered_SheetName_1177_"/>
      <sheetName val="_Recovered_SheetName_1178_"/>
      <sheetName val="_Recovered_SheetName_1179_"/>
      <sheetName val="_Recovered_SheetName_1180_"/>
      <sheetName val="_Recovered_SheetName_1181_"/>
      <sheetName val="_Recovered_SheetName_1182_"/>
      <sheetName val="_Recovered_SheetName_1183_"/>
      <sheetName val="_Recovered_SheetName_1184_"/>
      <sheetName val="_Recovered_SheetName_1185_"/>
      <sheetName val="_Recovered_SheetName_1186_"/>
      <sheetName val="_Recovered_SheetName_1187_"/>
      <sheetName val="_Recovered_SheetName_1188_"/>
      <sheetName val="_Recovered_SheetName_1189_"/>
      <sheetName val="_Recovered_SheetName_1190_"/>
      <sheetName val="_Recovered_SheetName_1191_"/>
      <sheetName val="_Recovered_SheetName_1192_"/>
      <sheetName val="_Recovered_SheetName_1193_"/>
      <sheetName val="_Recovered_SheetName_1194_"/>
      <sheetName val="_Recovered_SheetName_1195_"/>
      <sheetName val="_Recovered_SheetName_1196_"/>
      <sheetName val="_Recovered_SheetName_1197_"/>
      <sheetName val="_Recovered_SheetName_1198_"/>
      <sheetName val="_Recovered_SheetName_1199_"/>
      <sheetName val="_Recovered_SheetName_1200_"/>
      <sheetName val="_Recovered_SheetName_1201_"/>
      <sheetName val="_Recovered_SheetName_1202_"/>
      <sheetName val="_Recovered_SheetName_1203_"/>
      <sheetName val="_Recovered_SheetName_1204_"/>
      <sheetName val="_Recovered_SheetName_1205_"/>
      <sheetName val="_Recovered_SheetName_1206_"/>
      <sheetName val="_Recovered_SheetName_1207_"/>
      <sheetName val="_Recovered_SheetName_1208_"/>
      <sheetName val="_Recovered_SheetName_1209_"/>
      <sheetName val="_Recovered_SheetName_1210_"/>
      <sheetName val="_Recovered_SheetName_1211_"/>
      <sheetName val="_Recovered_SheetName_1212_"/>
      <sheetName val="_Recovered_SheetName_1213_"/>
      <sheetName val="_Recovered_SheetName_1214_"/>
      <sheetName val="_Recovered_SheetName_1215_"/>
      <sheetName val="_Recovered_SheetName_1216_"/>
      <sheetName val="_Recovered_SheetName_1217_"/>
      <sheetName val="_Recovered_SheetName_1218_"/>
      <sheetName val="_Recovered_SheetName_1219_"/>
      <sheetName val="_Recovered_SheetName_1220_"/>
      <sheetName val="_Recovered_SheetName_1221_"/>
      <sheetName val="_Recovered_SheetName_1222_"/>
      <sheetName val="_Recovered_SheetName_1223_"/>
      <sheetName val="_Recovered_SheetName_1224_"/>
      <sheetName val="_Recovered_SheetName_1225_"/>
      <sheetName val="_Recovered_SheetName_1226_"/>
      <sheetName val="_Recovered_SheetName_1227_"/>
      <sheetName val="_Recovered_SheetName_1228_"/>
      <sheetName val="_Recovered_SheetName_1229_"/>
      <sheetName val="_Recovered_SheetName_1230_"/>
      <sheetName val="_Recovered_SheetName_1231_"/>
      <sheetName val="_Recovered_SheetName_1232_"/>
      <sheetName val="_Recovered_SheetName_1233_"/>
      <sheetName val="_Recovered_SheetName_1234_"/>
      <sheetName val="_Recovered_SheetName_1235_"/>
      <sheetName val="_Recovered_SheetName_1236_"/>
      <sheetName val="_Recovered_SheetName_1237_"/>
      <sheetName val="_Recovered_SheetName_1238_"/>
      <sheetName val="_Recovered_SheetName_1239_"/>
      <sheetName val="_Recovered_SheetName_1240_"/>
      <sheetName val="_Recovered_SheetName_1241_"/>
      <sheetName val="_Recovered_SheetName_1242_"/>
      <sheetName val="_Recovered_SheetName_1243_"/>
      <sheetName val="_Recovered_SheetName_1244_"/>
      <sheetName val="_Recovered_SheetName_1245_"/>
      <sheetName val="_Recovered_SheetName_1246_"/>
      <sheetName val="_Recovered_SheetName_1247_"/>
      <sheetName val="_Recovered_SheetName_1248_"/>
      <sheetName val="_Recovered_SheetName_1249_"/>
      <sheetName val="_Recovered_SheetName_1250_"/>
      <sheetName val="_Recovered_SheetName_1251_"/>
      <sheetName val="_Recovered_SheetName_1252_"/>
      <sheetName val="_Recovered_SheetName_1253_"/>
      <sheetName val="_Recovered_SheetName_1254_"/>
      <sheetName val="_Recovered_SheetName_1255_"/>
      <sheetName val="_Recovered_SheetName_1256_"/>
      <sheetName val="_Recovered_SheetName_1257_"/>
      <sheetName val="_Recovered_SheetName_1258_"/>
      <sheetName val="_Recovered_SheetName_1259_"/>
      <sheetName val="_Recovered_SheetName_1260_"/>
      <sheetName val="_Recovered_SheetName_1261_"/>
      <sheetName val="_Recovered_SheetName_1262_"/>
      <sheetName val="_Recovered_SheetName_1263_"/>
      <sheetName val="_Recovered_SheetName_1264_"/>
      <sheetName val="_Recovered_SheetName_1265_"/>
      <sheetName val="_Recovered_SheetName_1266_"/>
      <sheetName val="_Recovered_SheetName_1267_"/>
      <sheetName val="_Recovered_SheetName_1268_"/>
      <sheetName val="_Recovered_SheetName_1269_"/>
      <sheetName val="_Recovered_SheetName_1270_"/>
      <sheetName val="_Recovered_SheetName_1271_"/>
      <sheetName val="_Recovered_SheetName_1272_"/>
      <sheetName val="_Recovered_SheetName_1273_"/>
      <sheetName val="_Recovered_SheetName_1274_"/>
      <sheetName val="_Recovered_SheetName_1275_"/>
      <sheetName val="_Recovered_SheetName_1276_"/>
      <sheetName val="_Recovered_SheetName_1277_"/>
      <sheetName val="_Recovered_SheetName_1278_"/>
      <sheetName val="_Recovered_SheetName_1279_"/>
      <sheetName val="_Recovered_SheetName_1280_"/>
      <sheetName val="_Recovered_SheetName_1281_"/>
      <sheetName val="_Recovered_SheetName_1282_"/>
      <sheetName val="_Recovered_SheetName_1283_"/>
      <sheetName val="_Recovered_SheetName_1284_"/>
      <sheetName val="_Recovered_SheetName_1285_"/>
      <sheetName val="_Recovered_SheetName_1286_"/>
      <sheetName val="_Recovered_SheetName_1287_"/>
      <sheetName val="_Recovered_SheetName_1288_"/>
      <sheetName val="_Recovered_SheetName_1289_"/>
      <sheetName val="_Recovered_SheetName_1290_"/>
      <sheetName val="_Recovered_SheetName_1291_"/>
      <sheetName val="_Recovered_SheetName_1292_"/>
      <sheetName val="_Recovered_SheetName_1293_"/>
      <sheetName val="_Recovered_SheetName_1294_"/>
      <sheetName val="_Recovered_SheetName_1295_"/>
      <sheetName val="_Recovered_SheetName_1296_"/>
      <sheetName val="_Recovered_SheetName_1297_"/>
      <sheetName val="_Recovered_SheetName_1298_"/>
      <sheetName val="_Recovered_SheetName_1299_"/>
      <sheetName val="_Recovered_SheetName_1300_"/>
      <sheetName val="_Recovered_SheetName_1301_"/>
      <sheetName val="_Recovered_SheetName_1302_"/>
      <sheetName val="_Recovered_SheetName_1303_"/>
      <sheetName val="_Recovered_SheetName_1304_"/>
      <sheetName val="_Recovered_SheetName_1305_"/>
      <sheetName val="_Recovered_SheetName_1306_"/>
      <sheetName val="_Recovered_SheetName_1307_"/>
      <sheetName val="_Recovered_SheetName_1308_"/>
      <sheetName val="_Recovered_SheetName_1309_"/>
      <sheetName val="_Recovered_SheetName_1310_"/>
      <sheetName val="_Recovered_SheetName_1311_"/>
      <sheetName val="_Recovered_SheetName_1312_"/>
      <sheetName val="_Recovered_SheetName_1313_"/>
      <sheetName val="_Recovered_SheetName_1314_"/>
      <sheetName val="_Recovered_SheetName_1315_"/>
      <sheetName val="_Recovered_SheetName_1316_"/>
      <sheetName val="_Recovered_SheetName_1317_"/>
      <sheetName val="_Recovered_SheetName_1318_"/>
      <sheetName val="_Recovered_SheetName_1319_"/>
      <sheetName val="_Recovered_SheetName_1320_"/>
      <sheetName val="_Recovered_SheetName_1321_"/>
      <sheetName val="_Recovered_SheetName_1322_"/>
      <sheetName val="_Recovered_SheetName_1323_"/>
      <sheetName val="_Recovered_SheetName_1324_"/>
      <sheetName val="_Recovered_SheetName_1325_"/>
      <sheetName val="_Recovered_SheetName_1326_"/>
      <sheetName val="_Recovered_SheetName_1327_"/>
      <sheetName val="_Recovered_SheetName_1328_"/>
      <sheetName val="_Recovered_SheetName_1329_"/>
      <sheetName val="_Recovered_SheetName_1330_"/>
      <sheetName val="_Recovered_SheetName_1331_"/>
      <sheetName val="_Recovered_SheetName_1332_"/>
      <sheetName val="_Recovered_SheetName_1333_"/>
      <sheetName val="_Recovered_SheetName_1334_"/>
      <sheetName val="_Recovered_SheetName_1335_"/>
      <sheetName val="_Recovered_SheetName_1336_"/>
      <sheetName val="_Recovered_SheetName_1337_"/>
      <sheetName val="_Recovered_SheetName_1338_"/>
      <sheetName val="_Recovered_SheetName_1339_"/>
      <sheetName val="_Recovered_SheetName_1340_"/>
      <sheetName val="_Recovered_SheetName_1341_"/>
      <sheetName val="_Recovered_SheetName_1342_"/>
      <sheetName val="_Recovered_SheetName_1343_"/>
      <sheetName val="_Recovered_SheetName_1344_"/>
      <sheetName val="_Recovered_SheetName_1345_"/>
      <sheetName val="_Recovered_SheetName_1346_"/>
      <sheetName val="_Recovered_SheetName_1347_"/>
      <sheetName val="_Recovered_SheetName_1348_"/>
      <sheetName val="_Recovered_SheetName_1349_"/>
      <sheetName val="_Recovered_SheetName_1350_"/>
      <sheetName val="_Recovered_SheetName_1351_"/>
      <sheetName val="_Recovered_SheetName_1352_"/>
      <sheetName val="_Recovered_SheetName_1353_"/>
      <sheetName val="_Recovered_SheetName_1354_"/>
      <sheetName val="_Recovered_SheetName_1355_"/>
      <sheetName val="_Recovered_SheetName_1356_"/>
      <sheetName val="_Recovered_SheetName_1357_"/>
      <sheetName val="_Recovered_SheetName_1358_"/>
      <sheetName val="_Recovered_SheetName_1359_"/>
      <sheetName val="_Recovered_SheetName_1360_"/>
      <sheetName val="_Recovered_SheetName_1361_"/>
      <sheetName val="_Recovered_SheetName_1362_"/>
      <sheetName val="_Recovered_SheetName_1363_"/>
      <sheetName val="_Recovered_SheetName_1364_"/>
      <sheetName val="_Recovered_SheetName_1365_"/>
      <sheetName val="_Recovered_SheetName_1366_"/>
      <sheetName val="_Recovered_SheetName_1367_"/>
      <sheetName val="_Recovered_SheetName_1368_"/>
      <sheetName val="_Recovered_SheetName_1369_"/>
      <sheetName val="_Recovered_SheetName_1370_"/>
      <sheetName val="_Recovered_SheetName_1371_"/>
      <sheetName val="_Recovered_SheetName_1372_"/>
      <sheetName val="_Recovered_SheetName_1373_"/>
      <sheetName val="_Recovered_SheetName_1374_"/>
      <sheetName val="_Recovered_SheetName_1375_"/>
      <sheetName val="_Recovered_SheetName_1376_"/>
      <sheetName val="_Recovered_SheetName_1377_"/>
      <sheetName val="_Recovered_SheetName_1378_"/>
      <sheetName val="_Recovered_SheetName_1379_"/>
      <sheetName val="_Recovered_SheetName_1380_"/>
      <sheetName val="_Recovered_SheetName_1381_"/>
      <sheetName val="_Recovered_SheetName_1382_"/>
      <sheetName val="_Recovered_SheetName_1383_"/>
      <sheetName val="_Recovered_SheetName_1384_"/>
      <sheetName val="_Recovered_SheetName_1385_"/>
      <sheetName val="_Recovered_SheetName_1386_"/>
      <sheetName val="_Recovered_SheetName_1387_"/>
      <sheetName val="_Recovered_SheetName_1388_"/>
      <sheetName val="_Recovered_SheetName_1389_"/>
      <sheetName val="_Recovered_SheetName_1390_"/>
      <sheetName val="_Recovered_SheetName_1391_"/>
      <sheetName val="_Recovered_SheetName_1392_"/>
      <sheetName val="_Recovered_SheetName_1393_"/>
      <sheetName val="_Recovered_SheetName_1394_"/>
      <sheetName val="_Recovered_SheetName_1395_"/>
      <sheetName val="_Recovered_SheetName_1396_"/>
      <sheetName val="_Recovered_SheetName_1397_"/>
      <sheetName val="_Recovered_SheetName_1398_"/>
      <sheetName val="_Recovered_SheetName_1399_"/>
      <sheetName val="_Recovered_SheetName_1400_"/>
      <sheetName val="_Recovered_SheetName_1401_"/>
      <sheetName val="_Recovered_SheetName_1402_"/>
      <sheetName val="_Recovered_SheetName_1403_"/>
      <sheetName val="_Recovered_SheetName_1404_"/>
      <sheetName val="_Recovered_SheetName_1405_"/>
      <sheetName val="_Recovered_SheetName_1406_"/>
      <sheetName val="_Recovered_SheetName_1407_"/>
      <sheetName val="_Recovered_SheetName_1408_"/>
      <sheetName val="_Recovered_SheetName_1409_"/>
      <sheetName val="_Recovered_SheetName_1410_"/>
      <sheetName val="_Recovered_SheetName_1411_"/>
      <sheetName val="_Recovered_SheetName_1412_"/>
      <sheetName val="_Recovered_SheetName_1413_"/>
      <sheetName val="_Recovered_SheetName_1414_"/>
      <sheetName val="_Recovered_SheetName_1415_"/>
      <sheetName val="_Recovered_SheetName_1416_"/>
      <sheetName val="_Recovered_SheetName_1417_"/>
      <sheetName val="_Recovered_SheetName_1418_"/>
      <sheetName val="_Recovered_SheetName_1419_"/>
      <sheetName val="_Recovered_SheetName_1420_"/>
      <sheetName val="_Recovered_SheetName_1421_"/>
      <sheetName val="_Recovered_SheetName_1422_"/>
      <sheetName val="_Recovered_SheetName_1423_"/>
      <sheetName val="_Recovered_SheetName_1424_"/>
      <sheetName val="_Recovered_SheetName_1425_"/>
      <sheetName val="_Recovered_SheetName_1426_"/>
      <sheetName val="_Recovered_SheetName_1427_"/>
      <sheetName val="_Recovered_SheetName_1428_"/>
      <sheetName val="_Recovered_SheetName_1429_"/>
      <sheetName val="_Recovered_SheetName_1430_"/>
      <sheetName val="_Recovered_SheetName_1431_"/>
      <sheetName val="_Recovered_SheetName_1432_"/>
      <sheetName val="_Recovered_SheetName_1433_"/>
      <sheetName val="_Recovered_SheetName_1434_"/>
      <sheetName val="_Recovered_SheetName_1435_"/>
      <sheetName val="_Recovered_SheetName_1436_"/>
      <sheetName val="_Recovered_SheetName_1437_"/>
      <sheetName val="_Recovered_SheetName_1438_"/>
      <sheetName val="_Recovered_SheetName_1439_"/>
      <sheetName val="_Recovered_SheetName_1440_"/>
      <sheetName val="_Recovered_SheetName_1441_"/>
      <sheetName val="_Recovered_SheetName_1442_"/>
      <sheetName val="_Recovered_SheetName_1443_"/>
      <sheetName val="_Recovered_SheetName_1444_"/>
      <sheetName val="_Recovered_SheetName_1445_"/>
      <sheetName val="_Recovered_SheetName_1446_"/>
      <sheetName val="_Recovered_SheetName_1447_"/>
      <sheetName val="_Recovered_SheetName_1448_"/>
      <sheetName val="_Recovered_SheetName_1449_"/>
      <sheetName val="_Recovered_SheetName_1450_"/>
      <sheetName val="_Recovered_SheetName_1451_"/>
      <sheetName val="_Recovered_SheetName_1452_"/>
      <sheetName val="_Recovered_SheetName_1453_"/>
      <sheetName val="_Recovered_SheetName_1454_"/>
      <sheetName val="_Recovered_SheetName_1455_"/>
      <sheetName val="_Recovered_SheetName_1456_"/>
      <sheetName val="_Recovered_SheetName_1457_"/>
      <sheetName val="_Recovered_SheetName_1458_"/>
      <sheetName val="_Recovered_SheetName_1459_"/>
      <sheetName val="_Recovered_SheetName_1460_"/>
      <sheetName val="_Recovered_SheetName_1461_"/>
      <sheetName val="_Recovered_SheetName_1462_"/>
      <sheetName val="_Recovered_SheetName_1463_"/>
      <sheetName val="_Recovered_SheetName_1464_"/>
      <sheetName val="_Recovered_SheetName_1465_"/>
      <sheetName val="_Recovered_SheetName_1466_"/>
      <sheetName val="_Recovered_SheetName_1467_"/>
      <sheetName val="_Recovered_SheetName_1468_"/>
      <sheetName val="_Recovered_SheetName_1469_"/>
      <sheetName val="_Recovered_SheetName_1470_"/>
      <sheetName val="_Recovered_SheetName_1471_"/>
      <sheetName val="_Recovered_SheetName_1472_"/>
      <sheetName val="_Recovered_SheetName_1473_"/>
      <sheetName val="_Recovered_SheetName_1474_"/>
      <sheetName val="_Recovered_SheetName_1475_"/>
      <sheetName val="_Recovered_SheetName_1476_"/>
      <sheetName val="_Recovered_SheetName_1477_"/>
      <sheetName val="_Recovered_SheetName_1478_"/>
      <sheetName val="_Recovered_SheetName_1479_"/>
      <sheetName val="_Recovered_SheetName_1480_"/>
      <sheetName val="_Recovered_SheetName_1481_"/>
      <sheetName val="_Recovered_SheetName_1482_"/>
      <sheetName val="_Recovered_SheetName_1483_"/>
      <sheetName val="_Recovered_SheetName_1484_"/>
      <sheetName val="_Recovered_SheetName_1485_"/>
      <sheetName val="_Recovered_SheetName_1486_"/>
      <sheetName val="_Recovered_SheetName_1487_"/>
      <sheetName val="_Recovered_SheetName_1488_"/>
      <sheetName val="_Recovered_SheetName_1489_"/>
      <sheetName val="_Recovered_SheetName_1490_"/>
      <sheetName val="_Recovered_SheetName_1491_"/>
      <sheetName val="_Recovered_SheetName_1492_"/>
      <sheetName val="_Recovered_SheetName_1493_"/>
      <sheetName val="_Recovered_SheetName_1494_"/>
      <sheetName val="_Recovered_SheetName_1495_"/>
      <sheetName val="_Recovered_SheetName_1496_"/>
      <sheetName val="_Recovered_SheetName_1497_"/>
      <sheetName val="_Recovered_SheetName_1498_"/>
      <sheetName val="_Recovered_SheetName_1499_"/>
      <sheetName val="_Recovered_SheetName_1500_"/>
      <sheetName val="_Recovered_SheetName_1501_"/>
      <sheetName val="_Recovered_SheetName_1502_"/>
      <sheetName val="_Recovered_SheetName_1503_"/>
      <sheetName val="_Recovered_SheetName_1504_"/>
      <sheetName val="_Recovered_SheetName_1505_"/>
      <sheetName val="_Recovered_SheetName_1506_"/>
      <sheetName val="_Recovered_SheetName_1507_"/>
      <sheetName val="_Recovered_SheetName_1508_"/>
      <sheetName val="_Recovered_SheetName_1509_"/>
      <sheetName val="_Recovered_SheetName_1510_"/>
      <sheetName val="_Recovered_SheetName_1511_"/>
      <sheetName val="_Recovered_SheetName_1512_"/>
      <sheetName val="_Recovered_SheetName_1513_"/>
      <sheetName val="_Recovered_SheetName_1514_"/>
      <sheetName val="_Recovered_SheetName_1515_"/>
      <sheetName val="_Recovered_SheetName_1516_"/>
      <sheetName val="_Recovered_SheetName_1517_"/>
      <sheetName val="_Recovered_SheetName_1518_"/>
      <sheetName val="_Recovered_SheetName_1519_"/>
      <sheetName val="_Recovered_SheetName_1520_"/>
      <sheetName val="_Recovered_SheetName_1521_"/>
      <sheetName val="_Recovered_SheetName_1522_"/>
      <sheetName val="_Recovered_SheetName_1523_"/>
      <sheetName val="_Recovered_SheetName_1524_"/>
      <sheetName val="_Recovered_SheetName_1525_"/>
      <sheetName val="_Recovered_SheetName_1526_"/>
      <sheetName val="_Recovered_SheetName_1527_"/>
      <sheetName val="_Recovered_SheetName_1528_"/>
      <sheetName val="_Recovered_SheetName_1529_"/>
      <sheetName val="_Recovered_SheetName_1530_"/>
      <sheetName val="_Recovered_SheetName_1531_"/>
      <sheetName val="_Recovered_SheetName_1532_"/>
      <sheetName val="_Recovered_SheetName_1533_"/>
      <sheetName val="_Recovered_SheetName_1534_"/>
      <sheetName val="_Recovered_SheetName_1535_"/>
      <sheetName val="_Recovered_SheetName_1536_"/>
      <sheetName val="_Recovered_SheetName_1537_"/>
      <sheetName val="_Recovered_SheetName_1538_"/>
      <sheetName val="_Recovered_SheetName_1539_"/>
      <sheetName val="_Recovered_SheetName_1540_"/>
      <sheetName val="_Recovered_SheetName_1541_"/>
      <sheetName val="_Recovered_SheetName_1542_"/>
      <sheetName val="_Recovered_SheetName_1543_"/>
      <sheetName val="_Recovered_SheetName_1544_"/>
      <sheetName val="_Recovered_SheetName_1545_"/>
      <sheetName val="_Recovered_SheetName_1546_"/>
      <sheetName val="_Recovered_SheetName_1547_"/>
      <sheetName val="_Recovered_SheetName_1548_"/>
      <sheetName val="_Recovered_SheetName_1549_"/>
      <sheetName val="_Recovered_SheetName_1550_"/>
      <sheetName val="_Recovered_SheetName_1551_"/>
      <sheetName val="_Recovered_SheetName_1552_"/>
      <sheetName val="_Recovered_SheetName_1553_"/>
      <sheetName val="_Recovered_SheetName_1554_"/>
      <sheetName val="_Recovered_SheetName_1555_"/>
      <sheetName val="_Recovered_SheetName_1556_"/>
      <sheetName val="_Recovered_SheetName_1557_"/>
      <sheetName val="_Recovered_SheetName_1558_"/>
      <sheetName val="_Recovered_SheetName_1559_"/>
      <sheetName val="_Recovered_SheetName_1560_"/>
      <sheetName val="_Recovered_SheetName_1561_"/>
      <sheetName val="_Recovered_SheetName_1562_"/>
      <sheetName val="_Recovered_SheetName_1563_"/>
      <sheetName val="_Recovered_SheetName_1564_"/>
      <sheetName val="_Recovered_SheetName_1565_"/>
      <sheetName val="_Recovered_SheetName_1566_"/>
      <sheetName val="_Recovered_SheetName_1567_"/>
      <sheetName val="_Recovered_SheetName_1568_"/>
      <sheetName val="_Recovered_SheetName_1569_"/>
      <sheetName val="_Recovered_SheetName_1570_"/>
      <sheetName val="_Recovered_SheetName_1571_"/>
      <sheetName val="_Recovered_SheetName_1572_"/>
      <sheetName val="_Recovered_SheetName_1573_"/>
      <sheetName val="_Recovered_SheetName_1574_"/>
      <sheetName val="_Recovered_SheetName_1575_"/>
      <sheetName val="_Recovered_SheetName_1576_"/>
      <sheetName val="_Recovered_SheetName_1577_"/>
      <sheetName val="_Recovered_SheetName_1578_"/>
      <sheetName val="_Recovered_SheetName_1579_"/>
      <sheetName val="_Recovered_SheetName_1580_"/>
      <sheetName val="_Recovered_SheetName_1581_"/>
      <sheetName val="_Recovered_SheetName_1582_"/>
      <sheetName val="_Recovered_SheetName_1583_"/>
      <sheetName val="_Recovered_SheetName_1584_"/>
      <sheetName val="_Recovered_SheetName_1585_"/>
      <sheetName val="_Recovered_SheetName_1586_"/>
      <sheetName val="_Recovered_SheetName_1587_"/>
      <sheetName val="_Recovered_SheetName_1588_"/>
      <sheetName val="_Recovered_SheetName_1589_"/>
      <sheetName val="_Recovered_SheetName_1590_"/>
      <sheetName val="_Recovered_SheetName_1591_"/>
      <sheetName val="_Recovered_SheetName_1592_"/>
      <sheetName val="_Recovered_SheetName_1593_"/>
      <sheetName val="_Recovered_SheetName_1594_"/>
      <sheetName val="_Recovered_SheetName_1595_"/>
      <sheetName val="_Recovered_SheetName_1596_"/>
      <sheetName val="_Recovered_SheetName_1597_"/>
      <sheetName val="_Recovered_SheetName_1598_"/>
      <sheetName val="_Recovered_SheetName_1599_"/>
      <sheetName val="_Recovered_SheetName_1600_"/>
      <sheetName val="_Recovered_SheetName_1601_"/>
      <sheetName val="_Recovered_SheetName_1602_"/>
      <sheetName val="_Recovered_SheetName_1603_"/>
      <sheetName val="_Recovered_SheetName_1604_"/>
      <sheetName val="_Recovered_SheetName_1605_"/>
      <sheetName val="_Recovered_SheetName_1606_"/>
      <sheetName val="_Recovered_SheetName_1607_"/>
      <sheetName val="_Recovered_SheetName_1608_"/>
      <sheetName val="_Recovered_SheetName_1609_"/>
      <sheetName val="_Recovered_SheetName_1610_"/>
      <sheetName val="_Recovered_SheetName_1611_"/>
      <sheetName val="_Recovered_SheetName_1612_"/>
      <sheetName val="_Recovered_SheetName_1613_"/>
      <sheetName val="_Recovered_SheetName_1614_"/>
      <sheetName val="_Recovered_SheetName_1615_"/>
      <sheetName val="_Recovered_SheetName_1616_"/>
      <sheetName val="_Recovered_SheetName_1617_"/>
      <sheetName val="_Recovered_SheetName_1618_"/>
      <sheetName val="_Recovered_SheetName_1619_"/>
      <sheetName val="_Recovered_SheetName_1620_"/>
      <sheetName val="_Recovered_SheetName_1621_"/>
      <sheetName val="_Recovered_SheetName_1622_"/>
      <sheetName val="_Recovered_SheetName_1623_"/>
      <sheetName val="_Recovered_SheetName_1624_"/>
      <sheetName val="_Recovered_SheetName_1625_"/>
      <sheetName val="_Recovered_SheetName_1626_"/>
      <sheetName val="_Recovered_SheetName_1627_"/>
      <sheetName val="_Recovered_SheetName_1628_"/>
      <sheetName val="_Recovered_SheetName_1629_"/>
      <sheetName val="_Recovered_SheetName_1630_"/>
      <sheetName val="_Recovered_SheetName_1631_"/>
      <sheetName val="_Recovered_SheetName_1632_"/>
      <sheetName val="_Recovered_SheetName_1633_"/>
      <sheetName val="_Recovered_SheetName_1634_"/>
      <sheetName val="_Recovered_SheetName_1635_"/>
      <sheetName val="_Recovered_SheetName_1636_"/>
      <sheetName val="_Recovered_SheetName_1637_"/>
      <sheetName val="_Recovered_SheetName_1638_"/>
      <sheetName val="_Recovered_SheetName_1639_"/>
      <sheetName val="_Recovered_SheetName_1640_"/>
      <sheetName val="_Recovered_SheetName_1641_"/>
      <sheetName val="_Recovered_SheetName_1642_"/>
      <sheetName val="_Recovered_SheetName_1643_"/>
      <sheetName val="_Recovered_SheetName_1644_"/>
      <sheetName val="_Recovered_SheetName_1645_"/>
      <sheetName val="_Recovered_SheetName_1646_"/>
      <sheetName val="_Recovered_SheetName_1647_"/>
      <sheetName val="_Recovered_SheetName_1648_"/>
      <sheetName val="_Recovered_SheetName_1649_"/>
      <sheetName val="_Recovered_SheetName_1650_"/>
      <sheetName val="_Recovered_SheetName_1651_"/>
      <sheetName val="_Recovered_SheetName_1652_"/>
      <sheetName val="_Recovered_SheetName_1653_"/>
      <sheetName val="_Recovered_SheetName_1654_"/>
      <sheetName val="_Recovered_SheetName_1655_"/>
      <sheetName val="_Recovered_SheetName_1656_"/>
      <sheetName val="_Recovered_SheetName_1657_"/>
      <sheetName val="_Recovered_SheetName_1658_"/>
      <sheetName val="_Recovered_SheetName_1659_"/>
      <sheetName val="_Recovered_SheetName_1660_"/>
      <sheetName val="_Recovered_SheetName_1661_"/>
      <sheetName val="_Recovered_SheetName_1662_"/>
      <sheetName val="_Recovered_SheetName_1663_"/>
      <sheetName val="_Recovered_SheetName_1664_"/>
      <sheetName val="_Recovered_SheetName_1665_"/>
      <sheetName val="_Recovered_SheetName_1666_"/>
      <sheetName val="_Recovered_SheetName_1667_"/>
      <sheetName val="_Recovered_SheetName_1668_"/>
      <sheetName val="_Recovered_SheetName_1669_"/>
      <sheetName val="_Recovered_SheetName_1670_"/>
      <sheetName val="_Recovered_SheetName_1671_"/>
      <sheetName val="_Recovered_SheetName_1672_"/>
      <sheetName val="_Recovered_SheetName_1673_"/>
      <sheetName val="_Recovered_SheetName_1674_"/>
      <sheetName val="_Recovered_SheetName_1675_"/>
      <sheetName val="_Recovered_SheetName_1676_"/>
      <sheetName val="_Recovered_SheetName_1677_"/>
      <sheetName val="_Recovered_SheetName_1678_"/>
      <sheetName val="_Recovered_SheetName_1679_"/>
      <sheetName val="_Recovered_SheetName_1680_"/>
      <sheetName val="_Recovered_SheetName_1681_"/>
      <sheetName val="_Recovered_SheetName_1682_"/>
      <sheetName val="_Recovered_SheetName_1683_"/>
      <sheetName val="_Recovered_SheetName_1684_"/>
      <sheetName val="_Recovered_SheetName_1685_"/>
      <sheetName val="_Recovered_SheetName_1686_"/>
      <sheetName val="_Recovered_SheetName_1687_"/>
      <sheetName val="_Recovered_SheetName_1688_"/>
      <sheetName val="_Recovered_SheetName_1689_"/>
      <sheetName val="_Recovered_SheetName_1690_"/>
      <sheetName val="_Recovered_SheetName_1691_"/>
      <sheetName val="_Recovered_SheetName_1692_"/>
      <sheetName val="_Recovered_SheetName_1693_"/>
      <sheetName val="_Recovered_SheetName_1694_"/>
      <sheetName val="_Recovered_SheetName_1695_"/>
      <sheetName val="_Recovered_SheetName_1696_"/>
      <sheetName val="_Recovered_SheetName_1697_"/>
      <sheetName val="_Recovered_SheetName_1698_"/>
      <sheetName val="_Recovered_SheetName_1699_"/>
      <sheetName val="_Recovered_SheetName_1700_"/>
      <sheetName val="_Recovered_SheetName_1701_"/>
      <sheetName val="_Recovered_SheetName_1702_"/>
      <sheetName val="_Recovered_SheetName_1703_"/>
      <sheetName val="_Recovered_SheetName_1704_"/>
      <sheetName val="_Recovered_SheetName_1705_"/>
      <sheetName val="_Recovered_SheetName_1706_"/>
      <sheetName val="_Recovered_SheetName_1707_"/>
      <sheetName val="_Recovered_SheetName_1708_"/>
      <sheetName val="_Recovered_SheetName_1709_"/>
      <sheetName val="_Recovered_SheetName_1710_"/>
      <sheetName val="_Recovered_SheetName_1711_"/>
      <sheetName val="_Recovered_SheetName_1712_"/>
      <sheetName val="_Recovered_SheetName_1713_"/>
      <sheetName val="_Recovered_SheetName_1714_"/>
      <sheetName val="_Recovered_SheetName_1715_"/>
      <sheetName val="_Recovered_SheetName_1716_"/>
      <sheetName val="_Recovered_SheetName_1717_"/>
      <sheetName val="_Recovered_SheetName_1718_"/>
      <sheetName val="_Recovered_SheetName_1719_"/>
      <sheetName val="_Recovered_SheetName_1720_"/>
      <sheetName val="_Recovered_SheetName_1721_"/>
      <sheetName val="_Recovered_SheetName_1722_"/>
      <sheetName val="_Recovered_SheetName_1723_"/>
      <sheetName val="_Recovered_SheetName_1724_"/>
      <sheetName val="_Recovered_SheetName_1725_"/>
      <sheetName val="_Recovered_SheetName_1726_"/>
      <sheetName val="_Recovered_SheetName_1727_"/>
      <sheetName val="_Recovered_SheetName_1728_"/>
      <sheetName val="_Recovered_SheetName_1729_"/>
      <sheetName val="_Recovered_SheetName_1730_"/>
      <sheetName val="_Recovered_SheetName_1731_"/>
      <sheetName val="_Recovered_SheetName_1732_"/>
      <sheetName val="_Recovered_SheetName_1733_"/>
      <sheetName val="_Recovered_SheetName_1734_"/>
      <sheetName val="_Recovered_SheetName_1735_"/>
      <sheetName val="_Recovered_SheetName_1736_"/>
      <sheetName val="_Recovered_SheetName_1737_"/>
      <sheetName val="_Recovered_SheetName_1738_"/>
      <sheetName val="_Recovered_SheetName_1739_"/>
      <sheetName val="_Recovered_SheetName_1740_"/>
      <sheetName val="_Recovered_SheetName_1741_"/>
      <sheetName val="_Recovered_SheetName_1742_"/>
      <sheetName val="_Recovered_SheetName_1743_"/>
      <sheetName val="_Recovered_SheetName_1744_"/>
      <sheetName val="_Recovered_SheetName_1745_"/>
      <sheetName val="_Recovered_SheetName_1746_"/>
      <sheetName val="_Recovered_SheetName_1747_"/>
      <sheetName val="_Recovered_SheetName_1748_"/>
      <sheetName val="_Recovered_SheetName_1749_"/>
      <sheetName val="_Recovered_SheetName_1750_"/>
      <sheetName val="_Recovered_SheetName_1751_"/>
      <sheetName val="_Recovered_SheetName_1752_"/>
      <sheetName val="_Recovered_SheetName_1753_"/>
      <sheetName val="_Recovered_SheetName_1754_"/>
      <sheetName val="_Recovered_SheetName_1755_"/>
      <sheetName val="_Recovered_SheetName_1756_"/>
      <sheetName val="_Recovered_SheetName_1757_"/>
      <sheetName val="_Recovered_SheetName_1758_"/>
      <sheetName val="_Recovered_SheetName_1759_"/>
      <sheetName val="_Recovered_SheetName_1760_"/>
      <sheetName val="_Recovered_SheetName_1761_"/>
      <sheetName val="_Recovered_SheetName_1762_"/>
      <sheetName val="_Recovered_SheetName_1763_"/>
      <sheetName val="_Recovered_SheetName_1764_"/>
      <sheetName val="_Recovered_SheetName_1765_"/>
      <sheetName val="_Recovered_SheetName_1766_"/>
      <sheetName val="_Recovered_SheetName_1767_"/>
      <sheetName val="_Recovered_SheetName_1768_"/>
      <sheetName val="_Recovered_SheetName_1769_"/>
      <sheetName val="_Recovered_SheetName_1770_"/>
      <sheetName val="_Recovered_SheetName_1771_"/>
      <sheetName val="_Recovered_SheetName_1772_"/>
      <sheetName val="_Recovered_SheetName_1773_"/>
      <sheetName val="_Recovered_SheetName_1774_"/>
      <sheetName val="_Recovered_SheetName_1775_"/>
      <sheetName val="_Recovered_SheetName_1776_"/>
      <sheetName val="_Recovered_SheetName_1777_"/>
      <sheetName val="_Recovered_SheetName_1778_"/>
      <sheetName val="_Recovered_SheetName_1779_"/>
      <sheetName val="_Recovered_SheetName_1780_"/>
      <sheetName val="_Recovered_SheetName_1781_"/>
      <sheetName val="_Recovered_SheetName_1782_"/>
      <sheetName val="_Recovered_SheetName_1783_"/>
      <sheetName val="_Recovered_SheetName_1784_"/>
      <sheetName val="_Recovered_SheetName_1785_"/>
      <sheetName val="_Recovered_SheetName_1786_"/>
      <sheetName val="_Recovered_SheetName_1787_"/>
      <sheetName val="_Recovered_SheetName_1788_"/>
      <sheetName val="_Recovered_SheetName_1789_"/>
      <sheetName val="_Recovered_SheetName_1790_"/>
      <sheetName val="_Recovered_SheetName_1791_"/>
      <sheetName val="_Recovered_SheetName_1792_"/>
      <sheetName val="_Recovered_SheetName_1793_"/>
      <sheetName val="_Recovered_SheetName_1794_"/>
      <sheetName val="_Recovered_SheetName_1795_"/>
      <sheetName val="_Recovered_SheetName_1796_"/>
      <sheetName val="_Recovered_SheetName_1797_"/>
      <sheetName val="_Recovered_SheetName_1798_"/>
      <sheetName val="_Recovered_SheetName_1799_"/>
      <sheetName val="_Recovered_SheetName_1800_"/>
      <sheetName val="_Recovered_SheetName_1801_"/>
      <sheetName val="_Recovered_SheetName_1802_"/>
      <sheetName val="_Recovered_SheetName_1803_"/>
      <sheetName val="_Recovered_SheetName_1804_"/>
      <sheetName val="_Recovered_SheetName_1805_"/>
      <sheetName val="_Recovered_SheetName_1806_"/>
      <sheetName val="_Recovered_SheetName_1807_"/>
      <sheetName val="_Recovered_SheetName_1808_"/>
      <sheetName val="_Recovered_SheetName_1809_"/>
      <sheetName val="_Recovered_SheetName_1810_"/>
      <sheetName val="_Recovered_SheetName_1811_"/>
      <sheetName val="_Recovered_SheetName_1812_"/>
      <sheetName val="_Recovered_SheetName_1813_"/>
      <sheetName val="_Recovered_SheetName_1814_"/>
      <sheetName val="_Recovered_SheetName_1815_"/>
      <sheetName val="_Recovered_SheetName_1816_"/>
      <sheetName val="_Recovered_SheetName_1817_"/>
      <sheetName val="_Recovered_SheetName_1818_"/>
      <sheetName val="_Recovered_SheetName_1819_"/>
      <sheetName val="_Recovered_SheetName_1820_"/>
      <sheetName val="_Recovered_SheetName_1821_"/>
      <sheetName val="_Recovered_SheetName_1822_"/>
      <sheetName val="_Recovered_SheetName_1823_"/>
      <sheetName val="_Recovered_SheetName_1824_"/>
      <sheetName val="_Recovered_SheetName_1825_"/>
      <sheetName val="_Recovered_SheetName_1826_"/>
      <sheetName val="_Recovered_SheetName_1827_"/>
      <sheetName val="_Recovered_SheetName_1828_"/>
      <sheetName val="_Recovered_SheetName_1829_"/>
      <sheetName val="_Recovered_SheetName_1830_"/>
      <sheetName val="_Recovered_SheetName_1831_"/>
      <sheetName val="_Recovered_SheetName_1832_"/>
      <sheetName val="_Recovered_SheetName_1833_"/>
      <sheetName val="_Recovered_SheetName_1834_"/>
      <sheetName val="_Recovered_SheetName_1835_"/>
      <sheetName val="_Recovered_SheetName_1836_"/>
      <sheetName val="_Recovered_SheetName_1837_"/>
      <sheetName val="_Recovered_SheetName_1838_"/>
      <sheetName val="_Recovered_SheetName_1839_"/>
      <sheetName val="_Recovered_SheetName_1840_"/>
      <sheetName val="_Recovered_SheetName_1841_"/>
      <sheetName val="_Recovered_SheetName_1842_"/>
      <sheetName val="_Recovered_SheetName_1843_"/>
      <sheetName val="_Recovered_SheetName_1844_"/>
      <sheetName val="_Recovered_SheetName_1845_"/>
      <sheetName val="_Recovered_SheetName_1846_"/>
      <sheetName val="_Recovered_SheetName_1847_"/>
      <sheetName val="_Recovered_SheetName_1848_"/>
      <sheetName val="_Recovered_SheetName_1849_"/>
      <sheetName val="_Recovered_SheetName_1850_"/>
      <sheetName val="_Recovered_SheetName_1851_"/>
      <sheetName val="_Recovered_SheetName_1852_"/>
      <sheetName val="_Recovered_SheetName_1853_"/>
      <sheetName val="_Recovered_SheetName_1854_"/>
      <sheetName val="_Recovered_SheetName_1855_"/>
      <sheetName val="_Recovered_SheetName_1856_"/>
      <sheetName val="_Recovered_SheetName_1857_"/>
      <sheetName val="_Recovered_SheetName_1858_"/>
      <sheetName val="_Recovered_SheetName_1859_"/>
      <sheetName val="_Recovered_SheetName_1860_"/>
      <sheetName val="_Recovered_SheetName_1861_"/>
      <sheetName val="_Recovered_SheetName_1862_"/>
      <sheetName val="_Recovered_SheetName_1863_"/>
      <sheetName val="_Recovered_SheetName_1864_"/>
      <sheetName val="_Recovered_SheetName_1865_"/>
      <sheetName val="_Recovered_SheetName_1866_"/>
      <sheetName val="_Recovered_SheetName_1867_"/>
      <sheetName val="_Recovered_SheetName_1868_"/>
      <sheetName val="_Recovered_SheetName_1869_"/>
      <sheetName val="_Recovered_SheetName_1870_"/>
      <sheetName val="_Recovered_SheetName_1871_"/>
      <sheetName val="_Recovered_SheetName_1872_"/>
      <sheetName val="_Recovered_SheetName_1873_"/>
      <sheetName val="_Recovered_SheetName_1874_"/>
      <sheetName val="_Recovered_SheetName_1875_"/>
      <sheetName val="_Recovered_SheetName_1876_"/>
      <sheetName val="_Recovered_SheetName_1877_"/>
      <sheetName val="_Recovered_SheetName_1878_"/>
      <sheetName val="_Recovered_SheetName_1879_"/>
      <sheetName val="_Recovered_SheetName_1880_"/>
      <sheetName val="_Recovered_SheetName_1881_"/>
      <sheetName val="_Recovered_SheetName_1882_"/>
      <sheetName val="_Recovered_SheetName_1883_"/>
      <sheetName val="_Recovered_SheetName_1884_"/>
      <sheetName val="_Recovered_SheetName_1885_"/>
      <sheetName val="_Recovered_SheetName_1886_"/>
      <sheetName val="_Recovered_SheetName_1887_"/>
      <sheetName val="_Recovered_SheetName_1888_"/>
      <sheetName val="_Recovered_SheetName_1889_"/>
      <sheetName val="_Recovered_SheetName_1890_"/>
      <sheetName val="_Recovered_SheetName_1891_"/>
      <sheetName val="_Recovered_SheetName_1892_"/>
      <sheetName val="_Recovered_SheetName_1893_"/>
      <sheetName val="_Recovered_SheetName_1894_"/>
      <sheetName val="_Recovered_SheetName_1895_"/>
      <sheetName val="_Recovered_SheetName_1896_"/>
      <sheetName val="_Recovered_SheetName_1897_"/>
      <sheetName val="_Recovered_SheetName_1898_"/>
      <sheetName val="_Recovered_SheetName_1899_"/>
      <sheetName val="_Recovered_SheetName_1900_"/>
      <sheetName val="_Recovered_SheetName_1901_"/>
      <sheetName val="_Recovered_SheetName_1902_"/>
      <sheetName val="_Recovered_SheetName_1903_"/>
      <sheetName val="_Recovered_SheetName_1904_"/>
      <sheetName val="_Recovered_SheetName_1905_"/>
      <sheetName val="_Recovered_SheetName_1906_"/>
      <sheetName val="_Recovered_SheetName_1907_"/>
      <sheetName val="_Recovered_SheetName_1908_"/>
      <sheetName val="_Recovered_SheetName_1909_"/>
      <sheetName val="_Recovered_SheetName_1910_"/>
      <sheetName val="_Recovered_SheetName_1911_"/>
      <sheetName val="_Recovered_SheetName_1912_"/>
      <sheetName val="_Recovered_SheetName_1913_"/>
      <sheetName val="_Recovered_SheetName_1914_"/>
      <sheetName val="_Recovered_SheetName_1915_"/>
      <sheetName val="_Recovered_SheetName_1916_"/>
      <sheetName val="_Recovered_SheetName_1917_"/>
      <sheetName val="_Recovered_SheetName_1918_"/>
      <sheetName val="_Recovered_SheetName_1919_"/>
      <sheetName val="_Recovered_SheetName_1920_"/>
      <sheetName val="_Recovered_SheetName_1921_"/>
      <sheetName val="_Recovered_SheetName_1922_"/>
      <sheetName val="_Recovered_SheetName_1923_"/>
      <sheetName val="_Recovered_SheetName_1924_"/>
      <sheetName val="_Recovered_SheetName_1925_"/>
      <sheetName val="_Recovered_SheetName_1926_"/>
      <sheetName val="_Recovered_SheetName_1927_"/>
      <sheetName val="_Recovered_SheetName_1928_"/>
      <sheetName val="_Recovered_SheetName_1929_"/>
      <sheetName val="_Recovered_SheetName_1930_"/>
      <sheetName val="_Recovered_SheetName_1931_"/>
      <sheetName val="_Recovered_SheetName_1932_"/>
      <sheetName val="_Recovered_SheetName_1933_"/>
      <sheetName val="_Recovered_SheetName_1934_"/>
      <sheetName val="_Recovered_SheetName_1935_"/>
      <sheetName val="_Recovered_SheetName_1936_"/>
      <sheetName val="_Recovered_SheetName_1937_"/>
      <sheetName val="_Recovered_SheetName_1938_"/>
      <sheetName val="_Recovered_SheetName_1939_"/>
      <sheetName val="_Recovered_SheetName_1940_"/>
      <sheetName val="_Recovered_SheetName_1941_"/>
      <sheetName val="_Recovered_SheetName_1942_"/>
      <sheetName val="_Recovered_SheetName_1943_"/>
      <sheetName val="_Recovered_SheetName_1944_"/>
      <sheetName val="_Recovered_SheetName_1945_"/>
      <sheetName val="_Recovered_SheetName_1946_"/>
      <sheetName val="_Recovered_SheetName_1947_"/>
      <sheetName val="_Recovered_SheetName_1948_"/>
      <sheetName val="_Recovered_SheetName_1949_"/>
      <sheetName val="_Recovered_SheetName_1950_"/>
      <sheetName val="_Recovered_SheetName_1951_"/>
      <sheetName val="_Recovered_SheetName_1952_"/>
      <sheetName val="_Recovered_SheetName_1953_"/>
      <sheetName val="_Recovered_SheetName_1954_"/>
      <sheetName val="_Recovered_SheetName_1955_"/>
      <sheetName val="_Recovered_SheetName_1956_"/>
      <sheetName val="_Recovered_SheetName_1957_"/>
      <sheetName val="_Recovered_SheetName_1958_"/>
      <sheetName val="_Recovered_SheetName_1959_"/>
      <sheetName val="_Recovered_SheetName_1960_"/>
      <sheetName val="_Recovered_SheetName_1961_"/>
      <sheetName val="_Recovered_SheetName_1962_"/>
      <sheetName val="_Recovered_SheetName_1963_"/>
      <sheetName val="_Recovered_SheetName_1964_"/>
      <sheetName val="_Recovered_SheetName_1965_"/>
      <sheetName val="_Recovered_SheetName_1966_"/>
      <sheetName val="_Recovered_SheetName_1967_"/>
      <sheetName val="_Recovered_SheetName_1968_"/>
      <sheetName val="_Recovered_SheetName_1969_"/>
      <sheetName val="_Recovered_SheetName_1970_"/>
      <sheetName val="_Recovered_SheetName_1971_"/>
      <sheetName val="_Recovered_SheetName_1972_"/>
      <sheetName val="_Recovered_SheetName_1973_"/>
      <sheetName val="_Recovered_SheetName_1974_"/>
      <sheetName val="_Recovered_SheetName_1975_"/>
      <sheetName val="_Recovered_SheetName_1976_"/>
      <sheetName val="_Recovered_SheetName_1977_"/>
      <sheetName val="_Recovered_SheetName_1978_"/>
      <sheetName val="_Recovered_SheetName_1979_"/>
      <sheetName val="_Recovered_SheetName_1980_"/>
      <sheetName val="_Recovered_SheetName_1981_"/>
      <sheetName val="_Recovered_SheetName_1982_"/>
      <sheetName val="_Recovered_SheetName_1983_"/>
      <sheetName val="_Recovered_SheetName_1984_"/>
      <sheetName val="_Recovered_SheetName_1985_"/>
      <sheetName val="_Recovered_SheetName_1986_"/>
      <sheetName val="_Recovered_SheetName_1987_"/>
      <sheetName val="_Recovered_SheetName_1988_"/>
      <sheetName val="_Recovered_SheetName_1989_"/>
      <sheetName val="_Recovered_SheetName_1990_"/>
      <sheetName val="_Recovered_SheetName_1991_"/>
      <sheetName val="_Recovered_SheetName_1992_"/>
      <sheetName val="_Recovered_SheetName_1993_"/>
      <sheetName val="_Recovered_SheetName_1994_"/>
      <sheetName val="_Recovered_SheetName_1995_"/>
      <sheetName val="_Recovered_SheetName_1996_"/>
      <sheetName val="_Recovered_SheetName_1997_"/>
      <sheetName val="_Recovered_SheetName_1998_"/>
      <sheetName val="_Recovered_SheetName_1999_"/>
      <sheetName val="_Recovered_SheetName_2000_"/>
      <sheetName val="_Recovered_SheetName_2001_"/>
      <sheetName val="_Recovered_SheetName_2002_"/>
      <sheetName val="_Recovered_SheetName_2003_"/>
      <sheetName val="_Recovered_SheetName_2004_"/>
      <sheetName val="_Recovered_SheetName_2005_"/>
      <sheetName val="_Recovered_SheetName_2006_"/>
      <sheetName val="_Recovered_SheetName_2007_"/>
      <sheetName val="_Recovered_SheetName_2008_"/>
      <sheetName val="_Recovered_SheetName_2009_"/>
      <sheetName val="_Recovered_SheetName_2010_"/>
      <sheetName val="_Recovered_SheetName_2011_"/>
      <sheetName val="_Recovered_SheetName_2012_"/>
      <sheetName val="_Recovered_SheetName_2013_"/>
      <sheetName val="_Recovered_SheetName_2014_"/>
      <sheetName val="_Recovered_SheetName_2015_"/>
      <sheetName val="_Recovered_SheetName_2016_"/>
      <sheetName val="_Recovered_SheetName_2017_"/>
      <sheetName val="_Recovered_SheetName_2018_"/>
      <sheetName val="_Recovered_SheetName_2019_"/>
      <sheetName val="_Recovered_SheetName_2020_"/>
      <sheetName val="_Recovered_SheetName_2021_"/>
      <sheetName val="_Recovered_SheetName_2022_"/>
      <sheetName val="_Recovered_SheetName_2023_"/>
      <sheetName val="_Recovered_SheetName_2024_"/>
      <sheetName val="_Recovered_SheetName_2025_"/>
      <sheetName val="_Recovered_SheetName_2026_"/>
      <sheetName val="_Recovered_SheetName_2027_"/>
      <sheetName val="_Recovered_SheetName_2028_"/>
      <sheetName val="_Recovered_SheetName_2029_"/>
      <sheetName val="_Recovered_SheetName_2030_"/>
      <sheetName val="_Recovered_SheetName_2031_"/>
      <sheetName val="_Recovered_SheetName_2032_"/>
      <sheetName val="_Recovered_SheetName_2033_"/>
      <sheetName val="_Recovered_SheetName_2034_"/>
      <sheetName val="_Recovered_SheetName_2035_"/>
      <sheetName val="_Recovered_SheetName_2036_"/>
      <sheetName val="_Recovered_SheetName_2037_"/>
      <sheetName val="_Recovered_SheetName_2038_"/>
      <sheetName val="_Recovered_SheetName_2039_"/>
      <sheetName val="_Recovered_SheetName_2040_"/>
      <sheetName val="_Recovered_SheetName_2041_"/>
      <sheetName val="_Recovered_SheetName_2042_"/>
      <sheetName val="_Recovered_SheetName_2043_"/>
      <sheetName val="_Recovered_SheetName_2044_"/>
      <sheetName val="_Recovered_SheetName_2045_"/>
      <sheetName val="_Recovered_SheetName_2046_"/>
      <sheetName val="_Recovered_SheetName_2047_"/>
      <sheetName val="_Recovered_SheetName_2048_"/>
      <sheetName val="_Recovered_SheetName_2049_"/>
      <sheetName val="_Recovered_SheetName_2050_"/>
      <sheetName val="_Recovered_SheetName_2051_"/>
      <sheetName val="_Recovered_SheetName_2052_"/>
      <sheetName val="_Recovered_SheetName_2053_"/>
      <sheetName val="_Recovered_SheetName_2054_"/>
      <sheetName val="_Recovered_SheetName_2055_"/>
      <sheetName val="_Recovered_SheetName_2056_"/>
      <sheetName val="_Recovered_SheetName_2057_"/>
      <sheetName val="_Recovered_SheetName_2058_"/>
      <sheetName val="_Recovered_SheetName_2059_"/>
      <sheetName val="_Recovered_SheetName_2060_"/>
      <sheetName val="_Recovered_SheetName_2061_"/>
      <sheetName val="_Recovered_SheetName_2062_"/>
      <sheetName val="_Recovered_SheetName_2063_"/>
      <sheetName val="_Recovered_SheetName_2064_"/>
      <sheetName val="_Recovered_SheetName_2065_"/>
      <sheetName val="_Recovered_SheetName_2066_"/>
      <sheetName val="_Recovered_SheetName_2067_"/>
      <sheetName val="_Recovered_SheetName_2068_"/>
      <sheetName val="_Recovered_SheetName_2069_"/>
      <sheetName val="_Recovered_SheetName_2070_"/>
      <sheetName val="_Recovered_SheetName_2071_"/>
      <sheetName val="_Recovered_SheetName_2072_"/>
      <sheetName val="_Recovered_SheetName_2073_"/>
      <sheetName val="_Recovered_SheetName_2074_"/>
      <sheetName val="_Recovered_SheetName_2075_"/>
      <sheetName val="_Recovered_SheetName_2076_"/>
      <sheetName val="_Recovered_SheetName_2077_"/>
      <sheetName val="_Recovered_SheetName_2078_"/>
      <sheetName val="_Recovered_SheetName_2079_"/>
      <sheetName val="_Recovered_SheetName_2080_"/>
      <sheetName val="_Recovered_SheetName_2081_"/>
      <sheetName val="_Recovered_SheetName_2082_"/>
      <sheetName val="_Recovered_SheetName_2083_"/>
      <sheetName val="_Recovered_SheetName_2084_"/>
      <sheetName val="_Recovered_SheetName_2085_"/>
      <sheetName val="_Recovered_SheetName_2086_"/>
      <sheetName val="_Recovered_SheetName_2087_"/>
      <sheetName val="_Recovered_SheetName_2088_"/>
      <sheetName val="_Recovered_SheetName_2089_"/>
      <sheetName val="_Recovered_SheetName_2090_"/>
      <sheetName val="_Recovered_SheetName_2091_"/>
      <sheetName val="_Recovered_SheetName_2092_"/>
      <sheetName val="_Recovered_SheetName_2093_"/>
      <sheetName val="_Recovered_SheetName_2094_"/>
      <sheetName val="_Recovered_SheetName_2095_"/>
      <sheetName val="_Recovered_SheetName_2096_"/>
      <sheetName val="_Recovered_SheetName_2097_"/>
      <sheetName val="_Recovered_SheetName_2098_"/>
      <sheetName val="_Recovered_SheetName_2099_"/>
      <sheetName val="_Recovered_SheetName_2100_"/>
      <sheetName val="_Recovered_SheetName_2101_"/>
      <sheetName val="_Recovered_SheetName_2102_"/>
      <sheetName val="_Recovered_SheetName_2103_"/>
      <sheetName val="_Recovered_SheetName_2104_"/>
      <sheetName val="_Recovered_SheetName_2105_"/>
      <sheetName val="_Recovered_SheetName_2106_"/>
      <sheetName val="_Recovered_SheetName_2107_"/>
      <sheetName val="_Recovered_SheetName_2108_"/>
      <sheetName val="_Recovered_SheetName_2109_"/>
      <sheetName val="_Recovered_SheetName_2110_"/>
      <sheetName val="_Recovered_SheetName_2111_"/>
      <sheetName val="_Recovered_SheetName_2112_"/>
      <sheetName val="_Recovered_SheetName_2113_"/>
      <sheetName val="_Recovered_SheetName_2114_"/>
      <sheetName val="_Recovered_SheetName_2115_"/>
      <sheetName val="_Recovered_SheetName_2116_"/>
      <sheetName val="_Recovered_SheetName_2117_"/>
      <sheetName val="_Recovered_SheetName_2118_"/>
      <sheetName val="_Recovered_SheetName_2119_"/>
      <sheetName val="_Recovered_SheetName_2120_"/>
      <sheetName val="_Recovered_SheetName_2121_"/>
      <sheetName val="_Recovered_SheetName_2122_"/>
      <sheetName val="_Recovered_SheetName_2123_"/>
      <sheetName val="_Recovered_SheetName_2124_"/>
      <sheetName val="_Recovered_SheetName_2125_"/>
      <sheetName val="_Recovered_SheetName_2126_"/>
      <sheetName val="_Recovered_SheetName_2127_"/>
      <sheetName val="_Recovered_SheetName_2128_"/>
      <sheetName val="_Recovered_SheetName_2129_"/>
      <sheetName val="_Recovered_SheetName_2130_"/>
      <sheetName val="_Recovered_SheetName_2131_"/>
      <sheetName val="_Recovered_SheetName_2132_"/>
      <sheetName val="_Recovered_SheetName_2133_"/>
      <sheetName val="_Recovered_SheetName_2134_"/>
      <sheetName val="_Recovered_SheetName_2135_"/>
      <sheetName val="_Recovered_SheetName_2136_"/>
      <sheetName val="_Recovered_SheetName_2137_"/>
      <sheetName val="_Recovered_SheetName_2138_"/>
      <sheetName val="_Recovered_SheetName_2139_"/>
      <sheetName val="_Recovered_SheetName_2140_"/>
      <sheetName val="_Recovered_SheetName_2141_"/>
      <sheetName val="_Recovered_SheetName_2142_"/>
      <sheetName val="_Recovered_SheetName_2143_"/>
      <sheetName val="_Recovered_SheetName_2144_"/>
      <sheetName val="_Recovered_SheetName_2145_"/>
      <sheetName val="_Recovered_SheetName_2146_"/>
      <sheetName val="_Recovered_SheetName_2147_"/>
      <sheetName val="_Recovered_SheetName_2148_"/>
      <sheetName val="_Recovered_SheetName_2149_"/>
      <sheetName val="_Recovered_SheetName_2150_"/>
      <sheetName val="_Recovered_SheetName_2151_"/>
      <sheetName val="_Recovered_SheetName_2152_"/>
      <sheetName val="_Recovered_SheetName_2153_"/>
      <sheetName val="_Recovered_SheetName_2154_"/>
      <sheetName val="_Recovered_SheetName_2155_"/>
      <sheetName val="_Recovered_SheetName_2156_"/>
      <sheetName val="_Recovered_SheetName_2157_"/>
      <sheetName val="_Recovered_SheetName_2158_"/>
      <sheetName val="_Recovered_SheetName_2159_"/>
      <sheetName val="_Recovered_SheetName_2160_"/>
      <sheetName val="_Recovered_SheetName_2161_"/>
      <sheetName val="_Recovered_SheetName_2162_"/>
      <sheetName val="_Recovered_SheetName_2163_"/>
      <sheetName val="_Recovered_SheetName_2164_"/>
      <sheetName val="_Recovered_SheetName_2165_"/>
      <sheetName val="_Recovered_SheetName_2166_"/>
      <sheetName val="_Recovered_SheetName_2167_"/>
      <sheetName val="_Recovered_SheetName_2168_"/>
      <sheetName val="_Recovered_SheetName_2169_"/>
      <sheetName val="_Recovered_SheetName_2170_"/>
      <sheetName val="_Recovered_SheetName_2171_"/>
      <sheetName val="_Recovered_SheetName_2172_"/>
      <sheetName val="_Recovered_SheetName_2173_"/>
      <sheetName val="_Recovered_SheetName_2174_"/>
      <sheetName val="_Recovered_SheetName_2175_"/>
      <sheetName val="_Recovered_SheetName_2176_"/>
      <sheetName val="_Recovered_SheetName_2177_"/>
      <sheetName val="_Recovered_SheetName_2178_"/>
      <sheetName val="_Recovered_SheetName_2179_"/>
      <sheetName val="_Recovered_SheetName_2180_"/>
      <sheetName val="_Recovered_SheetName_2181_"/>
      <sheetName val="_Recovered_SheetName_2182_"/>
      <sheetName val="_Recovered_SheetName_2183_"/>
      <sheetName val="_Recovered_SheetName_2184_"/>
      <sheetName val="_Recovered_SheetName_2185_"/>
      <sheetName val="_Recovered_SheetName_2186_"/>
      <sheetName val="_Recovered_SheetName_2187_"/>
      <sheetName val="_Recovered_SheetName_2188_"/>
      <sheetName val="_Recovered_SheetName_2189_"/>
      <sheetName val="_Recovered_SheetName_2190_"/>
      <sheetName val="_Recovered_SheetName_2191_"/>
      <sheetName val="_Recovered_SheetName_2192_"/>
      <sheetName val="_Recovered_SheetName_2193_"/>
      <sheetName val="_Recovered_SheetName_2194_"/>
      <sheetName val="_Recovered_SheetName_2195_"/>
      <sheetName val="_Recovered_SheetName_2196_"/>
      <sheetName val="_Recovered_SheetName_2197_"/>
      <sheetName val="_Recovered_SheetName_2198_"/>
      <sheetName val="_Recovered_SheetName_2199_"/>
      <sheetName val="_Recovered_SheetName_2200_"/>
      <sheetName val="_Recovered_SheetName_2201_"/>
      <sheetName val="_Recovered_SheetName_2202_"/>
      <sheetName val="_Recovered_SheetName_2203_"/>
      <sheetName val="_Recovered_SheetName_2204_"/>
      <sheetName val="_Recovered_SheetName_2205_"/>
      <sheetName val="_Recovered_SheetName_2206_"/>
      <sheetName val="_Recovered_SheetName_2207_"/>
      <sheetName val="_Recovered_SheetName_2208_"/>
      <sheetName val="_Recovered_SheetName_2209_"/>
      <sheetName val="_Recovered_SheetName_2210_"/>
      <sheetName val="_Recovered_SheetName_2211_"/>
      <sheetName val="_Recovered_SheetName_2212_"/>
      <sheetName val="_Recovered_SheetName_2213_"/>
      <sheetName val="_Recovered_SheetName_2214_"/>
      <sheetName val="_Recovered_SheetName_2215_"/>
      <sheetName val="_Recovered_SheetName_2216_"/>
      <sheetName val="_Recovered_SheetName_2217_"/>
      <sheetName val="_Recovered_SheetName_2218_"/>
      <sheetName val="_Recovered_SheetName_2219_"/>
      <sheetName val="_Recovered_SheetName_2220_"/>
      <sheetName val="_Recovered_SheetName_2221_"/>
      <sheetName val="_Recovered_SheetName_2222_"/>
      <sheetName val="_Recovered_SheetName_2223_"/>
      <sheetName val="_Recovered_SheetName_2224_"/>
      <sheetName val="_Recovered_SheetName_2225_"/>
      <sheetName val="_Recovered_SheetName_2226_"/>
      <sheetName val="_Recovered_SheetName_2227_"/>
      <sheetName val="_Recovered_SheetName_2228_"/>
      <sheetName val="_Recovered_SheetName_2229_"/>
      <sheetName val="_Recovered_SheetName_2230_"/>
      <sheetName val="_Recovered_SheetName_2231_"/>
      <sheetName val="_Recovered_SheetName_2232_"/>
      <sheetName val="_Recovered_SheetName_2233_"/>
      <sheetName val="_Recovered_SheetName_2234_"/>
      <sheetName val="_Recovered_SheetName_2235_"/>
      <sheetName val="_Recovered_SheetName_2236_"/>
      <sheetName val="_Recovered_SheetName_2237_"/>
      <sheetName val="_Recovered_SheetName_2238_"/>
      <sheetName val="_Recovered_SheetName_2239_"/>
      <sheetName val="_Recovered_SheetName_2240_"/>
      <sheetName val="_Recovered_SheetName_2241_"/>
      <sheetName val="_Recovered_SheetName_2242_"/>
      <sheetName val="_Recovered_SheetName_2243_"/>
      <sheetName val="_Recovered_SheetName_2244_"/>
      <sheetName val="_Recovered_SheetName_2245_"/>
      <sheetName val="_Recovered_SheetName_2246_"/>
      <sheetName val="_Recovered_SheetName_2247_"/>
      <sheetName val="_Recovered_SheetName_2248_"/>
      <sheetName val="_Recovered_SheetName_2249_"/>
      <sheetName val="_Recovered_SheetName_2250_"/>
      <sheetName val="_Recovered_SheetName_2251_"/>
      <sheetName val="_Recovered_SheetName_2252_"/>
      <sheetName val="_Recovered_SheetName_2253_"/>
      <sheetName val="_Recovered_SheetName_2254_"/>
      <sheetName val="_Recovered_SheetName_2255_"/>
      <sheetName val="_Recovered_SheetName_2256_"/>
      <sheetName val="_Recovered_SheetName_2257_"/>
      <sheetName val="_Recovered_SheetName_2258_"/>
      <sheetName val="_Recovered_SheetName_2259_"/>
      <sheetName val="_Recovered_SheetName_2260_"/>
      <sheetName val="_Recovered_SheetName_2261_"/>
      <sheetName val="_Recovered_SheetName_2262_"/>
      <sheetName val="_Recovered_SheetName_2263_"/>
      <sheetName val="_Recovered_SheetName_2264_"/>
      <sheetName val="_Recovered_SheetName_2265_"/>
      <sheetName val="_Recovered_SheetName_2266_"/>
      <sheetName val="_Recovered_SheetName_2267_"/>
      <sheetName val="_Recovered_SheetName_2268_"/>
      <sheetName val="_Recovered_SheetName_2269_"/>
      <sheetName val="_Recovered_SheetName_2270_"/>
      <sheetName val="_Recovered_SheetName_2271_"/>
      <sheetName val="_Recovered_SheetName_2272_"/>
      <sheetName val="_Recovered_SheetName_2273_"/>
      <sheetName val="_Recovered_SheetName_2274_"/>
      <sheetName val="_Recovered_SheetName_2275_"/>
      <sheetName val="_Recovered_SheetName_2276_"/>
      <sheetName val="_Recovered_SheetName_2277_"/>
      <sheetName val="_Recovered_SheetName_2278_"/>
      <sheetName val="_Recovered_SheetName_2279_"/>
      <sheetName val="_Recovered_SheetName_2280_"/>
      <sheetName val="_Recovered_SheetName_2281_"/>
      <sheetName val="_Recovered_SheetName_2282_"/>
      <sheetName val="_Recovered_SheetName_2283_"/>
      <sheetName val="_Recovered_SheetName_2284_"/>
      <sheetName val="_Recovered_SheetName_2285_"/>
      <sheetName val="_Recovered_SheetName_2286_"/>
      <sheetName val="_Recovered_SheetName_2287_"/>
      <sheetName val="_Recovered_SheetName_2288_"/>
      <sheetName val="_Recovered_SheetName_2289_"/>
      <sheetName val="_Recovered_SheetName_2290_"/>
      <sheetName val="_Recovered_SheetName_2291_"/>
      <sheetName val="_Recovered_SheetName_2292_"/>
      <sheetName val="_Recovered_SheetName_2293_"/>
      <sheetName val="_Recovered_SheetName_2294_"/>
      <sheetName val="_Recovered_SheetName_2295_"/>
      <sheetName val="_Recovered_SheetName_2296_"/>
      <sheetName val="_Recovered_SheetName_2297_"/>
      <sheetName val="_Recovered_SheetName_2298_"/>
      <sheetName val="_Recovered_SheetName_2299_"/>
      <sheetName val="_Recovered_SheetName_2300_"/>
      <sheetName val="_Recovered_SheetName_2301_"/>
      <sheetName val="_Recovered_SheetName_2302_"/>
      <sheetName val="_Recovered_SheetName_2303_"/>
      <sheetName val="_Recovered_SheetName_2304_"/>
      <sheetName val="_Recovered_SheetName_2305_"/>
      <sheetName val="_Recovered_SheetName_2306_"/>
      <sheetName val="_Recovered_SheetName_2307_"/>
      <sheetName val="_Recovered_SheetName_2308_"/>
      <sheetName val="_Recovered_SheetName_2309_"/>
      <sheetName val="_Recovered_SheetName_2310_"/>
      <sheetName val="_Recovered_SheetName_2311_"/>
      <sheetName val="_Recovered_SheetName_2312_"/>
      <sheetName val="_Recovered_SheetName_2313_"/>
      <sheetName val="_Recovered_SheetName_2314_"/>
      <sheetName val="_Recovered_SheetName_2315_"/>
      <sheetName val="_Recovered_SheetName_2316_"/>
      <sheetName val="_Recovered_SheetName_2317_"/>
      <sheetName val="_Recovered_SheetName_2318_"/>
      <sheetName val="_Recovered_SheetName_2319_"/>
      <sheetName val="_Recovered_SheetName_2320_"/>
      <sheetName val="_Recovered_SheetName_2321_"/>
      <sheetName val="_Recovered_SheetName_2322_"/>
      <sheetName val="_Recovered_SheetName_2323_"/>
      <sheetName val="_Recovered_SheetName_2324_"/>
      <sheetName val="_Recovered_SheetName_2325_"/>
      <sheetName val="_Recovered_SheetName_2326_"/>
      <sheetName val="_Recovered_SheetName_2327_"/>
      <sheetName val="_Recovered_SheetName_2328_"/>
      <sheetName val="_Recovered_SheetName_2329_"/>
      <sheetName val="_Recovered_SheetName_2330_"/>
      <sheetName val="_Recovered_SheetName_2331_"/>
      <sheetName val="_Recovered_SheetName_2332_"/>
      <sheetName val="_Recovered_SheetName_2333_"/>
      <sheetName val="_Recovered_SheetName_2334_"/>
      <sheetName val="_Recovered_SheetName_2335_"/>
      <sheetName val="_Recovered_SheetName_2336_"/>
      <sheetName val="_Recovered_SheetName_2337_"/>
      <sheetName val="_Recovered_SheetName_2338_"/>
      <sheetName val="_Recovered_SheetName_2339_"/>
      <sheetName val="_Recovered_SheetName_2340_"/>
      <sheetName val="_Recovered_SheetName_2341_"/>
      <sheetName val="_Recovered_SheetName_2342_"/>
      <sheetName val="_Recovered_SheetName_2343_"/>
      <sheetName val="_Recovered_SheetName_2344_"/>
      <sheetName val="_Recovered_SheetName_2345_"/>
      <sheetName val="_Recovered_SheetName_2346_"/>
      <sheetName val="_Recovered_SheetName_2347_"/>
      <sheetName val="_Recovered_SheetName_2348_"/>
      <sheetName val="_Recovered_SheetName_2349_"/>
      <sheetName val="_Recovered_SheetName_2350_"/>
      <sheetName val="_Recovered_SheetName_2351_"/>
      <sheetName val="_Recovered_SheetName_2352_"/>
      <sheetName val="_Recovered_SheetName_2353_"/>
      <sheetName val="_Recovered_SheetName_2354_"/>
      <sheetName val="_Recovered_SheetName_2355_"/>
      <sheetName val="_Recovered_SheetName_2356_"/>
      <sheetName val="_Recovered_SheetName_2357_"/>
      <sheetName val="_Recovered_SheetName_2358_"/>
      <sheetName val="_Recovered_SheetName_2359_"/>
      <sheetName val="_Recovered_SheetName_2360_"/>
      <sheetName val="_Recovered_SheetName_2361_"/>
      <sheetName val="_Recovered_SheetName_2362_"/>
      <sheetName val="_Recovered_SheetName_2363_"/>
      <sheetName val="_Recovered_SheetName_2364_"/>
      <sheetName val="_Recovered_SheetName_2365_"/>
      <sheetName val="_Recovered_SheetName_2366_"/>
      <sheetName val="_Recovered_SheetName_2367_"/>
      <sheetName val="_Recovered_SheetName_2368_"/>
      <sheetName val="_Recovered_SheetName_2369_"/>
      <sheetName val="_Recovered_SheetName_2370_"/>
      <sheetName val="_Recovered_SheetName_2371_"/>
      <sheetName val="_Recovered_SheetName_2372_"/>
      <sheetName val="_Recovered_SheetName_2373_"/>
      <sheetName val="_Recovered_SheetName_2374_"/>
      <sheetName val="_Recovered_SheetName_2375_"/>
      <sheetName val="_Recovered_SheetName_2376_"/>
      <sheetName val="_Recovered_SheetName_2377_"/>
      <sheetName val="_Recovered_SheetName_2378_"/>
      <sheetName val="_Recovered_SheetName_2379_"/>
      <sheetName val="_Recovered_SheetName_2380_"/>
      <sheetName val="_Recovered_SheetName_2381_"/>
      <sheetName val="_Recovered_SheetName_2382_"/>
      <sheetName val="_Recovered_SheetName_2383_"/>
      <sheetName val="_Recovered_SheetName_2384_"/>
      <sheetName val="_Recovered_SheetName_2385_"/>
      <sheetName val="_Recovered_SheetName_2386_"/>
      <sheetName val="_Recovered_SheetName_2387_"/>
      <sheetName val="_Recovered_SheetName_2388_"/>
      <sheetName val="_Recovered_SheetName_2389_"/>
      <sheetName val="_Recovered_SheetName_2390_"/>
      <sheetName val="_Recovered_SheetName_2391_"/>
      <sheetName val="_Recovered_SheetName_2392_"/>
      <sheetName val="_Recovered_SheetName_2393_"/>
      <sheetName val="_Recovered_SheetName_2394_"/>
      <sheetName val="_Recovered_SheetName_2395_"/>
      <sheetName val="_Recovered_SheetName_2396_"/>
      <sheetName val="_Recovered_SheetName_2397_"/>
      <sheetName val="_Recovered_SheetName_2398_"/>
      <sheetName val="_Recovered_SheetName_2399_"/>
      <sheetName val="_Recovered_SheetName_2400_"/>
      <sheetName val="_Recovered_SheetName_2401_"/>
      <sheetName val="_Recovered_SheetName_2402_"/>
      <sheetName val="_Recovered_SheetName_2403_"/>
      <sheetName val="_Recovered_SheetName_2404_"/>
      <sheetName val="_Recovered_SheetName_2405_"/>
      <sheetName val="_Recovered_SheetName_2406_"/>
      <sheetName val="_Recovered_SheetName_2407_"/>
      <sheetName val="_Recovered_SheetName_2408_"/>
      <sheetName val="_Recovered_SheetName_2409_"/>
      <sheetName val="_Recovered_SheetName_2410_"/>
      <sheetName val="_Recovered_SheetName_2411_"/>
      <sheetName val="_Recovered_SheetName_2412_"/>
      <sheetName val="_Recovered_SheetName_2413_"/>
      <sheetName val="_Recovered_SheetName_2414_"/>
      <sheetName val="_Recovered_SheetName_2415_"/>
      <sheetName val="_Recovered_SheetName_2416_"/>
      <sheetName val="_Recovered_SheetName_2417_"/>
      <sheetName val="_Recovered_SheetName_2418_"/>
      <sheetName val="_Recovered_SheetName_2419_"/>
      <sheetName val="_Recovered_SheetName_2420_"/>
      <sheetName val="_Recovered_SheetName_2421_"/>
      <sheetName val="_Recovered_SheetName_2422_"/>
      <sheetName val="_Recovered_SheetName_2423_"/>
      <sheetName val="_Recovered_SheetName_2424_"/>
      <sheetName val="_Recovered_SheetName_2425_"/>
      <sheetName val="_Recovered_SheetName_2426_"/>
      <sheetName val="_Recovered_SheetName_2427_"/>
      <sheetName val="_Recovered_SheetName_2428_"/>
      <sheetName val="_Recovered_SheetName_2429_"/>
      <sheetName val="_Recovered_SheetName_2430_"/>
      <sheetName val="_Recovered_SheetName_2431_"/>
      <sheetName val="_Recovered_SheetName_2432_"/>
      <sheetName val="_Recovered_SheetName_2433_"/>
      <sheetName val="_Recovered_SheetName_2434_"/>
      <sheetName val="_Recovered_SheetName_2435_"/>
      <sheetName val="_Recovered_SheetName_2436_"/>
      <sheetName val="_Recovered_SheetName_2437_"/>
      <sheetName val="_Recovered_SheetName_2438_"/>
      <sheetName val="_Recovered_SheetName_2439_"/>
      <sheetName val="_Recovered_SheetName_2440_"/>
      <sheetName val="_Recovered_SheetName_2441_"/>
      <sheetName val="_Recovered_SheetName_2442_"/>
      <sheetName val="_Recovered_SheetName_2443_"/>
      <sheetName val="_Recovered_SheetName_2444_"/>
      <sheetName val="_Recovered_SheetName_2445_"/>
      <sheetName val="_Recovered_SheetName_2446_"/>
      <sheetName val="_Recovered_SheetName_2447_"/>
      <sheetName val="_Recovered_SheetName_2448_"/>
      <sheetName val="_Recovered_SheetName_2449_"/>
      <sheetName val="_Recovered_SheetName_2450_"/>
      <sheetName val="_Recovered_SheetName_2451_"/>
      <sheetName val="_Recovered_SheetName_2452_"/>
      <sheetName val="_Recovered_SheetName_2453_"/>
      <sheetName val="_Recovered_SheetName_2454_"/>
      <sheetName val="_Recovered_SheetName_2455_"/>
      <sheetName val="_Recovered_SheetName_2456_"/>
      <sheetName val="_Recovered_SheetName_2457_"/>
      <sheetName val="_Recovered_SheetName_2458_"/>
      <sheetName val="_Recovered_SheetName_2459_"/>
      <sheetName val="_Recovered_SheetName_2460_"/>
      <sheetName val="_Recovered_SheetName_2461_"/>
      <sheetName val="_Recovered_SheetName_2462_"/>
      <sheetName val="_Recovered_SheetName_2463_"/>
      <sheetName val="_Recovered_SheetName_2464_"/>
      <sheetName val="_Recovered_SheetName_2465_"/>
      <sheetName val="_Recovered_SheetName_2466_"/>
      <sheetName val="_Recovered_SheetName_2467_"/>
      <sheetName val="_Recovered_SheetName_2468_"/>
      <sheetName val="_Recovered_SheetName_2469_"/>
      <sheetName val="_Recovered_SheetName_2470_"/>
      <sheetName val="_Recovered_SheetName_2471_"/>
      <sheetName val="_Recovered_SheetName_2472_"/>
      <sheetName val="_Recovered_SheetName_2473_"/>
      <sheetName val="_Recovered_SheetName_2474_"/>
      <sheetName val="_Recovered_SheetName_2475_"/>
      <sheetName val="_Recovered_SheetName_2476_"/>
      <sheetName val="_Recovered_SheetName_2477_"/>
      <sheetName val="_Recovered_SheetName_2478_"/>
      <sheetName val="_Recovered_SheetName_2479_"/>
      <sheetName val="_Recovered_SheetName_2480_"/>
      <sheetName val="_Recovered_SheetName_2481_"/>
      <sheetName val="_Recovered_SheetName_2482_"/>
      <sheetName val="_Recovered_SheetName_2483_"/>
      <sheetName val="_Recovered_SheetName_2484_"/>
      <sheetName val="_Recovered_SheetName_2485_"/>
      <sheetName val="_Recovered_SheetName_2486_"/>
      <sheetName val="_Recovered_SheetName_2487_"/>
      <sheetName val="_Recovered_SheetName_2488_"/>
      <sheetName val="_Recovered_SheetName_2489_"/>
      <sheetName val="_Recovered_SheetName_2490_"/>
      <sheetName val="_Recovered_SheetName_2491_"/>
      <sheetName val="_Recovered_SheetName_2492_"/>
      <sheetName val="_Recovered_SheetName_2493_"/>
      <sheetName val="_Recovered_SheetName_2494_"/>
      <sheetName val="_Recovered_SheetName_2495_"/>
      <sheetName val="_Recovered_SheetName_2496_"/>
      <sheetName val="_Recovered_SheetName_2497_"/>
      <sheetName val="_Recovered_SheetName_2498_"/>
      <sheetName val="_Recovered_SheetName_2499_"/>
      <sheetName val="_Recovered_SheetName_2500_"/>
      <sheetName val="_Recovered_SheetName_2501_"/>
      <sheetName val="_Recovered_SheetName_2502_"/>
      <sheetName val="_Recovered_SheetName_2503_"/>
      <sheetName val="_Recovered_SheetName_2504_"/>
      <sheetName val="_Recovered_SheetName_2505_"/>
      <sheetName val="_Recovered_SheetName_2506_"/>
      <sheetName val="_Recovered_SheetName_2507_"/>
      <sheetName val="_Recovered_SheetName_2508_"/>
      <sheetName val="_Recovered_SheetName_2509_"/>
      <sheetName val="_Recovered_SheetName_2510_"/>
      <sheetName val="_Recovered_SheetName_2511_"/>
      <sheetName val="_Recovered_SheetName_2512_"/>
      <sheetName val="_Recovered_SheetName_2513_"/>
      <sheetName val="_Recovered_SheetName_2514_"/>
      <sheetName val="_Recovered_SheetName_2515_"/>
      <sheetName val="_Recovered_SheetName_2516_"/>
      <sheetName val="_Recovered_SheetName_2517_"/>
      <sheetName val="_Recovered_SheetName_2518_"/>
      <sheetName val="_Recovered_SheetName_2519_"/>
      <sheetName val="_Recovered_SheetName_2520_"/>
      <sheetName val="_Recovered_SheetName_2521_"/>
      <sheetName val="_Recovered_SheetName_2522_"/>
      <sheetName val="_Recovered_SheetName_2523_"/>
      <sheetName val="_Recovered_SheetName_2524_"/>
      <sheetName val="_Recovered_SheetName_2525_"/>
      <sheetName val="_Recovered_SheetName_2526_"/>
      <sheetName val="_Recovered_SheetName_2527_"/>
      <sheetName val="_Recovered_SheetName_2528_"/>
      <sheetName val="_Recovered_SheetName_2529_"/>
      <sheetName val="_Recovered_SheetName_2530_"/>
      <sheetName val="_Recovered_SheetName_2531_"/>
      <sheetName val="_Recovered_SheetName_2532_"/>
      <sheetName val="_Recovered_SheetName_2533_"/>
      <sheetName val="_Recovered_SheetName_2534_"/>
      <sheetName val="_Recovered_SheetName_2535_"/>
      <sheetName val="_Recovered_SheetName_2536_"/>
      <sheetName val="_Recovered_SheetName_2537_"/>
      <sheetName val="_Recovered_SheetName_2538_"/>
      <sheetName val="_Recovered_SheetName_2539_"/>
      <sheetName val="_Recovered_SheetName_2540_"/>
      <sheetName val="_Recovered_SheetName_2541_"/>
      <sheetName val="_Recovered_SheetName_2542_"/>
      <sheetName val="_Recovered_SheetName_2543_"/>
      <sheetName val="_Recovered_SheetName_2544_"/>
      <sheetName val="_Recovered_SheetName_2545_"/>
      <sheetName val="_Recovered_SheetName_2546_"/>
      <sheetName val="_Recovered_SheetName_2547_"/>
      <sheetName val="_Recovered_SheetName_2548_"/>
      <sheetName val="_Recovered_SheetName_2549_"/>
      <sheetName val="_Recovered_SheetName_2550_"/>
      <sheetName val="_Recovered_SheetName_2551_"/>
      <sheetName val="_Recovered_SheetName_2552_"/>
      <sheetName val="_Recovered_SheetName_2553_"/>
      <sheetName val="_Recovered_SheetName_2554_"/>
      <sheetName val="_Recovered_SheetName_2555_"/>
      <sheetName val="_Recovered_SheetName_2556_"/>
      <sheetName val="_Recovered_SheetName_2557_"/>
      <sheetName val="_Recovered_SheetName_2558_"/>
      <sheetName val="_Recovered_SheetName_2559_"/>
      <sheetName val="_Recovered_SheetName_2560_"/>
      <sheetName val="_Recovered_SheetName_2561_"/>
      <sheetName val="_Recovered_SheetName_2562_"/>
      <sheetName val="_Recovered_SheetName_2563_"/>
      <sheetName val="_Recovered_SheetName_2564_"/>
      <sheetName val="_Recovered_SheetName_2565_"/>
      <sheetName val="_Recovered_SheetName_2566_"/>
      <sheetName val="_Recovered_SheetName_2567_"/>
      <sheetName val="_Recovered_SheetName_2568_"/>
      <sheetName val="_Recovered_SheetName_2569_"/>
      <sheetName val="_Recovered_SheetName_2570_"/>
      <sheetName val="_Recovered_SheetName_2571_"/>
      <sheetName val="_Recovered_SheetName_2572_"/>
      <sheetName val="_Recovered_SheetName_2573_"/>
      <sheetName val="_Recovered_SheetName_2574_"/>
      <sheetName val="_Recovered_SheetName_2575_"/>
      <sheetName val="_Recovered_SheetName_2576_"/>
      <sheetName val="_Recovered_SheetName_2577_"/>
      <sheetName val="_Recovered_SheetName_2578_"/>
      <sheetName val="_Recovered_SheetName_2579_"/>
      <sheetName val="_Recovered_SheetName_2580_"/>
      <sheetName val="_Recovered_SheetName_2581_"/>
      <sheetName val="_Recovered_SheetName_2582_"/>
      <sheetName val="_Recovered_SheetName_2583_"/>
      <sheetName val="_Recovered_SheetName_2584_"/>
      <sheetName val="_Recovered_SheetName_2585_"/>
      <sheetName val="_Recovered_SheetName_2586_"/>
      <sheetName val="_Recovered_SheetName_2587_"/>
      <sheetName val="_Recovered_SheetName_2588_"/>
      <sheetName val="_Recovered_SheetName_2589_"/>
      <sheetName val="_Recovered_SheetName_2590_"/>
      <sheetName val="_Recovered_SheetName_2591_"/>
      <sheetName val="_Recovered_SheetName_2592_"/>
      <sheetName val="_Recovered_SheetName_2593_"/>
      <sheetName val="_Recovered_SheetName_2594_"/>
      <sheetName val="_Recovered_SheetName_2595_"/>
      <sheetName val="_Recovered_SheetName_2596_"/>
      <sheetName val="_Recovered_SheetName_2597_"/>
      <sheetName val="_Recovered_SheetName_2598_"/>
      <sheetName val="_Recovered_SheetName_2599_"/>
      <sheetName val="_Recovered_SheetName_2600_"/>
      <sheetName val="_Recovered_SheetName_2601_"/>
      <sheetName val="_Recovered_SheetName_2602_"/>
      <sheetName val="_Recovered_SheetName_2603_"/>
      <sheetName val="_Recovered_SheetName_2604_"/>
      <sheetName val="_Recovered_SheetName_2605_"/>
      <sheetName val="_Recovered_SheetName_2606_"/>
      <sheetName val="_Recovered_SheetName_2607_"/>
      <sheetName val="_Recovered_SheetName_2608_"/>
      <sheetName val="_Recovered_SheetName_2609_"/>
      <sheetName val="_Recovered_SheetName_2610_"/>
      <sheetName val="_Recovered_SheetName_2611_"/>
      <sheetName val="_Recovered_SheetName_2612_"/>
      <sheetName val="_Recovered_SheetName_2613_"/>
      <sheetName val="_Recovered_SheetName_2614_"/>
      <sheetName val="_Recovered_SheetName_2615_"/>
      <sheetName val="_Recovered_SheetName_2616_"/>
      <sheetName val="_Recovered_SheetName_2617_"/>
      <sheetName val="_Recovered_SheetName_2618_"/>
      <sheetName val="_Recovered_SheetName_2619_"/>
      <sheetName val="_Recovered_SheetName_2620_"/>
      <sheetName val="_Recovered_SheetName_2621_"/>
      <sheetName val="_Recovered_SheetName_2622_"/>
      <sheetName val="_Recovered_SheetName_2623_"/>
      <sheetName val="_Recovered_SheetName_2624_"/>
      <sheetName val="_Recovered_SheetName_2625_"/>
      <sheetName val="_Recovered_SheetName_2626_"/>
      <sheetName val="_Recovered_SheetName_2627_"/>
      <sheetName val="_Recovered_SheetName_2628_"/>
      <sheetName val="_Recovered_SheetName_2629_"/>
      <sheetName val="_Recovered_SheetName_2630_"/>
      <sheetName val="_Recovered_SheetName_2631_"/>
      <sheetName val="_Recovered_SheetName_2632_"/>
      <sheetName val="_Recovered_SheetName_2633_"/>
      <sheetName val="_Recovered_SheetName_2634_"/>
      <sheetName val="_Recovered_SheetName_2635_"/>
      <sheetName val="_Recovered_SheetName_2636_"/>
      <sheetName val="_Recovered_SheetName_2637_"/>
      <sheetName val="_Recovered_SheetName_2638_"/>
      <sheetName val="_Recovered_SheetName_2639_"/>
      <sheetName val="_Recovered_SheetName_2640_"/>
      <sheetName val="_Recovered_SheetName_2641_"/>
      <sheetName val="_Recovered_SheetName_2642_"/>
      <sheetName val="_Recovered_SheetName_2643_"/>
      <sheetName val="_Recovered_SheetName_2644_"/>
      <sheetName val="_Recovered_SheetName_2645_"/>
      <sheetName val="_Recovered_SheetName_2646_"/>
      <sheetName val="_Recovered_SheetName_2647_"/>
      <sheetName val="_Recovered_SheetName_2648_"/>
      <sheetName val="_Recovered_SheetName_2649_"/>
      <sheetName val="_Recovered_SheetName_2650_"/>
      <sheetName val="_Recovered_SheetName_2651_"/>
      <sheetName val="_Recovered_SheetName_2652_"/>
      <sheetName val="_Recovered_SheetName_2653_"/>
      <sheetName val="_Recovered_SheetName_2654_"/>
      <sheetName val="_Recovered_SheetName_2655_"/>
      <sheetName val="_Recovered_SheetName_2656_"/>
      <sheetName val="_Recovered_SheetName_2657_"/>
      <sheetName val="_Recovered_SheetName_2658_"/>
      <sheetName val="_Recovered_SheetName_2659_"/>
      <sheetName val="_Recovered_SheetName_2660_"/>
      <sheetName val="_Recovered_SheetName_2661_"/>
      <sheetName val="_Recovered_SheetName_2662_"/>
      <sheetName val="_Recovered_SheetName_2663_"/>
      <sheetName val="_Recovered_SheetName_2664_"/>
      <sheetName val="_Recovered_SheetName_2665_"/>
      <sheetName val="_Recovered_SheetName_2666_"/>
      <sheetName val="_Recovered_SheetName_2667_"/>
      <sheetName val="_Recovered_SheetName_2668_"/>
      <sheetName val="_Recovered_SheetName_2669_"/>
      <sheetName val="_Recovered_SheetName_2670_"/>
      <sheetName val="_Recovered_SheetName_2671_"/>
      <sheetName val="_Recovered_SheetName_2672_"/>
      <sheetName val="_Recovered_SheetName_2673_"/>
      <sheetName val="_Recovered_SheetName_2674_"/>
      <sheetName val="_Recovered_SheetName_2675_"/>
      <sheetName val="_Recovered_SheetName_2676_"/>
      <sheetName val="_Recovered_SheetName_2677_"/>
      <sheetName val="_Recovered_SheetName_2678_"/>
      <sheetName val="_Recovered_SheetName_2679_"/>
      <sheetName val="_Recovered_SheetName_2680_"/>
      <sheetName val="_Recovered_SheetName_2681_"/>
      <sheetName val="_Recovered_SheetName_2682_"/>
      <sheetName val="_Recovered_SheetName_2683_"/>
      <sheetName val="_Recovered_SheetName_2684_"/>
      <sheetName val="_Recovered_SheetName_2685_"/>
      <sheetName val="_Recovered_SheetName_2686_"/>
      <sheetName val="_Recovered_SheetName_2687_"/>
      <sheetName val="_Recovered_SheetName_2688_"/>
      <sheetName val="_Recovered_SheetName_2689_"/>
      <sheetName val="_Recovered_SheetName_2690_"/>
      <sheetName val="_Recovered_SheetName_2691_"/>
      <sheetName val="_Recovered_SheetName_2692_"/>
      <sheetName val="_Recovered_SheetName_2693_"/>
      <sheetName val="_Recovered_SheetName_2694_"/>
      <sheetName val="_Recovered_SheetName_2695_"/>
      <sheetName val="_Recovered_SheetName_2696_"/>
      <sheetName val="_Recovered_SheetName_2697_"/>
      <sheetName val="_Recovered_SheetName_2698_"/>
      <sheetName val="_Recovered_SheetName_2699_"/>
      <sheetName val="_Recovered_SheetName_2700_"/>
      <sheetName val="_Recovered_SheetName_2701_"/>
      <sheetName val="_Recovered_SheetName_2702_"/>
      <sheetName val="_Recovered_SheetName_2703_"/>
      <sheetName val="_Recovered_SheetName_2704_"/>
      <sheetName val="_Recovered_SheetName_2705_"/>
      <sheetName val="_Recovered_SheetName_2706_"/>
      <sheetName val="_Recovered_SheetName_2707_"/>
      <sheetName val="_Recovered_SheetName_2708_"/>
      <sheetName val="_Recovered_SheetName_2709_"/>
      <sheetName val="_Recovered_SheetName_2710_"/>
      <sheetName val="_Recovered_SheetName_2711_"/>
      <sheetName val="_Recovered_SheetName_2712_"/>
      <sheetName val="_Recovered_SheetName_2713_"/>
      <sheetName val="_Recovered_SheetName_2714_"/>
      <sheetName val="_Recovered_SheetName_2715_"/>
      <sheetName val="_Recovered_SheetName_2716_"/>
      <sheetName val="_Recovered_SheetName_2717_"/>
      <sheetName val="_Recovered_SheetName_2718_"/>
      <sheetName val="_Recovered_SheetName_2719_"/>
      <sheetName val="_Recovered_SheetName_2720_"/>
      <sheetName val="_Recovered_SheetName_2721_"/>
      <sheetName val="_Recovered_SheetName_2722_"/>
      <sheetName val="_Recovered_SheetName_2723_"/>
      <sheetName val="_Recovered_SheetName_2724_"/>
      <sheetName val="_Recovered_SheetName_2725_"/>
      <sheetName val="_Recovered_SheetName_2726_"/>
      <sheetName val="_Recovered_SheetName_2727_"/>
      <sheetName val="_Recovered_SheetName_2728_"/>
      <sheetName val="_Recovered_SheetName_2729_"/>
      <sheetName val="_Recovered_SheetName_2730_"/>
      <sheetName val="_Recovered_SheetName_2731_"/>
      <sheetName val="_Recovered_SheetName_2732_"/>
      <sheetName val="_Recovered_SheetName_2733_"/>
      <sheetName val="_Recovered_SheetName_2734_"/>
      <sheetName val="_Recovered_SheetName_2735_"/>
      <sheetName val="_Recovered_SheetName_2736_"/>
      <sheetName val="_Recovered_SheetName_2737_"/>
      <sheetName val="_Recovered_SheetName_2738_"/>
      <sheetName val="_Recovered_SheetName_2739_"/>
      <sheetName val="_Recovered_SheetName_2740_"/>
      <sheetName val="_Recovered_SheetName_2741_"/>
      <sheetName val="_Recovered_SheetName_2742_"/>
      <sheetName val="_Recovered_SheetName_2743_"/>
      <sheetName val="_Recovered_SheetName_2744_"/>
      <sheetName val="_Recovered_SheetName_2745_"/>
      <sheetName val="_Recovered_SheetName_2746_"/>
      <sheetName val="_Recovered_SheetName_2747_"/>
      <sheetName val="_Recovered_SheetName_2748_"/>
      <sheetName val="_Recovered_SheetName_2749_"/>
      <sheetName val="_Recovered_SheetName_2750_"/>
      <sheetName val="_Recovered_SheetName_2751_"/>
      <sheetName val="_Recovered_SheetName_2752_"/>
      <sheetName val="_Recovered_SheetName_2753_"/>
      <sheetName val="_Recovered_SheetName_2754_"/>
      <sheetName val="_Recovered_SheetName_2755_"/>
      <sheetName val="_Recovered_SheetName_2756_"/>
      <sheetName val="_Recovered_SheetName_2757_"/>
      <sheetName val="_Recovered_SheetName_2758_"/>
      <sheetName val="_Recovered_SheetName_2759_"/>
      <sheetName val="_Recovered_SheetName_2760_"/>
      <sheetName val="_Recovered_SheetName_2761_"/>
      <sheetName val="_Recovered_SheetName_2762_"/>
      <sheetName val="_Recovered_SheetName_2763_"/>
      <sheetName val="_Recovered_SheetName_2764_"/>
      <sheetName val="_Recovered_SheetName_2765_"/>
      <sheetName val="_Recovered_SheetName_2766_"/>
      <sheetName val="_Recovered_SheetName_2767_"/>
      <sheetName val="_Recovered_SheetName_2768_"/>
      <sheetName val="_Recovered_SheetName_2769_"/>
      <sheetName val="_Recovered_SheetName_2770_"/>
      <sheetName val="_Recovered_SheetName_2771_"/>
      <sheetName val="_Recovered_SheetName_2772_"/>
      <sheetName val="_Recovered_SheetName_2773_"/>
      <sheetName val="_Recovered_SheetName_2774_"/>
      <sheetName val="_Recovered_SheetName_2775_"/>
      <sheetName val="_Recovered_SheetName_2776_"/>
      <sheetName val="_Recovered_SheetName_2777_"/>
      <sheetName val="_Recovered_SheetName_2778_"/>
      <sheetName val="_Recovered_SheetName_2779_"/>
      <sheetName val="_Recovered_SheetName_2780_"/>
      <sheetName val="_Recovered_SheetName_2781_"/>
      <sheetName val="_Recovered_SheetName_2782_"/>
      <sheetName val="_Recovered_SheetName_2783_"/>
      <sheetName val="_Recovered_SheetName_2784_"/>
      <sheetName val="_Recovered_SheetName_2785_"/>
      <sheetName val="_Recovered_SheetName_2786_"/>
      <sheetName val="_Recovered_SheetName_2787_"/>
      <sheetName val="_Recovered_SheetName_2788_"/>
      <sheetName val="_Recovered_SheetName_2789_"/>
      <sheetName val="_Recovered_SheetName_2790_"/>
      <sheetName val="_Recovered_SheetName_2791_"/>
      <sheetName val="_Recovered_SheetName_2792_"/>
      <sheetName val="_Recovered_SheetName_2793_"/>
      <sheetName val="_Recovered_SheetName_2794_"/>
      <sheetName val="_Recovered_SheetName_2795_"/>
      <sheetName val="_Recovered_SheetName_2796_"/>
      <sheetName val="_Recovered_SheetName_2797_"/>
      <sheetName val="_Recovered_SheetName_2798_"/>
      <sheetName val="_Recovered_SheetName_2799_"/>
      <sheetName val="_Recovered_SheetName_2800_"/>
      <sheetName val="_Recovered_SheetName_2801_"/>
      <sheetName val="_Recovered_SheetName_2802_"/>
      <sheetName val="_Recovered_SheetName_2803_"/>
      <sheetName val="_Recovered_SheetName_2804_"/>
      <sheetName val="_Recovered_SheetName_2805_"/>
      <sheetName val="_Recovered_SheetName_2806_"/>
      <sheetName val="_Recovered_SheetName_2807_"/>
      <sheetName val="_Recovered_SheetName_2808_"/>
      <sheetName val="_Recovered_SheetName_2809_"/>
      <sheetName val="_Recovered_SheetName_2810_"/>
      <sheetName val="_Recovered_SheetName_2811_"/>
      <sheetName val="_Recovered_SheetName_2812_"/>
      <sheetName val="_Recovered_SheetName_2813_"/>
      <sheetName val="_Recovered_SheetName_2814_"/>
      <sheetName val="_Recovered_SheetName_2815_"/>
      <sheetName val="_Recovered_SheetName_2816_"/>
      <sheetName val="_Recovered_SheetName_2817_"/>
      <sheetName val="_Recovered_SheetName_2818_"/>
      <sheetName val="_Recovered_SheetName_2819_"/>
      <sheetName val="_Recovered_SheetName_2820_"/>
      <sheetName val="_Recovered_SheetName_2821_"/>
      <sheetName val="_Recovered_SheetName_2822_"/>
      <sheetName val="_Recovered_SheetName_2823_"/>
      <sheetName val="_Recovered_SheetName_2824_"/>
      <sheetName val="_Recovered_SheetName_2825_"/>
      <sheetName val="_Recovered_SheetName_2826_"/>
      <sheetName val="_Recovered_SheetName_2827_"/>
      <sheetName val="_Recovered_SheetName_2828_"/>
      <sheetName val="_Recovered_SheetName_2829_"/>
      <sheetName val="_Recovered_SheetName_2830_"/>
      <sheetName val="_Recovered_SheetName_2831_"/>
      <sheetName val="_Recovered_SheetName_2832_"/>
      <sheetName val="_Recovered_SheetName_2833_"/>
      <sheetName val="_Recovered_SheetName_2834_"/>
      <sheetName val="_Recovered_SheetName_2835_"/>
      <sheetName val="_Recovered_SheetName_2836_"/>
      <sheetName val="_Recovered_SheetName_2837_"/>
      <sheetName val="_Recovered_SheetName_2838_"/>
      <sheetName val="_Recovered_SheetName_2839_"/>
      <sheetName val="_Recovered_SheetName_2840_"/>
      <sheetName val="_Recovered_SheetName_2841_"/>
      <sheetName val="_Recovered_SheetName_2842_"/>
      <sheetName val="_Recovered_SheetName_2843_"/>
      <sheetName val="_Recovered_SheetName_2844_"/>
      <sheetName val="_Recovered_SheetName_2845_"/>
      <sheetName val="_Recovered_SheetName_2846_"/>
      <sheetName val="_Recovered_SheetName_2847_"/>
      <sheetName val="_Recovered_SheetName_2848_"/>
      <sheetName val="_Recovered_SheetName_2849_"/>
      <sheetName val="_Recovered_SheetName_2850_"/>
      <sheetName val="_Recovered_SheetName_2851_"/>
      <sheetName val="_Recovered_SheetName_2852_"/>
      <sheetName val="_Recovered_SheetName_2853_"/>
      <sheetName val="_Recovered_SheetName_2854_"/>
      <sheetName val="_Recovered_SheetName_2855_"/>
      <sheetName val="_Recovered_SheetName_2856_"/>
      <sheetName val="_Recovered_SheetName_2857_"/>
      <sheetName val="_Recovered_SheetName_2858_"/>
      <sheetName val="_Recovered_SheetName_2859_"/>
      <sheetName val="_Recovered_SheetName_2860_"/>
      <sheetName val="_Recovered_SheetName_2861_"/>
      <sheetName val="_Recovered_SheetName_2862_"/>
      <sheetName val="_Recovered_SheetName_2863_"/>
      <sheetName val="_Recovered_SheetName_2864_"/>
      <sheetName val="_Recovered_SheetName_2865_"/>
      <sheetName val="_Recovered_SheetName_2866_"/>
      <sheetName val="_Recovered_SheetName_2867_"/>
      <sheetName val="_Recovered_SheetName_2868_"/>
      <sheetName val="_Recovered_SheetName_2869_"/>
      <sheetName val="_Recovered_SheetName_2870_"/>
      <sheetName val="_Recovered_SheetName_2871_"/>
      <sheetName val="_Recovered_SheetName_2872_"/>
      <sheetName val="_Recovered_SheetName_2873_"/>
      <sheetName val="_Recovered_SheetName_2874_"/>
      <sheetName val="_Recovered_SheetName_2875_"/>
      <sheetName val="_Recovered_SheetName_2876_"/>
      <sheetName val="_Recovered_SheetName_2877_"/>
      <sheetName val="_Recovered_SheetName_2878_"/>
      <sheetName val="_Recovered_SheetName_2879_"/>
      <sheetName val="_Recovered_SheetName_2880_"/>
      <sheetName val="_Recovered_SheetName_2881_"/>
      <sheetName val="_Recovered_SheetName_2882_"/>
      <sheetName val="_Recovered_SheetName_2883_"/>
      <sheetName val="_Recovered_SheetName_2884_"/>
      <sheetName val="_Recovered_SheetName_2885_"/>
      <sheetName val="_Recovered_SheetName_2886_"/>
      <sheetName val="_Recovered_SheetName_2887_"/>
      <sheetName val="_Recovered_SheetName_2888_"/>
      <sheetName val="_Recovered_SheetName_2889_"/>
      <sheetName val="_Recovered_SheetName_2890_"/>
      <sheetName val="_Recovered_SheetName_2891_"/>
      <sheetName val="_Recovered_SheetName_2892_"/>
      <sheetName val="_Recovered_SheetName_2893_"/>
      <sheetName val="_Recovered_SheetName_2894_"/>
      <sheetName val="_Recovered_SheetName_2895_"/>
      <sheetName val="_Recovered_SheetName_2896_"/>
      <sheetName val="_Recovered_SheetName_2897_"/>
      <sheetName val="_Recovered_SheetName_2898_"/>
      <sheetName val="_Recovered_SheetName_2899_"/>
      <sheetName val="_Recovered_SheetName_2900_"/>
      <sheetName val="_Recovered_SheetName_2901_"/>
      <sheetName val="_Recovered_SheetName_2902_"/>
      <sheetName val="_Recovered_SheetName_2903_"/>
      <sheetName val="_Recovered_SheetName_2904_"/>
      <sheetName val="_Recovered_SheetName_2905_"/>
      <sheetName val="_Recovered_SheetName_2906_"/>
      <sheetName val="_Recovered_SheetName_2907_"/>
      <sheetName val="_Recovered_SheetName_2908_"/>
      <sheetName val="_Recovered_SheetName_2909_"/>
      <sheetName val="_Recovered_SheetName_2910_"/>
      <sheetName val="_Recovered_SheetName_2911_"/>
      <sheetName val="_Recovered_SheetName_2912_"/>
      <sheetName val="_Recovered_SheetName_2913_"/>
      <sheetName val="_Recovered_SheetName_2914_"/>
      <sheetName val="_Recovered_SheetName_2915_"/>
      <sheetName val="_Recovered_SheetName_2916_"/>
      <sheetName val="_Recovered_SheetName_2917_"/>
      <sheetName val="_Recovered_SheetName_2918_"/>
      <sheetName val="_Recovered_SheetName_2919_"/>
      <sheetName val="_Recovered_SheetName_2920_"/>
      <sheetName val="_Recovered_SheetName_2921_"/>
      <sheetName val="_Recovered_SheetName_2922_"/>
      <sheetName val="_Recovered_SheetName_2923_"/>
      <sheetName val="_Recovered_SheetName_2924_"/>
      <sheetName val="_Recovered_SheetName_2925_"/>
      <sheetName val="_Recovered_SheetName_2926_"/>
      <sheetName val="_Recovered_SheetName_2927_"/>
      <sheetName val="_Recovered_SheetName_2928_"/>
      <sheetName val="_Recovered_SheetName_2929_"/>
      <sheetName val="_Recovered_SheetName_2930_"/>
      <sheetName val="_Recovered_SheetName_2931_"/>
      <sheetName val="_Recovered_SheetName_2932_"/>
      <sheetName val="_Recovered_SheetName_2933_"/>
      <sheetName val="_Recovered_SheetName_2934_"/>
      <sheetName val="_Recovered_SheetName_2935_"/>
      <sheetName val="_Recovered_SheetName_2936_"/>
      <sheetName val="_Recovered_SheetName_2937_"/>
      <sheetName val="_Recovered_SheetName_2938_"/>
      <sheetName val="_Recovered_SheetName_2939_"/>
      <sheetName val="_Recovered_SheetName_2940_"/>
      <sheetName val="_Recovered_SheetName_2941_"/>
      <sheetName val="_Recovered_SheetName_2942_"/>
      <sheetName val="_Recovered_SheetName_2943_"/>
      <sheetName val="_Recovered_SheetName_2944_"/>
      <sheetName val="_Recovered_SheetName_2945_"/>
      <sheetName val="_Recovered_SheetName_2946_"/>
      <sheetName val="_Recovered_SheetName_2947_"/>
      <sheetName val="_Recovered_SheetName_2948_"/>
      <sheetName val="_Recovered_SheetName_2949_"/>
      <sheetName val="_Recovered_SheetName_2950_"/>
      <sheetName val="_Recovered_SheetName_2951_"/>
      <sheetName val="_Recovered_SheetName_2952_"/>
      <sheetName val="_Recovered_SheetName_2953_"/>
      <sheetName val="_Recovered_SheetName_2954_"/>
      <sheetName val="_Recovered_SheetName_2955_"/>
      <sheetName val="_Recovered_SheetName_2956_"/>
      <sheetName val="_Recovered_SheetName_2957_"/>
      <sheetName val="_Recovered_SheetName_2958_"/>
      <sheetName val="_Recovered_SheetName_2959_"/>
      <sheetName val="_Recovered_SheetName_2960_"/>
      <sheetName val="_Recovered_SheetName_2961_"/>
      <sheetName val="_Recovered_SheetName_2962_"/>
      <sheetName val="_Recovered_SheetName_2963_"/>
      <sheetName val="_Recovered_SheetName_2964_"/>
      <sheetName val="_Recovered_SheetName_2965_"/>
      <sheetName val="_Recovered_SheetName_2966_"/>
      <sheetName val="_Recovered_SheetName_2967_"/>
      <sheetName val="_Recovered_SheetName_2968_"/>
      <sheetName val="_Recovered_SheetName_2969_"/>
      <sheetName val="_Recovered_SheetName_2970_"/>
      <sheetName val="_Recovered_SheetName_2971_"/>
      <sheetName val="_Recovered_SheetName_2972_"/>
      <sheetName val="_Recovered_SheetName_2973_"/>
      <sheetName val="_Recovered_SheetName_2974_"/>
      <sheetName val="_Recovered_SheetName_2975_"/>
      <sheetName val="_Recovered_SheetName_2976_"/>
      <sheetName val="_Recovered_SheetName_2977_"/>
      <sheetName val="_Recovered_SheetName_2978_"/>
      <sheetName val="_Recovered_SheetName_2979_"/>
      <sheetName val="_Recovered_SheetName_2980_"/>
      <sheetName val="_Recovered_SheetName_2981_"/>
      <sheetName val="_Recovered_SheetName_2982_"/>
      <sheetName val="_Recovered_SheetName_2983_"/>
      <sheetName val="_Recovered_SheetName_2984_"/>
      <sheetName val="_Recovered_SheetName_2985_"/>
      <sheetName val="_Recovered_SheetName_2986_"/>
      <sheetName val="_Recovered_SheetName_2987_"/>
      <sheetName val="_Recovered_SheetName_2988_"/>
      <sheetName val="_Recovered_SheetName_2989_"/>
      <sheetName val="_Recovered_SheetName_2990_"/>
      <sheetName val="_Recovered_SheetName_2991_"/>
      <sheetName val="_Recovered_SheetName_2992_"/>
      <sheetName val="_Recovered_SheetName_2993_"/>
      <sheetName val="_Recovered_SheetName_2994_"/>
      <sheetName val="_Recovered_SheetName_2995_"/>
      <sheetName val="_Recovered_SheetName_2996_"/>
      <sheetName val="_Recovered_SheetName_2997_"/>
      <sheetName val="_Recovered_SheetName_2998_"/>
      <sheetName val="_Recovered_SheetName_2999_"/>
      <sheetName val="_Recovered_SheetName_3000_"/>
      <sheetName val="_Recovered_SheetName_3001_"/>
      <sheetName val="_Recovered_SheetName_3002_"/>
      <sheetName val="_Recovered_SheetName_3003_"/>
      <sheetName val="_Recovered_SheetName_3004_"/>
      <sheetName val="_Recovered_SheetName_3005_"/>
      <sheetName val="_Recovered_SheetName_3006_"/>
      <sheetName val="_Recovered_SheetName_3007_"/>
      <sheetName val="_Recovered_SheetName_3008_"/>
      <sheetName val="_Recovered_SheetName_3009_"/>
      <sheetName val="_Recovered_SheetName_3010_"/>
      <sheetName val="_Recovered_SheetName_3011_"/>
      <sheetName val="_Recovered_SheetName_3012_"/>
      <sheetName val="_Recovered_SheetName_3013_"/>
      <sheetName val="_Recovered_SheetName_3014_"/>
      <sheetName val="_Recovered_SheetName_3015_"/>
      <sheetName val="_Recovered_SheetName_3016_"/>
      <sheetName val="_Recovered_SheetName_3017_"/>
      <sheetName val="_Recovered_SheetName_3018_"/>
      <sheetName val="_Recovered_SheetName_3019_"/>
      <sheetName val="_Recovered_SheetName_3020_"/>
      <sheetName val="_Recovered_SheetName_3021_"/>
      <sheetName val="_Recovered_SheetName_3022_"/>
      <sheetName val="_Recovered_SheetName_3023_"/>
      <sheetName val="_Recovered_SheetName_3024_"/>
      <sheetName val="_Recovered_SheetName_3025_"/>
      <sheetName val="_Recovered_SheetName_3026_"/>
      <sheetName val="_Recovered_SheetName_3027_"/>
      <sheetName val="_Recovered_SheetName_3028_"/>
      <sheetName val="_Recovered_SheetName_3029_"/>
      <sheetName val="_Recovered_SheetName_3030_"/>
      <sheetName val="_Recovered_SheetName_3031_"/>
      <sheetName val="_Recovered_SheetName_3032_"/>
      <sheetName val="_Recovered_SheetName_3033_"/>
      <sheetName val="_Recovered_SheetName_3034_"/>
      <sheetName val="_Recovered_SheetName_3035_"/>
      <sheetName val="_Recovered_SheetName_3036_"/>
      <sheetName val="_Recovered_SheetName_3037_"/>
      <sheetName val="_Recovered_SheetName_3038_"/>
      <sheetName val="_Recovered_SheetName_3039_"/>
      <sheetName val="_Recovered_SheetName_3040_"/>
      <sheetName val="_Recovered_SheetName_3041_"/>
      <sheetName val="_Recovered_SheetName_3042_"/>
      <sheetName val="_Recovered_SheetName_3043_"/>
      <sheetName val="_Recovered_SheetName_3044_"/>
      <sheetName val="_Recovered_SheetName_3045_"/>
      <sheetName val="_Recovered_SheetName_3046_"/>
      <sheetName val="_Recovered_SheetName_3047_"/>
      <sheetName val="_Recovered_SheetName_3048_"/>
      <sheetName val="_Recovered_SheetName_3049_"/>
      <sheetName val="_Recovered_SheetName_3050_"/>
      <sheetName val="_Recovered_SheetName_3051_"/>
      <sheetName val="_Recovered_SheetName_3052_"/>
      <sheetName val="_Recovered_SheetName_3053_"/>
      <sheetName val="_Recovered_SheetName_3054_"/>
      <sheetName val="_Recovered_SheetName_3055_"/>
      <sheetName val="_Recovered_SheetName_3056_"/>
      <sheetName val="_Recovered_SheetName_3057_"/>
      <sheetName val="_Recovered_SheetName_3058_"/>
      <sheetName val="_Recovered_SheetName_3059_"/>
      <sheetName val="_Recovered_SheetName_3060_"/>
      <sheetName val="_Recovered_SheetName_3061_"/>
      <sheetName val="_Recovered_SheetName_3062_"/>
      <sheetName val="_Recovered_SheetName_3063_"/>
      <sheetName val="_Recovered_SheetName_3064_"/>
      <sheetName val="_Recovered_SheetName_3065_"/>
      <sheetName val="_Recovered_SheetName_3066_"/>
      <sheetName val="_Recovered_SheetName_3067_"/>
      <sheetName val="_Recovered_SheetName_3068_"/>
      <sheetName val="_Recovered_SheetName_3069_"/>
      <sheetName val="_Recovered_SheetName_3070_"/>
      <sheetName val="_Recovered_SheetName_3071_"/>
      <sheetName val="_Recovered_SheetName_3072_"/>
      <sheetName val="_Recovered_SheetName_3073_"/>
      <sheetName val="_Recovered_SheetName_3074_"/>
      <sheetName val="_Recovered_SheetName_3075_"/>
      <sheetName val="_Recovered_SheetName_3076_"/>
      <sheetName val="_Recovered_SheetName_3077_"/>
      <sheetName val="_Recovered_SheetName_3078_"/>
      <sheetName val="_Recovered_SheetName_3079_"/>
      <sheetName val="_Recovered_SheetName_3080_"/>
      <sheetName val="_Recovered_SheetName_3081_"/>
      <sheetName val="_Recovered_SheetName_3082_"/>
      <sheetName val="_Recovered_SheetName_3083_"/>
      <sheetName val="_Recovered_SheetName_3084_"/>
      <sheetName val="_Recovered_SheetName_3085_"/>
      <sheetName val="_Recovered_SheetName_3086_"/>
      <sheetName val="_Recovered_SheetName_3087_"/>
      <sheetName val="_Recovered_SheetName_3088_"/>
      <sheetName val="_Recovered_SheetName_3089_"/>
      <sheetName val="_Recovered_SheetName_3090_"/>
      <sheetName val="_Recovered_SheetName_3091_"/>
      <sheetName val="_Recovered_SheetName_3092_"/>
      <sheetName val="_Recovered_SheetName_3093_"/>
      <sheetName val="_Recovered_SheetName_3094_"/>
      <sheetName val="_Recovered_SheetName_3095_"/>
      <sheetName val="_Recovered_SheetName_3096_"/>
      <sheetName val="_Recovered_SheetName_3097_"/>
      <sheetName val="_Recovered_SheetName_3098_"/>
      <sheetName val="_Recovered_SheetName_3099_"/>
      <sheetName val="_Recovered_SheetName_3100_"/>
      <sheetName val="_Recovered_SheetName_3101_"/>
      <sheetName val="_Recovered_SheetName_3102_"/>
      <sheetName val="_Recovered_SheetName_3103_"/>
      <sheetName val="_Recovered_SheetName_3104_"/>
      <sheetName val="_Recovered_SheetName_3105_"/>
      <sheetName val="_Recovered_SheetName_3106_"/>
      <sheetName val="_Recovered_SheetName_3107_"/>
      <sheetName val="_Recovered_SheetName_3108_"/>
      <sheetName val="_Recovered_SheetName_3109_"/>
      <sheetName val="_Recovered_SheetName_3110_"/>
      <sheetName val="_Recovered_SheetName_3111_"/>
      <sheetName val="_Recovered_SheetName_3112_"/>
      <sheetName val="_Recovered_SheetName_3113_"/>
      <sheetName val="_Recovered_SheetName_3114_"/>
      <sheetName val="_Recovered_SheetName_3115_"/>
      <sheetName val="_Recovered_SheetName_3116_"/>
      <sheetName val="_Recovered_SheetName_3117_"/>
      <sheetName val="_Recovered_SheetName_3118_"/>
      <sheetName val="_Recovered_SheetName_3119_"/>
      <sheetName val="_Recovered_SheetName_3120_"/>
      <sheetName val="_Recovered_SheetName_3121_"/>
      <sheetName val="_Recovered_SheetName_3122_"/>
      <sheetName val="_Recovered_SheetName_3123_"/>
      <sheetName val="_Recovered_SheetName_3124_"/>
      <sheetName val="_Recovered_SheetName_3125_"/>
      <sheetName val="_Recovered_SheetName_3126_"/>
      <sheetName val="_Recovered_SheetName_3127_"/>
      <sheetName val="_Recovered_SheetName_3128_"/>
      <sheetName val="_Recovered_SheetName_3129_"/>
      <sheetName val="_Recovered_SheetName_3130_"/>
      <sheetName val="_Recovered_SheetName_3131_"/>
      <sheetName val="_Recovered_SheetName_3132_"/>
      <sheetName val="_Recovered_SheetName_3133_"/>
      <sheetName val="_Recovered_SheetName_3134_"/>
      <sheetName val="_Recovered_SheetName_3135_"/>
      <sheetName val="_Recovered_SheetName_3136_"/>
      <sheetName val="_Recovered_SheetName_3137_"/>
      <sheetName val="_Recovered_SheetName_3138_"/>
      <sheetName val="_Recovered_SheetName_3139_"/>
      <sheetName val="_Recovered_SheetName_3140_"/>
      <sheetName val="Rates"/>
      <sheetName val="Conc-BP"/>
      <sheetName val="Measurements"/>
      <sheetName val="Tables"/>
      <sheetName val="Flooring"/>
      <sheetName val="Ceilings"/>
      <sheetName val="ACAD Finishes"/>
      <sheetName val="Site Details"/>
      <sheetName val="Chair"/>
      <sheetName val="Site Area Statement"/>
      <sheetName val="Doors"/>
      <sheetName val="s"/>
      <sheetName val="Data (adj."/>
      <sheetName val="4K - (6a) Non Manual Breakdown"/>
      <sheetName val="Analy_7-10"/>
      <sheetName val="Angles"/>
      <sheetName val="Final VA"/>
      <sheetName val="Aseet1998"/>
      <sheetName val="ETC Plant Cost"/>
      <sheetName val="Itemised"/>
      <sheetName val="BALAN1"/>
      <sheetName val="Lookup"/>
      <sheetName val="Load Details(B1)"/>
      <sheetName val="Code"/>
      <sheetName val="starter"/>
      <sheetName val="Coalmine"/>
      <sheetName val="Settings"/>
      <sheetName val="3QLRP ( R2 MOR)"/>
      <sheetName val="FSI - 3.00"/>
      <sheetName val="2000"/>
      <sheetName val="주식"/>
      <sheetName val="Back_Cal_for OMC"/>
      <sheetName val="Ra - 16"/>
      <sheetName val="NLD - Assum"/>
      <sheetName val="Capex-fixed"/>
      <sheetName val="적용"/>
      <sheetName val="Response Spectra (UBC-1997)"/>
      <sheetName val="Response Spectra (IS1893-2002)"/>
      <sheetName val="inter"/>
      <sheetName val="proctor"/>
      <sheetName val="cov-estimate"/>
      <sheetName val="shuttering"/>
      <sheetName val="MPR_PA_1"/>
      <sheetName val="joinery "/>
      <sheetName val="18-misc"/>
      <sheetName val="GM 000"/>
      <sheetName val="Liqplan_R1"/>
      <sheetName val="S1BOQ"/>
      <sheetName val="Beams-Basement Roof T-22"/>
      <sheetName val="Phase-1stirrups"/>
      <sheetName val="SAP "/>
      <sheetName val="Material List"/>
      <sheetName val="4.4 External Plaster"/>
      <sheetName val="Cash Flow"/>
      <sheetName val="RCC Rates"/>
      <sheetName val="데이타"/>
      <sheetName val="Mix Design"/>
      <sheetName val="std-rates"/>
      <sheetName val="pt-cw"/>
      <sheetName val="Manpower"/>
      <sheetName val="TCS_South_Bound"/>
      <sheetName val="Sheet"/>
      <sheetName val="Abutment "/>
      <sheetName val="POL"/>
      <sheetName val="Cul_detail"/>
      <sheetName val="Batching&amp;Pil POL"/>
      <sheetName val="TCS_Schedule (2)"/>
      <sheetName val="Earthwork MCW"/>
      <sheetName val="TCS Proposed"/>
      <sheetName val="Elect."/>
      <sheetName val="fco"/>
      <sheetName val="Main"/>
      <sheetName val="1.02(a)"/>
      <sheetName val="1.03.iii.(b)"/>
      <sheetName val="1.03.iii.(c)"/>
      <sheetName val="8.1.1"/>
      <sheetName val="3.4"/>
      <sheetName val="8.ii.9.(a)"/>
      <sheetName val="8.ii.9.(b)"/>
      <sheetName val="2.07 Shoulder"/>
      <sheetName val="Steel Structure"/>
      <sheetName val="07"/>
      <sheetName val="Cal"/>
      <sheetName val="Evaluate"/>
      <sheetName val="EZ"/>
      <sheetName val="Existing"/>
      <sheetName val="(31)"/>
      <sheetName val="RMC_Debit_Panjar_MB"/>
      <sheetName val="RMC_Debit"/>
      <sheetName val="2.2"/>
      <sheetName val="Details_RMC"/>
      <sheetName val="Abstract (GST)"/>
      <sheetName val="1.01(C&amp;G Km-240-242)"/>
      <sheetName val="ANAL"/>
      <sheetName val="Pier"/>
      <sheetName val="Pile p"/>
      <sheetName val="5.1.1"/>
      <sheetName val="1.01 (a)"/>
      <sheetName val="REVENUES &amp; BS"/>
      <sheetName val="Price &amp; Volume"/>
      <sheetName val="TPL_RECEIPTS MB51"/>
      <sheetName val="Brazil-Russia-EuropeDecToMar-05"/>
      <sheetName val="ROW Orders for March 05"/>
      <sheetName val="PKG PO"/>
      <sheetName val="LLM DPRECEIPTS MB51"/>
      <sheetName val="PHS_RECEIPTS"/>
      <sheetName val="ZSEM stock (ympc038)"/>
      <sheetName val="MFG PO"/>
      <sheetName val="DHP (4)"/>
      <sheetName val="DHP (5)"/>
      <sheetName val="DHP (6)"/>
      <sheetName val="sc cul 2"/>
      <sheetName val="sc cul 4 "/>
      <sheetName val="SHP"/>
      <sheetName val="SHP (2)"/>
      <sheetName val="SHP (3)"/>
      <sheetName val="TRSTLS"/>
      <sheetName val="Biofor"/>
      <sheetName val="coa_ramco_168"/>
      <sheetName val="Cable-data"/>
      <sheetName val="switch"/>
      <sheetName val="ridgewood"/>
      <sheetName val="Earthing Tower-1 Superseded"/>
      <sheetName val="NOT FULL RESTRAINT"/>
      <sheetName val="BEARING &amp; BUCKLING"/>
      <sheetName val="PFC"/>
      <sheetName val="RSJ"/>
      <sheetName val="KP1590_E"/>
      <sheetName val="Material&amp;equipment"/>
      <sheetName val="Sqn_Abs_G_6_ "/>
      <sheetName val="WO_Abs _G_2_ 6 DUs"/>
      <sheetName val="Air_Abs_G_6_ 23 DUs"/>
      <sheetName val="Bed Class"/>
      <sheetName val="Cd"/>
      <sheetName val="CableList"/>
      <sheetName val="Boq Block A"/>
      <sheetName val="Annexure 2"/>
      <sheetName val="BOQ PART 1"/>
      <sheetName val="Calculation Sheet"/>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4"/>
      <sheetName val="REFERANCE DATA"/>
      <sheetName val="DOOR WINDOW"/>
      <sheetName val="A.O.R."/>
      <sheetName val="1.Civil"/>
      <sheetName val="d-safe specs"/>
      <sheetName val="Inventory"/>
      <sheetName val="M.R.1"/>
      <sheetName val="1.00"/>
      <sheetName val="KSt - Analysis "/>
      <sheetName val="Slab-1"/>
      <sheetName val="cul-invSUBMITTED"/>
      <sheetName val="RIP1"/>
      <sheetName val="Sheet1 (2)"/>
    </sheetNames>
    <sheetDataSet>
      <sheetData sheetId="0">
        <row r="8">
          <cell r="D8" t="str">
            <v>Paramaz Avedisian Building</v>
          </cell>
        </row>
        <row r="9">
          <cell r="D9" t="str">
            <v>American University of Armenia</v>
          </cell>
        </row>
        <row r="10">
          <cell r="D10" t="str">
            <v>Yeravan, Armenia</v>
          </cell>
        </row>
        <row r="12">
          <cell r="D12" t="str">
            <v>Preliminary</v>
          </cell>
        </row>
        <row r="13">
          <cell r="D13" t="str">
            <v>Bills of Quantities</v>
          </cell>
        </row>
        <row r="14">
          <cell r="D14">
            <v>37802</v>
          </cell>
        </row>
        <row r="16">
          <cell r="D16">
            <v>1686997</v>
          </cell>
        </row>
        <row r="17">
          <cell r="D17">
            <v>510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row r="8">
          <cell r="D8" t="str">
            <v>Paramaz Avedisian Building</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8">
          <cell r="D8" t="str">
            <v>Paramaz Avedisian Building</v>
          </cell>
        </row>
      </sheetData>
      <sheetData sheetId="36">
        <row r="8">
          <cell r="D8" t="str">
            <v>Paramaz Avedisian Building</v>
          </cell>
        </row>
      </sheetData>
      <sheetData sheetId="37">
        <row r="8">
          <cell r="D8" t="str">
            <v>Paramaz Avedisian Building</v>
          </cell>
        </row>
      </sheetData>
      <sheetData sheetId="38">
        <row r="8">
          <cell r="D8" t="str">
            <v>Paramaz Avedisian Building</v>
          </cell>
        </row>
      </sheetData>
      <sheetData sheetId="39">
        <row r="8">
          <cell r="D8" t="str">
            <v>Paramaz Avedisian Building</v>
          </cell>
        </row>
      </sheetData>
      <sheetData sheetId="40">
        <row r="8">
          <cell r="D8" t="str">
            <v>Paramaz Avedisian Building</v>
          </cell>
        </row>
      </sheetData>
      <sheetData sheetId="41">
        <row r="8">
          <cell r="D8" t="str">
            <v>Paramaz Avedisian Building</v>
          </cell>
        </row>
      </sheetData>
      <sheetData sheetId="42">
        <row r="8">
          <cell r="D8" t="str">
            <v>Paramaz Avedisian Building</v>
          </cell>
        </row>
      </sheetData>
      <sheetData sheetId="43">
        <row r="8">
          <cell r="D8" t="str">
            <v>Paramaz Avedisian Building</v>
          </cell>
        </row>
      </sheetData>
      <sheetData sheetId="44">
        <row r="8">
          <cell r="D8" t="str">
            <v>Paramaz Avedisian Building</v>
          </cell>
        </row>
      </sheetData>
      <sheetData sheetId="45">
        <row r="8">
          <cell r="D8" t="str">
            <v>Paramaz Avedisian Building</v>
          </cell>
        </row>
      </sheetData>
      <sheetData sheetId="46">
        <row r="8">
          <cell r="D8" t="str">
            <v>Paramaz Avedisian Building</v>
          </cell>
        </row>
      </sheetData>
      <sheetData sheetId="47">
        <row r="8">
          <cell r="D8" t="str">
            <v>Paramaz Avedisian Building</v>
          </cell>
        </row>
      </sheetData>
      <sheetData sheetId="48">
        <row r="8">
          <cell r="D8" t="str">
            <v>Paramaz Avedisian Building</v>
          </cell>
        </row>
      </sheetData>
      <sheetData sheetId="49">
        <row r="8">
          <cell r="D8" t="str">
            <v>Paramaz Avedisian Building</v>
          </cell>
        </row>
      </sheetData>
      <sheetData sheetId="50">
        <row r="8">
          <cell r="D8" t="str">
            <v>Paramaz Avedisian Building</v>
          </cell>
        </row>
      </sheetData>
      <sheetData sheetId="51">
        <row r="8">
          <cell r="D8" t="str">
            <v>Paramaz Avedisian Building</v>
          </cell>
        </row>
      </sheetData>
      <sheetData sheetId="52">
        <row r="8">
          <cell r="D8" t="str">
            <v>Paramaz Avedisian Building</v>
          </cell>
        </row>
      </sheetData>
      <sheetData sheetId="53">
        <row r="8">
          <cell r="D8" t="str">
            <v>Paramaz Avedisian Building</v>
          </cell>
        </row>
      </sheetData>
      <sheetData sheetId="54">
        <row r="8">
          <cell r="D8" t="str">
            <v>Paramaz Avedisian Building</v>
          </cell>
        </row>
      </sheetData>
      <sheetData sheetId="55">
        <row r="8">
          <cell r="D8" t="str">
            <v>Paramaz Avedisian Building</v>
          </cell>
        </row>
      </sheetData>
      <sheetData sheetId="56">
        <row r="8">
          <cell r="D8" t="str">
            <v>Paramaz Avedisian Building</v>
          </cell>
        </row>
      </sheetData>
      <sheetData sheetId="57">
        <row r="8">
          <cell r="D8" t="str">
            <v>Paramaz Avedisian Building</v>
          </cell>
        </row>
      </sheetData>
      <sheetData sheetId="58">
        <row r="8">
          <cell r="D8" t="str">
            <v>Paramaz Avedisian Building</v>
          </cell>
        </row>
      </sheetData>
      <sheetData sheetId="59">
        <row r="8">
          <cell r="D8" t="str">
            <v>Paramaz Avedisian Building</v>
          </cell>
        </row>
      </sheetData>
      <sheetData sheetId="60">
        <row r="8">
          <cell r="D8" t="str">
            <v>Paramaz Avedisian Building</v>
          </cell>
        </row>
      </sheetData>
      <sheetData sheetId="61"/>
      <sheetData sheetId="62">
        <row r="8">
          <cell r="D8" t="str">
            <v>Paramaz Avedisian Building</v>
          </cell>
        </row>
      </sheetData>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row r="8">
          <cell r="D8" t="str">
            <v>Paramaz Avedisian Building</v>
          </cell>
        </row>
      </sheetData>
      <sheetData sheetId="285">
        <row r="8">
          <cell r="D8" t="str">
            <v>Paramaz Avedisian Building</v>
          </cell>
        </row>
      </sheetData>
      <sheetData sheetId="286">
        <row r="8">
          <cell r="D8" t="str">
            <v>Paramaz Avedisian Building</v>
          </cell>
        </row>
      </sheetData>
      <sheetData sheetId="287">
        <row r="8">
          <cell r="D8" t="str">
            <v>Paramaz Avedisian Building</v>
          </cell>
        </row>
      </sheetData>
      <sheetData sheetId="288">
        <row r="8">
          <cell r="D8" t="str">
            <v>Paramaz Avedisian Building</v>
          </cell>
        </row>
      </sheetData>
      <sheetData sheetId="289">
        <row r="8">
          <cell r="D8" t="str">
            <v>Paramaz Avedisian Building</v>
          </cell>
        </row>
      </sheetData>
      <sheetData sheetId="290">
        <row r="8">
          <cell r="D8" t="str">
            <v>Paramaz Avedisian Building</v>
          </cell>
        </row>
      </sheetData>
      <sheetData sheetId="291">
        <row r="8">
          <cell r="D8" t="str">
            <v>Paramaz Avedisian Building</v>
          </cell>
        </row>
      </sheetData>
      <sheetData sheetId="292">
        <row r="8">
          <cell r="D8" t="str">
            <v>Paramaz Avedisian Building</v>
          </cell>
        </row>
      </sheetData>
      <sheetData sheetId="293">
        <row r="8">
          <cell r="D8" t="str">
            <v>Paramaz Avedisian Building</v>
          </cell>
        </row>
      </sheetData>
      <sheetData sheetId="294">
        <row r="8">
          <cell r="D8" t="str">
            <v>Paramaz Avedisian Building</v>
          </cell>
        </row>
      </sheetData>
      <sheetData sheetId="295">
        <row r="8">
          <cell r="D8" t="str">
            <v>Paramaz Avedisian Building</v>
          </cell>
        </row>
      </sheetData>
      <sheetData sheetId="296">
        <row r="8">
          <cell r="D8" t="str">
            <v>Paramaz Avedisian Building</v>
          </cell>
        </row>
      </sheetData>
      <sheetData sheetId="297">
        <row r="8">
          <cell r="D8" t="str">
            <v>Paramaz Avedisian Building</v>
          </cell>
        </row>
      </sheetData>
      <sheetData sheetId="298">
        <row r="8">
          <cell r="D8" t="str">
            <v>Paramaz Avedisian Building</v>
          </cell>
        </row>
      </sheetData>
      <sheetData sheetId="299">
        <row r="8">
          <cell r="D8" t="str">
            <v>Paramaz Avedisian Building</v>
          </cell>
        </row>
      </sheetData>
      <sheetData sheetId="300">
        <row r="8">
          <cell r="D8" t="str">
            <v>Paramaz Avedisian Building</v>
          </cell>
        </row>
      </sheetData>
      <sheetData sheetId="301">
        <row r="8">
          <cell r="D8" t="str">
            <v>Paramaz Avedisian Building</v>
          </cell>
        </row>
      </sheetData>
      <sheetData sheetId="302">
        <row r="8">
          <cell r="D8" t="str">
            <v>Paramaz Avedisian Building</v>
          </cell>
        </row>
      </sheetData>
      <sheetData sheetId="303">
        <row r="8">
          <cell r="D8" t="str">
            <v>Paramaz Avedisian Building</v>
          </cell>
        </row>
      </sheetData>
      <sheetData sheetId="304">
        <row r="8">
          <cell r="D8" t="str">
            <v>Paramaz Avedisian Building</v>
          </cell>
        </row>
      </sheetData>
      <sheetData sheetId="305">
        <row r="8">
          <cell r="D8" t="str">
            <v>Paramaz Avedisian Building</v>
          </cell>
        </row>
      </sheetData>
      <sheetData sheetId="306">
        <row r="8">
          <cell r="D8" t="str">
            <v>Paramaz Avedisian Building</v>
          </cell>
        </row>
      </sheetData>
      <sheetData sheetId="307">
        <row r="8">
          <cell r="D8" t="str">
            <v>Paramaz Avedisian Building</v>
          </cell>
        </row>
      </sheetData>
      <sheetData sheetId="308">
        <row r="8">
          <cell r="D8" t="str">
            <v>Paramaz Avedisian Building</v>
          </cell>
        </row>
      </sheetData>
      <sheetData sheetId="309">
        <row r="8">
          <cell r="D8" t="str">
            <v>Paramaz Avedisian Building</v>
          </cell>
        </row>
      </sheetData>
      <sheetData sheetId="310">
        <row r="8">
          <cell r="D8" t="str">
            <v>Paramaz Avedisian Building</v>
          </cell>
        </row>
      </sheetData>
      <sheetData sheetId="311">
        <row r="8">
          <cell r="D8" t="str">
            <v>Paramaz Avedisian Building</v>
          </cell>
        </row>
      </sheetData>
      <sheetData sheetId="312">
        <row r="8">
          <cell r="D8" t="str">
            <v>Paramaz Avedisian Building</v>
          </cell>
        </row>
      </sheetData>
      <sheetData sheetId="313">
        <row r="8">
          <cell r="D8" t="str">
            <v>Paramaz Avedisian Building</v>
          </cell>
        </row>
      </sheetData>
      <sheetData sheetId="314">
        <row r="8">
          <cell r="D8" t="str">
            <v>Paramaz Avedisian Building</v>
          </cell>
        </row>
      </sheetData>
      <sheetData sheetId="315">
        <row r="8">
          <cell r="D8" t="str">
            <v>Paramaz Avedisian Building</v>
          </cell>
        </row>
      </sheetData>
      <sheetData sheetId="316">
        <row r="8">
          <cell r="D8" t="str">
            <v>Paramaz Avedisian Building</v>
          </cell>
        </row>
      </sheetData>
      <sheetData sheetId="317">
        <row r="8">
          <cell r="D8" t="str">
            <v>Paramaz Avedisian Building</v>
          </cell>
        </row>
      </sheetData>
      <sheetData sheetId="318">
        <row r="8">
          <cell r="D8" t="str">
            <v>Paramaz Avedisian Building</v>
          </cell>
        </row>
      </sheetData>
      <sheetData sheetId="319">
        <row r="8">
          <cell r="D8" t="str">
            <v>Paramaz Avedisian Building</v>
          </cell>
        </row>
      </sheetData>
      <sheetData sheetId="320">
        <row r="8">
          <cell r="D8" t="str">
            <v>Paramaz Avedisian Building</v>
          </cell>
        </row>
      </sheetData>
      <sheetData sheetId="321">
        <row r="8">
          <cell r="D8" t="str">
            <v>Paramaz Avedisian Building</v>
          </cell>
        </row>
      </sheetData>
      <sheetData sheetId="322">
        <row r="8">
          <cell r="D8" t="str">
            <v>Paramaz Avedisian Building</v>
          </cell>
        </row>
      </sheetData>
      <sheetData sheetId="323">
        <row r="8">
          <cell r="D8" t="str">
            <v>Paramaz Avedisian Building</v>
          </cell>
        </row>
      </sheetData>
      <sheetData sheetId="324">
        <row r="8">
          <cell r="D8" t="str">
            <v>Paramaz Avedisian Building</v>
          </cell>
        </row>
      </sheetData>
      <sheetData sheetId="325">
        <row r="8">
          <cell r="D8" t="str">
            <v>Paramaz Avedisian Building</v>
          </cell>
        </row>
      </sheetData>
      <sheetData sheetId="326">
        <row r="8">
          <cell r="D8" t="str">
            <v>Paramaz Avedisian Building</v>
          </cell>
        </row>
      </sheetData>
      <sheetData sheetId="327">
        <row r="8">
          <cell r="D8" t="str">
            <v>Paramaz Avedisian Building</v>
          </cell>
        </row>
      </sheetData>
      <sheetData sheetId="328">
        <row r="8">
          <cell r="D8" t="str">
            <v>Paramaz Avedisian Building</v>
          </cell>
        </row>
      </sheetData>
      <sheetData sheetId="329">
        <row r="8">
          <cell r="D8" t="str">
            <v>Paramaz Avedisian Building</v>
          </cell>
        </row>
      </sheetData>
      <sheetData sheetId="330">
        <row r="8">
          <cell r="D8" t="str">
            <v>Paramaz Avedisian Building</v>
          </cell>
        </row>
      </sheetData>
      <sheetData sheetId="331">
        <row r="8">
          <cell r="D8" t="str">
            <v>Paramaz Avedisian Building</v>
          </cell>
        </row>
      </sheetData>
      <sheetData sheetId="332">
        <row r="8">
          <cell r="D8" t="str">
            <v>Paramaz Avedisian Building</v>
          </cell>
        </row>
      </sheetData>
      <sheetData sheetId="333">
        <row r="8">
          <cell r="D8" t="str">
            <v>Paramaz Avedisian Building</v>
          </cell>
        </row>
      </sheetData>
      <sheetData sheetId="334">
        <row r="8">
          <cell r="D8" t="str">
            <v>Paramaz Avedisian Building</v>
          </cell>
        </row>
      </sheetData>
      <sheetData sheetId="335">
        <row r="8">
          <cell r="D8" t="str">
            <v>Paramaz Avedisian Building</v>
          </cell>
        </row>
      </sheetData>
      <sheetData sheetId="336">
        <row r="8">
          <cell r="D8" t="str">
            <v>Paramaz Avedisian Building</v>
          </cell>
        </row>
      </sheetData>
      <sheetData sheetId="337">
        <row r="8">
          <cell r="D8" t="str">
            <v>Paramaz Avedisian Building</v>
          </cell>
        </row>
      </sheetData>
      <sheetData sheetId="338">
        <row r="8">
          <cell r="D8" t="str">
            <v>Paramaz Avedisian Building</v>
          </cell>
        </row>
      </sheetData>
      <sheetData sheetId="339">
        <row r="8">
          <cell r="D8" t="str">
            <v>Paramaz Avedisian Building</v>
          </cell>
        </row>
      </sheetData>
      <sheetData sheetId="340">
        <row r="8">
          <cell r="D8" t="str">
            <v>Paramaz Avedisian Building</v>
          </cell>
        </row>
      </sheetData>
      <sheetData sheetId="341">
        <row r="8">
          <cell r="D8" t="str">
            <v>Paramaz Avedisian Building</v>
          </cell>
        </row>
      </sheetData>
      <sheetData sheetId="342">
        <row r="8">
          <cell r="D8" t="str">
            <v>Paramaz Avedisian Building</v>
          </cell>
        </row>
      </sheetData>
      <sheetData sheetId="343">
        <row r="8">
          <cell r="D8" t="str">
            <v>Paramaz Avedisian Building</v>
          </cell>
        </row>
      </sheetData>
      <sheetData sheetId="344">
        <row r="8">
          <cell r="D8" t="str">
            <v>Paramaz Avedisian Building</v>
          </cell>
        </row>
      </sheetData>
      <sheetData sheetId="345">
        <row r="8">
          <cell r="D8" t="str">
            <v>Paramaz Avedisian Building</v>
          </cell>
        </row>
      </sheetData>
      <sheetData sheetId="346">
        <row r="8">
          <cell r="D8" t="str">
            <v>Paramaz Avedisian Building</v>
          </cell>
        </row>
      </sheetData>
      <sheetData sheetId="347">
        <row r="8">
          <cell r="D8" t="str">
            <v>Paramaz Avedisian Building</v>
          </cell>
        </row>
      </sheetData>
      <sheetData sheetId="348">
        <row r="8">
          <cell r="D8" t="str">
            <v>Paramaz Avedisian Building</v>
          </cell>
        </row>
      </sheetData>
      <sheetData sheetId="349">
        <row r="8">
          <cell r="D8" t="str">
            <v>Paramaz Avedisian Building</v>
          </cell>
        </row>
      </sheetData>
      <sheetData sheetId="350">
        <row r="8">
          <cell r="D8" t="str">
            <v>Paramaz Avedisian Building</v>
          </cell>
        </row>
      </sheetData>
      <sheetData sheetId="351">
        <row r="8">
          <cell r="D8" t="str">
            <v>Paramaz Avedisian Building</v>
          </cell>
        </row>
      </sheetData>
      <sheetData sheetId="352">
        <row r="8">
          <cell r="D8" t="str">
            <v>Paramaz Avedisian Building</v>
          </cell>
        </row>
      </sheetData>
      <sheetData sheetId="353">
        <row r="8">
          <cell r="D8" t="str">
            <v>Paramaz Avedisian Building</v>
          </cell>
        </row>
      </sheetData>
      <sheetData sheetId="354">
        <row r="8">
          <cell r="D8" t="str">
            <v>Paramaz Avedisian Building</v>
          </cell>
        </row>
      </sheetData>
      <sheetData sheetId="355">
        <row r="8">
          <cell r="D8" t="str">
            <v>Paramaz Avedisian Building</v>
          </cell>
        </row>
      </sheetData>
      <sheetData sheetId="356">
        <row r="8">
          <cell r="D8" t="str">
            <v>Paramaz Avedisian Building</v>
          </cell>
        </row>
      </sheetData>
      <sheetData sheetId="357">
        <row r="8">
          <cell r="D8" t="str">
            <v>Paramaz Avedisian Building</v>
          </cell>
        </row>
      </sheetData>
      <sheetData sheetId="358">
        <row r="8">
          <cell r="D8" t="str">
            <v>Paramaz Avedisian Building</v>
          </cell>
        </row>
      </sheetData>
      <sheetData sheetId="359">
        <row r="8">
          <cell r="D8" t="str">
            <v>Paramaz Avedisian Building</v>
          </cell>
        </row>
      </sheetData>
      <sheetData sheetId="360">
        <row r="8">
          <cell r="D8" t="str">
            <v>Paramaz Avedisian Building</v>
          </cell>
        </row>
      </sheetData>
      <sheetData sheetId="361">
        <row r="8">
          <cell r="D8" t="str">
            <v>Paramaz Avedisian Building</v>
          </cell>
        </row>
      </sheetData>
      <sheetData sheetId="362">
        <row r="8">
          <cell r="D8" t="str">
            <v>Paramaz Avedisian Building</v>
          </cell>
        </row>
      </sheetData>
      <sheetData sheetId="363">
        <row r="8">
          <cell r="D8" t="str">
            <v>Paramaz Avedisian Building</v>
          </cell>
        </row>
      </sheetData>
      <sheetData sheetId="364">
        <row r="8">
          <cell r="D8" t="str">
            <v>Paramaz Avedisian Building</v>
          </cell>
        </row>
      </sheetData>
      <sheetData sheetId="365">
        <row r="8">
          <cell r="D8" t="str">
            <v>Paramaz Avedisian Building</v>
          </cell>
        </row>
      </sheetData>
      <sheetData sheetId="366">
        <row r="8">
          <cell r="D8" t="str">
            <v>Paramaz Avedisian Building</v>
          </cell>
        </row>
      </sheetData>
      <sheetData sheetId="367">
        <row r="8">
          <cell r="D8" t="str">
            <v>Paramaz Avedisian Building</v>
          </cell>
        </row>
      </sheetData>
      <sheetData sheetId="368">
        <row r="8">
          <cell r="D8" t="str">
            <v>Paramaz Avedisian Building</v>
          </cell>
        </row>
      </sheetData>
      <sheetData sheetId="369">
        <row r="8">
          <cell r="D8" t="str">
            <v>Paramaz Avedisian Building</v>
          </cell>
        </row>
      </sheetData>
      <sheetData sheetId="370">
        <row r="8">
          <cell r="D8" t="str">
            <v>Paramaz Avedisian Building</v>
          </cell>
        </row>
      </sheetData>
      <sheetData sheetId="371">
        <row r="8">
          <cell r="D8" t="str">
            <v>Paramaz Avedisian Building</v>
          </cell>
        </row>
      </sheetData>
      <sheetData sheetId="372">
        <row r="8">
          <cell r="D8" t="str">
            <v>Paramaz Avedisian Building</v>
          </cell>
        </row>
      </sheetData>
      <sheetData sheetId="373">
        <row r="8">
          <cell r="D8" t="str">
            <v>Paramaz Avedisian Building</v>
          </cell>
        </row>
      </sheetData>
      <sheetData sheetId="374">
        <row r="8">
          <cell r="D8" t="str">
            <v>Paramaz Avedisian Building</v>
          </cell>
        </row>
      </sheetData>
      <sheetData sheetId="375">
        <row r="8">
          <cell r="D8" t="str">
            <v>Paramaz Avedisian Building</v>
          </cell>
        </row>
      </sheetData>
      <sheetData sheetId="376">
        <row r="8">
          <cell r="D8" t="str">
            <v>Paramaz Avedisian Building</v>
          </cell>
        </row>
      </sheetData>
      <sheetData sheetId="377">
        <row r="8">
          <cell r="D8" t="str">
            <v>Paramaz Avedisian Building</v>
          </cell>
        </row>
      </sheetData>
      <sheetData sheetId="378">
        <row r="8">
          <cell r="D8" t="str">
            <v>Paramaz Avedisian Building</v>
          </cell>
        </row>
      </sheetData>
      <sheetData sheetId="379">
        <row r="8">
          <cell r="D8" t="str">
            <v>Paramaz Avedisian Building</v>
          </cell>
        </row>
      </sheetData>
      <sheetData sheetId="380">
        <row r="8">
          <cell r="D8" t="str">
            <v>Paramaz Avedisian Building</v>
          </cell>
        </row>
      </sheetData>
      <sheetData sheetId="381">
        <row r="8">
          <cell r="D8" t="str">
            <v>Paramaz Avedisian Building</v>
          </cell>
        </row>
      </sheetData>
      <sheetData sheetId="382">
        <row r="8">
          <cell r="D8" t="str">
            <v>Paramaz Avedisian Building</v>
          </cell>
        </row>
      </sheetData>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row r="8">
          <cell r="D8" t="str">
            <v>Paramaz Avedisian Building</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row r="8">
          <cell r="D8" t="str">
            <v>Paramaz Avedisian Building</v>
          </cell>
        </row>
      </sheetData>
      <sheetData sheetId="555">
        <row r="8">
          <cell r="D8" t="str">
            <v>Paramaz Avedisian Building</v>
          </cell>
        </row>
      </sheetData>
      <sheetData sheetId="556">
        <row r="8">
          <cell r="D8" t="str">
            <v>Paramaz Avedisian Building</v>
          </cell>
        </row>
      </sheetData>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row r="8">
          <cell r="D8" t="str">
            <v>Paramaz Avedisian Building</v>
          </cell>
        </row>
      </sheetData>
      <sheetData sheetId="710">
        <row r="8">
          <cell r="D8" t="str">
            <v>Paramaz Avedisian Building</v>
          </cell>
        </row>
      </sheetData>
      <sheetData sheetId="711">
        <row r="8">
          <cell r="D8" t="str">
            <v>Paramaz Avedisian Building</v>
          </cell>
        </row>
      </sheetData>
      <sheetData sheetId="712">
        <row r="8">
          <cell r="D8" t="str">
            <v>Paramaz Avedisian Building</v>
          </cell>
        </row>
      </sheetData>
      <sheetData sheetId="713">
        <row r="8">
          <cell r="D8" t="str">
            <v>Paramaz Avedisian Building</v>
          </cell>
        </row>
      </sheetData>
      <sheetData sheetId="714">
        <row r="8">
          <cell r="D8" t="str">
            <v>Paramaz Avedisian Building</v>
          </cell>
        </row>
      </sheetData>
      <sheetData sheetId="715">
        <row r="8">
          <cell r="D8" t="str">
            <v>Paramaz Avedisian Building</v>
          </cell>
        </row>
      </sheetData>
      <sheetData sheetId="716">
        <row r="8">
          <cell r="D8" t="str">
            <v>Paramaz Avedisian Building</v>
          </cell>
        </row>
      </sheetData>
      <sheetData sheetId="717">
        <row r="8">
          <cell r="D8" t="str">
            <v>Paramaz Avedisian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row r="8">
          <cell r="D8" t="str">
            <v>Paramaz Avedisian Building</v>
          </cell>
        </row>
      </sheetData>
      <sheetData sheetId="782">
        <row r="8">
          <cell r="D8" t="str">
            <v>Paramaz Avedisian Building</v>
          </cell>
        </row>
      </sheetData>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row r="8">
          <cell r="D8" t="str">
            <v>Paramaz Avedisian Building</v>
          </cell>
        </row>
      </sheetData>
      <sheetData sheetId="818">
        <row r="8">
          <cell r="D8" t="str">
            <v>Paramaz Avedisian Building</v>
          </cell>
        </row>
      </sheetData>
      <sheetData sheetId="819">
        <row r="8">
          <cell r="D8" t="str">
            <v>Paramaz Avedisian Building</v>
          </cell>
        </row>
      </sheetData>
      <sheetData sheetId="820">
        <row r="8">
          <cell r="D8" t="str">
            <v>Paramaz Avedisian Building</v>
          </cell>
        </row>
      </sheetData>
      <sheetData sheetId="821">
        <row r="8">
          <cell r="D8" t="str">
            <v>Paramaz Avedisian Building</v>
          </cell>
        </row>
      </sheetData>
      <sheetData sheetId="822">
        <row r="8">
          <cell r="D8" t="str">
            <v>Paramaz Avedisian Building</v>
          </cell>
        </row>
      </sheetData>
      <sheetData sheetId="823">
        <row r="8">
          <cell r="D8" t="str">
            <v>Paramaz Avedisian Building</v>
          </cell>
        </row>
      </sheetData>
      <sheetData sheetId="824">
        <row r="8">
          <cell r="D8" t="str">
            <v>Paramaz Avedisian Building</v>
          </cell>
        </row>
      </sheetData>
      <sheetData sheetId="825">
        <row r="8">
          <cell r="D8" t="str">
            <v>Paramaz Avedisian Building</v>
          </cell>
        </row>
      </sheetData>
      <sheetData sheetId="826">
        <row r="8">
          <cell r="D8" t="str">
            <v>Paramaz Avedisian Building</v>
          </cell>
        </row>
      </sheetData>
      <sheetData sheetId="827">
        <row r="8">
          <cell r="D8" t="str">
            <v>Paramaz Avedisian Building</v>
          </cell>
        </row>
      </sheetData>
      <sheetData sheetId="828">
        <row r="8">
          <cell r="D8" t="str">
            <v>Paramaz Avedisian Building</v>
          </cell>
        </row>
      </sheetData>
      <sheetData sheetId="829">
        <row r="8">
          <cell r="D8" t="str">
            <v>Paramaz Avedisian Building</v>
          </cell>
        </row>
      </sheetData>
      <sheetData sheetId="830">
        <row r="8">
          <cell r="D8" t="str">
            <v>Paramaz Avedisian Building</v>
          </cell>
        </row>
      </sheetData>
      <sheetData sheetId="831">
        <row r="8">
          <cell r="D8" t="str">
            <v>Paramaz Avedisian Building</v>
          </cell>
        </row>
      </sheetData>
      <sheetData sheetId="832">
        <row r="8">
          <cell r="D8" t="str">
            <v>Paramaz Avedisian Building</v>
          </cell>
        </row>
      </sheetData>
      <sheetData sheetId="833">
        <row r="8">
          <cell r="D8" t="str">
            <v>Paramaz Avedisian Building</v>
          </cell>
        </row>
      </sheetData>
      <sheetData sheetId="834">
        <row r="8">
          <cell r="D8" t="str">
            <v>Paramaz Avedisian Building</v>
          </cell>
        </row>
      </sheetData>
      <sheetData sheetId="835">
        <row r="8">
          <cell r="D8" t="str">
            <v>Paramaz Avedisian Building</v>
          </cell>
        </row>
      </sheetData>
      <sheetData sheetId="836">
        <row r="8">
          <cell r="D8" t="str">
            <v>Paramaz Avedisian Building</v>
          </cell>
        </row>
      </sheetData>
      <sheetData sheetId="837">
        <row r="8">
          <cell r="D8" t="str">
            <v>Paramaz Avedisian Building</v>
          </cell>
        </row>
      </sheetData>
      <sheetData sheetId="838">
        <row r="8">
          <cell r="D8" t="str">
            <v>Paramaz Avedisian Building</v>
          </cell>
        </row>
      </sheetData>
      <sheetData sheetId="839">
        <row r="8">
          <cell r="D8" t="str">
            <v>Paramaz Avedisian Building</v>
          </cell>
        </row>
      </sheetData>
      <sheetData sheetId="840">
        <row r="8">
          <cell r="D8" t="str">
            <v>Paramaz Avedisian Building</v>
          </cell>
        </row>
      </sheetData>
      <sheetData sheetId="841">
        <row r="8">
          <cell r="D8" t="str">
            <v>Paramaz Avedisian Building</v>
          </cell>
        </row>
      </sheetData>
      <sheetData sheetId="842">
        <row r="8">
          <cell r="D8" t="str">
            <v>Paramaz Avedisian Building</v>
          </cell>
        </row>
      </sheetData>
      <sheetData sheetId="843">
        <row r="8">
          <cell r="D8" t="str">
            <v>Paramaz Avedisian Building</v>
          </cell>
        </row>
      </sheetData>
      <sheetData sheetId="844">
        <row r="8">
          <cell r="D8" t="str">
            <v>Paramaz Avedisian Building</v>
          </cell>
        </row>
      </sheetData>
      <sheetData sheetId="845">
        <row r="8">
          <cell r="D8" t="str">
            <v>Paramaz Avedisian Building</v>
          </cell>
        </row>
      </sheetData>
      <sheetData sheetId="846">
        <row r="8">
          <cell r="D8" t="str">
            <v>Paramaz Avedisian Building</v>
          </cell>
        </row>
      </sheetData>
      <sheetData sheetId="847">
        <row r="8">
          <cell r="D8" t="str">
            <v>Paramaz Avedisian Building</v>
          </cell>
        </row>
      </sheetData>
      <sheetData sheetId="848">
        <row r="8">
          <cell r="D8" t="str">
            <v>Paramaz Avedisian Building</v>
          </cell>
        </row>
      </sheetData>
      <sheetData sheetId="849">
        <row r="8">
          <cell r="D8" t="str">
            <v>Paramaz Avedisian Building</v>
          </cell>
        </row>
      </sheetData>
      <sheetData sheetId="850">
        <row r="8">
          <cell r="D8" t="str">
            <v>Paramaz Avedisian Building</v>
          </cell>
        </row>
      </sheetData>
      <sheetData sheetId="851">
        <row r="8">
          <cell r="D8" t="str">
            <v>Paramaz Avedisian Building</v>
          </cell>
        </row>
      </sheetData>
      <sheetData sheetId="852">
        <row r="8">
          <cell r="D8" t="str">
            <v>Paramaz Avedisian Building</v>
          </cell>
        </row>
      </sheetData>
      <sheetData sheetId="853">
        <row r="8">
          <cell r="D8" t="str">
            <v>Paramaz Avedisian Building</v>
          </cell>
        </row>
      </sheetData>
      <sheetData sheetId="854">
        <row r="8">
          <cell r="D8" t="str">
            <v>Paramaz Avedisian Building</v>
          </cell>
        </row>
      </sheetData>
      <sheetData sheetId="855">
        <row r="8">
          <cell r="D8" t="str">
            <v>Paramaz Avedisian Building</v>
          </cell>
        </row>
      </sheetData>
      <sheetData sheetId="856">
        <row r="8">
          <cell r="D8" t="str">
            <v>Paramaz Avedisian Building</v>
          </cell>
        </row>
      </sheetData>
      <sheetData sheetId="857">
        <row r="8">
          <cell r="D8" t="str">
            <v>Paramaz Avedisian Building</v>
          </cell>
        </row>
      </sheetData>
      <sheetData sheetId="858">
        <row r="8">
          <cell r="D8" t="str">
            <v>Paramaz Avedisian Building</v>
          </cell>
        </row>
      </sheetData>
      <sheetData sheetId="859">
        <row r="8">
          <cell r="D8" t="str">
            <v>Paramaz Avedisian Building</v>
          </cell>
        </row>
      </sheetData>
      <sheetData sheetId="860">
        <row r="8">
          <cell r="D8" t="str">
            <v>Paramaz Avedisian Building</v>
          </cell>
        </row>
      </sheetData>
      <sheetData sheetId="861">
        <row r="8">
          <cell r="D8" t="str">
            <v>Paramaz Avedisian Building</v>
          </cell>
        </row>
      </sheetData>
      <sheetData sheetId="862">
        <row r="8">
          <cell r="D8" t="str">
            <v>Paramaz Avedisian Building</v>
          </cell>
        </row>
      </sheetData>
      <sheetData sheetId="863">
        <row r="8">
          <cell r="D8" t="str">
            <v>Paramaz Avedisian Building</v>
          </cell>
        </row>
      </sheetData>
      <sheetData sheetId="864">
        <row r="8">
          <cell r="D8" t="str">
            <v>Paramaz Avedisian Building</v>
          </cell>
        </row>
      </sheetData>
      <sheetData sheetId="865">
        <row r="8">
          <cell r="D8" t="str">
            <v>Paramaz Avedisian Building</v>
          </cell>
        </row>
      </sheetData>
      <sheetData sheetId="866">
        <row r="8">
          <cell r="D8" t="str">
            <v>Paramaz Avedisian Building</v>
          </cell>
        </row>
      </sheetData>
      <sheetData sheetId="867">
        <row r="8">
          <cell r="D8" t="str">
            <v>Paramaz Avedisian Building</v>
          </cell>
        </row>
      </sheetData>
      <sheetData sheetId="868">
        <row r="8">
          <cell r="D8" t="str">
            <v>Paramaz Avedisian Building</v>
          </cell>
        </row>
      </sheetData>
      <sheetData sheetId="869">
        <row r="8">
          <cell r="D8" t="str">
            <v>Paramaz Avedisian Building</v>
          </cell>
        </row>
      </sheetData>
      <sheetData sheetId="870">
        <row r="8">
          <cell r="D8" t="str">
            <v>Paramaz Avedisian Building</v>
          </cell>
        </row>
      </sheetData>
      <sheetData sheetId="871">
        <row r="8">
          <cell r="D8" t="str">
            <v>Paramaz Avedisian Building</v>
          </cell>
        </row>
      </sheetData>
      <sheetData sheetId="872">
        <row r="8">
          <cell r="D8" t="str">
            <v>Paramaz Avedisian Building</v>
          </cell>
        </row>
      </sheetData>
      <sheetData sheetId="873">
        <row r="8">
          <cell r="D8" t="str">
            <v>Paramaz Avedisian Building</v>
          </cell>
        </row>
      </sheetData>
      <sheetData sheetId="874">
        <row r="8">
          <cell r="D8" t="str">
            <v>Paramaz Avedisian Building</v>
          </cell>
        </row>
      </sheetData>
      <sheetData sheetId="875">
        <row r="8">
          <cell r="D8" t="str">
            <v>Paramaz Avedisian Building</v>
          </cell>
        </row>
      </sheetData>
      <sheetData sheetId="876">
        <row r="8">
          <cell r="D8" t="str">
            <v>Paramaz Avedisian Building</v>
          </cell>
        </row>
      </sheetData>
      <sheetData sheetId="877">
        <row r="8">
          <cell r="D8" t="str">
            <v>Paramaz Avedisian Building</v>
          </cell>
        </row>
      </sheetData>
      <sheetData sheetId="878">
        <row r="8">
          <cell r="D8" t="str">
            <v>Paramaz Avedisian Building</v>
          </cell>
        </row>
      </sheetData>
      <sheetData sheetId="879">
        <row r="8">
          <cell r="D8" t="str">
            <v>Paramaz Avedisian Building</v>
          </cell>
        </row>
      </sheetData>
      <sheetData sheetId="880">
        <row r="8">
          <cell r="D8" t="str">
            <v>Paramaz Avedisian Building</v>
          </cell>
        </row>
      </sheetData>
      <sheetData sheetId="881">
        <row r="8">
          <cell r="D8" t="str">
            <v>Paramaz Avedisian Building</v>
          </cell>
        </row>
      </sheetData>
      <sheetData sheetId="882">
        <row r="8">
          <cell r="D8" t="str">
            <v>Paramaz Avedisian Building</v>
          </cell>
        </row>
      </sheetData>
      <sheetData sheetId="883">
        <row r="8">
          <cell r="D8" t="str">
            <v>Paramaz Avedisian Building</v>
          </cell>
        </row>
      </sheetData>
      <sheetData sheetId="884">
        <row r="8">
          <cell r="D8" t="str">
            <v>Paramaz Avedisian Building</v>
          </cell>
        </row>
      </sheetData>
      <sheetData sheetId="885">
        <row r="8">
          <cell r="D8" t="str">
            <v>Paramaz Avedisian Building</v>
          </cell>
        </row>
      </sheetData>
      <sheetData sheetId="886">
        <row r="8">
          <cell r="D8" t="str">
            <v>Paramaz Avedisian Building</v>
          </cell>
        </row>
      </sheetData>
      <sheetData sheetId="887">
        <row r="8">
          <cell r="D8" t="str">
            <v>Paramaz Avedisian Building</v>
          </cell>
        </row>
      </sheetData>
      <sheetData sheetId="888">
        <row r="8">
          <cell r="D8" t="str">
            <v>Paramaz Avedisian Building</v>
          </cell>
        </row>
      </sheetData>
      <sheetData sheetId="889">
        <row r="8">
          <cell r="D8" t="str">
            <v>Paramaz Avedisian Building</v>
          </cell>
        </row>
      </sheetData>
      <sheetData sheetId="890">
        <row r="8">
          <cell r="D8" t="str">
            <v>Paramaz Avedisian Building</v>
          </cell>
        </row>
      </sheetData>
      <sheetData sheetId="891">
        <row r="8">
          <cell r="D8" t="str">
            <v>Paramaz Avedisian Building</v>
          </cell>
        </row>
      </sheetData>
      <sheetData sheetId="892">
        <row r="8">
          <cell r="D8" t="str">
            <v>Paramaz Avedisian Building</v>
          </cell>
        </row>
      </sheetData>
      <sheetData sheetId="893">
        <row r="8">
          <cell r="D8" t="str">
            <v>Paramaz Avedisian Building</v>
          </cell>
        </row>
      </sheetData>
      <sheetData sheetId="894">
        <row r="8">
          <cell r="D8" t="str">
            <v>Paramaz Avedisian Building</v>
          </cell>
        </row>
      </sheetData>
      <sheetData sheetId="895">
        <row r="8">
          <cell r="D8" t="str">
            <v>Paramaz Avedisian Building</v>
          </cell>
        </row>
      </sheetData>
      <sheetData sheetId="896">
        <row r="8">
          <cell r="D8" t="str">
            <v>Paramaz Avedisian Building</v>
          </cell>
        </row>
      </sheetData>
      <sheetData sheetId="897">
        <row r="8">
          <cell r="D8" t="str">
            <v>Paramaz Avedisian Building</v>
          </cell>
        </row>
      </sheetData>
      <sheetData sheetId="898">
        <row r="8">
          <cell r="D8" t="str">
            <v>Paramaz Avedisian Building</v>
          </cell>
        </row>
      </sheetData>
      <sheetData sheetId="899">
        <row r="8">
          <cell r="D8" t="str">
            <v>Paramaz Avedisian Building</v>
          </cell>
        </row>
      </sheetData>
      <sheetData sheetId="900">
        <row r="8">
          <cell r="D8" t="str">
            <v>Paramaz Avedisian Building</v>
          </cell>
        </row>
      </sheetData>
      <sheetData sheetId="901">
        <row r="8">
          <cell r="D8" t="str">
            <v>Paramaz Avedisian Building</v>
          </cell>
        </row>
      </sheetData>
      <sheetData sheetId="902">
        <row r="8">
          <cell r="D8" t="str">
            <v>Paramaz Avedisian Building</v>
          </cell>
        </row>
      </sheetData>
      <sheetData sheetId="903">
        <row r="8">
          <cell r="D8" t="str">
            <v>Paramaz Avedisian Building</v>
          </cell>
        </row>
      </sheetData>
      <sheetData sheetId="904">
        <row r="8">
          <cell r="D8" t="str">
            <v>Paramaz Avedisian Building</v>
          </cell>
        </row>
      </sheetData>
      <sheetData sheetId="905">
        <row r="8">
          <cell r="D8" t="str">
            <v>Paramaz Avedisian Building</v>
          </cell>
        </row>
      </sheetData>
      <sheetData sheetId="906">
        <row r="8">
          <cell r="D8" t="str">
            <v>Paramaz Avedisian Building</v>
          </cell>
        </row>
      </sheetData>
      <sheetData sheetId="907">
        <row r="8">
          <cell r="D8" t="str">
            <v>Paramaz Avedisian Building</v>
          </cell>
        </row>
      </sheetData>
      <sheetData sheetId="908">
        <row r="8">
          <cell r="D8" t="str">
            <v>Paramaz Avedisian Building</v>
          </cell>
        </row>
      </sheetData>
      <sheetData sheetId="909">
        <row r="8">
          <cell r="D8" t="str">
            <v>Paramaz Avedisian Building</v>
          </cell>
        </row>
      </sheetData>
      <sheetData sheetId="910">
        <row r="8">
          <cell r="D8" t="str">
            <v>Paramaz Avedisian Building</v>
          </cell>
        </row>
      </sheetData>
      <sheetData sheetId="911">
        <row r="8">
          <cell r="D8" t="str">
            <v>Paramaz Avedisian Building</v>
          </cell>
        </row>
      </sheetData>
      <sheetData sheetId="912">
        <row r="8">
          <cell r="D8" t="str">
            <v>Paramaz Avedisian Building</v>
          </cell>
        </row>
      </sheetData>
      <sheetData sheetId="913">
        <row r="8">
          <cell r="D8" t="str">
            <v>Paramaz Avedisian Building</v>
          </cell>
        </row>
      </sheetData>
      <sheetData sheetId="914">
        <row r="8">
          <cell r="D8" t="str">
            <v>Paramaz Avedisian Building</v>
          </cell>
        </row>
      </sheetData>
      <sheetData sheetId="915">
        <row r="8">
          <cell r="D8" t="str">
            <v>Paramaz Avedisian Building</v>
          </cell>
        </row>
      </sheetData>
      <sheetData sheetId="916">
        <row r="8">
          <cell r="D8" t="str">
            <v>Paramaz Avedisian Building</v>
          </cell>
        </row>
      </sheetData>
      <sheetData sheetId="917">
        <row r="8">
          <cell r="D8" t="str">
            <v>Paramaz Avedisian Building</v>
          </cell>
        </row>
      </sheetData>
      <sheetData sheetId="918">
        <row r="8">
          <cell r="D8" t="str">
            <v>Paramaz Avedisian Building</v>
          </cell>
        </row>
      </sheetData>
      <sheetData sheetId="919">
        <row r="8">
          <cell r="D8" t="str">
            <v>Paramaz Avedisian Building</v>
          </cell>
        </row>
      </sheetData>
      <sheetData sheetId="920">
        <row r="8">
          <cell r="D8" t="str">
            <v>Paramaz Avedisian Building</v>
          </cell>
        </row>
      </sheetData>
      <sheetData sheetId="921">
        <row r="8">
          <cell r="D8" t="str">
            <v>Paramaz Avedisian Building</v>
          </cell>
        </row>
      </sheetData>
      <sheetData sheetId="922">
        <row r="8">
          <cell r="D8" t="str">
            <v>Paramaz Avedisian Building</v>
          </cell>
        </row>
      </sheetData>
      <sheetData sheetId="923">
        <row r="8">
          <cell r="D8" t="str">
            <v>Paramaz Avedisian Building</v>
          </cell>
        </row>
      </sheetData>
      <sheetData sheetId="924">
        <row r="8">
          <cell r="D8" t="str">
            <v>Paramaz Avedisian Building</v>
          </cell>
        </row>
      </sheetData>
      <sheetData sheetId="925">
        <row r="8">
          <cell r="D8" t="str">
            <v>Paramaz Avedisian Building</v>
          </cell>
        </row>
      </sheetData>
      <sheetData sheetId="926">
        <row r="8">
          <cell r="D8" t="str">
            <v>Paramaz Avedisian Building</v>
          </cell>
        </row>
      </sheetData>
      <sheetData sheetId="927">
        <row r="8">
          <cell r="D8" t="str">
            <v>Paramaz Avedisian Building</v>
          </cell>
        </row>
      </sheetData>
      <sheetData sheetId="928">
        <row r="8">
          <cell r="D8" t="str">
            <v>Paramaz Avedisian Building</v>
          </cell>
        </row>
      </sheetData>
      <sheetData sheetId="929">
        <row r="8">
          <cell r="D8" t="str">
            <v>Paramaz Avedisian Building</v>
          </cell>
        </row>
      </sheetData>
      <sheetData sheetId="930">
        <row r="8">
          <cell r="D8" t="str">
            <v>Paramaz Avedisian Building</v>
          </cell>
        </row>
      </sheetData>
      <sheetData sheetId="931">
        <row r="8">
          <cell r="D8" t="str">
            <v>Paramaz Avedisian Building</v>
          </cell>
        </row>
      </sheetData>
      <sheetData sheetId="932">
        <row r="8">
          <cell r="D8" t="str">
            <v>Paramaz Avedisian Building</v>
          </cell>
        </row>
      </sheetData>
      <sheetData sheetId="933">
        <row r="8">
          <cell r="D8" t="str">
            <v>Paramaz Avedisian Building</v>
          </cell>
        </row>
      </sheetData>
      <sheetData sheetId="934">
        <row r="8">
          <cell r="D8" t="str">
            <v>Paramaz Avedisian Building</v>
          </cell>
        </row>
      </sheetData>
      <sheetData sheetId="935">
        <row r="8">
          <cell r="D8" t="str">
            <v>Paramaz Avedisian Building</v>
          </cell>
        </row>
      </sheetData>
      <sheetData sheetId="936">
        <row r="8">
          <cell r="D8" t="str">
            <v>Paramaz Avedisian Building</v>
          </cell>
        </row>
      </sheetData>
      <sheetData sheetId="937">
        <row r="8">
          <cell r="D8" t="str">
            <v>Paramaz Avedisian Building</v>
          </cell>
        </row>
      </sheetData>
      <sheetData sheetId="938">
        <row r="8">
          <cell r="D8" t="str">
            <v>Paramaz Avedisian Building</v>
          </cell>
        </row>
      </sheetData>
      <sheetData sheetId="939">
        <row r="8">
          <cell r="D8" t="str">
            <v>Paramaz Avedisian Building</v>
          </cell>
        </row>
      </sheetData>
      <sheetData sheetId="940">
        <row r="8">
          <cell r="D8" t="str">
            <v>Paramaz Avedisian Building</v>
          </cell>
        </row>
      </sheetData>
      <sheetData sheetId="941">
        <row r="8">
          <cell r="D8" t="str">
            <v>Paramaz Avedisian Building</v>
          </cell>
        </row>
      </sheetData>
      <sheetData sheetId="942">
        <row r="8">
          <cell r="D8" t="str">
            <v>Paramaz Avedisian Building</v>
          </cell>
        </row>
      </sheetData>
      <sheetData sheetId="943">
        <row r="8">
          <cell r="D8" t="str">
            <v>Paramaz Avedisian Building</v>
          </cell>
        </row>
      </sheetData>
      <sheetData sheetId="944">
        <row r="8">
          <cell r="D8" t="str">
            <v>Paramaz Avedisian Building</v>
          </cell>
        </row>
      </sheetData>
      <sheetData sheetId="945">
        <row r="8">
          <cell r="D8" t="str">
            <v>Paramaz Avedisian Building</v>
          </cell>
        </row>
      </sheetData>
      <sheetData sheetId="946">
        <row r="8">
          <cell r="D8" t="str">
            <v>Paramaz Avedisian Building</v>
          </cell>
        </row>
      </sheetData>
      <sheetData sheetId="947">
        <row r="8">
          <cell r="D8" t="str">
            <v>Paramaz Avedisian Building</v>
          </cell>
        </row>
      </sheetData>
      <sheetData sheetId="948">
        <row r="8">
          <cell r="D8" t="str">
            <v>Paramaz Avedisian Building</v>
          </cell>
        </row>
      </sheetData>
      <sheetData sheetId="949">
        <row r="8">
          <cell r="D8" t="str">
            <v>Paramaz Avedisian Building</v>
          </cell>
        </row>
      </sheetData>
      <sheetData sheetId="950">
        <row r="8">
          <cell r="D8" t="str">
            <v>Paramaz Avedisian Building</v>
          </cell>
        </row>
      </sheetData>
      <sheetData sheetId="951">
        <row r="8">
          <cell r="D8" t="str">
            <v>Paramaz Avedisian Building</v>
          </cell>
        </row>
      </sheetData>
      <sheetData sheetId="952">
        <row r="8">
          <cell r="D8" t="str">
            <v>Paramaz Avedisian Building</v>
          </cell>
        </row>
      </sheetData>
      <sheetData sheetId="953">
        <row r="8">
          <cell r="D8" t="str">
            <v>Paramaz Avedisian Building</v>
          </cell>
        </row>
      </sheetData>
      <sheetData sheetId="954">
        <row r="8">
          <cell r="D8" t="str">
            <v>Paramaz Avedisian Building</v>
          </cell>
        </row>
      </sheetData>
      <sheetData sheetId="955">
        <row r="8">
          <cell r="D8" t="str">
            <v>Paramaz Avedisian Building</v>
          </cell>
        </row>
      </sheetData>
      <sheetData sheetId="956">
        <row r="8">
          <cell r="D8" t="str">
            <v>Paramaz Avedisian Building</v>
          </cell>
        </row>
      </sheetData>
      <sheetData sheetId="957">
        <row r="8">
          <cell r="D8" t="str">
            <v>Paramaz Avedisian Building</v>
          </cell>
        </row>
      </sheetData>
      <sheetData sheetId="958">
        <row r="8">
          <cell r="D8" t="str">
            <v>Paramaz Avedisian Building</v>
          </cell>
        </row>
      </sheetData>
      <sheetData sheetId="959">
        <row r="8">
          <cell r="D8" t="str">
            <v>Paramaz Avedisian Building</v>
          </cell>
        </row>
      </sheetData>
      <sheetData sheetId="960">
        <row r="8">
          <cell r="D8" t="str">
            <v>Paramaz Avedisian Building</v>
          </cell>
        </row>
      </sheetData>
      <sheetData sheetId="961">
        <row r="8">
          <cell r="D8" t="str">
            <v>Paramaz Avedisian Building</v>
          </cell>
        </row>
      </sheetData>
      <sheetData sheetId="962">
        <row r="8">
          <cell r="D8" t="str">
            <v>Paramaz Avedisian Building</v>
          </cell>
        </row>
      </sheetData>
      <sheetData sheetId="963">
        <row r="8">
          <cell r="D8" t="str">
            <v>Paramaz Avedisian Building</v>
          </cell>
        </row>
      </sheetData>
      <sheetData sheetId="964">
        <row r="8">
          <cell r="D8" t="str">
            <v>Paramaz Avedisian Building</v>
          </cell>
        </row>
      </sheetData>
      <sheetData sheetId="965">
        <row r="8">
          <cell r="D8" t="str">
            <v>Paramaz Avedisian Building</v>
          </cell>
        </row>
      </sheetData>
      <sheetData sheetId="966">
        <row r="8">
          <cell r="D8" t="str">
            <v>Paramaz Avedisian Building</v>
          </cell>
        </row>
      </sheetData>
      <sheetData sheetId="967">
        <row r="8">
          <cell r="D8" t="str">
            <v>Paramaz Avedisian Building</v>
          </cell>
        </row>
      </sheetData>
      <sheetData sheetId="968">
        <row r="8">
          <cell r="D8" t="str">
            <v>Paramaz Avedisian Building</v>
          </cell>
        </row>
      </sheetData>
      <sheetData sheetId="969">
        <row r="8">
          <cell r="D8" t="str">
            <v>Paramaz Avedisian Building</v>
          </cell>
        </row>
      </sheetData>
      <sheetData sheetId="970">
        <row r="8">
          <cell r="D8" t="str">
            <v>Paramaz Avedisian Building</v>
          </cell>
        </row>
      </sheetData>
      <sheetData sheetId="971">
        <row r="8">
          <cell r="D8" t="str">
            <v>Paramaz Avedisian Building</v>
          </cell>
        </row>
      </sheetData>
      <sheetData sheetId="972">
        <row r="8">
          <cell r="D8" t="str">
            <v>Paramaz Avedisian Building</v>
          </cell>
        </row>
      </sheetData>
      <sheetData sheetId="973">
        <row r="8">
          <cell r="D8" t="str">
            <v>Paramaz Avedisian Building</v>
          </cell>
        </row>
      </sheetData>
      <sheetData sheetId="974">
        <row r="8">
          <cell r="D8" t="str">
            <v>Paramaz Avedisian Building</v>
          </cell>
        </row>
      </sheetData>
      <sheetData sheetId="975">
        <row r="8">
          <cell r="D8" t="str">
            <v>Paramaz Avedisian Building</v>
          </cell>
        </row>
      </sheetData>
      <sheetData sheetId="976">
        <row r="8">
          <cell r="D8" t="str">
            <v>Paramaz Avedisian Building</v>
          </cell>
        </row>
      </sheetData>
      <sheetData sheetId="977">
        <row r="8">
          <cell r="D8" t="str">
            <v>Paramaz Avedisian Building</v>
          </cell>
        </row>
      </sheetData>
      <sheetData sheetId="978">
        <row r="8">
          <cell r="D8" t="str">
            <v>Paramaz Avedisian Building</v>
          </cell>
        </row>
      </sheetData>
      <sheetData sheetId="979">
        <row r="8">
          <cell r="D8" t="str">
            <v>Paramaz Avedisian Building</v>
          </cell>
        </row>
      </sheetData>
      <sheetData sheetId="980">
        <row r="8">
          <cell r="D8" t="str">
            <v>Paramaz Avedisian Building</v>
          </cell>
        </row>
      </sheetData>
      <sheetData sheetId="981">
        <row r="8">
          <cell r="D8" t="str">
            <v>Paramaz Avedisian Building</v>
          </cell>
        </row>
      </sheetData>
      <sheetData sheetId="982">
        <row r="8">
          <cell r="D8" t="str">
            <v>Paramaz Avedisian Building</v>
          </cell>
        </row>
      </sheetData>
      <sheetData sheetId="983">
        <row r="8">
          <cell r="D8" t="str">
            <v>Paramaz Avedisian Building</v>
          </cell>
        </row>
      </sheetData>
      <sheetData sheetId="984">
        <row r="8">
          <cell r="D8" t="str">
            <v>Paramaz Avedisian Building</v>
          </cell>
        </row>
      </sheetData>
      <sheetData sheetId="985">
        <row r="8">
          <cell r="D8" t="str">
            <v>Paramaz Avedisian Building</v>
          </cell>
        </row>
      </sheetData>
      <sheetData sheetId="986">
        <row r="8">
          <cell r="D8" t="str">
            <v>Paramaz Avedisian Building</v>
          </cell>
        </row>
      </sheetData>
      <sheetData sheetId="987">
        <row r="8">
          <cell r="D8" t="str">
            <v>Paramaz Avedisian Building</v>
          </cell>
        </row>
      </sheetData>
      <sheetData sheetId="988">
        <row r="8">
          <cell r="D8" t="str">
            <v>Paramaz Avedisian Building</v>
          </cell>
        </row>
      </sheetData>
      <sheetData sheetId="989">
        <row r="8">
          <cell r="D8" t="str">
            <v>Paramaz Avedisian Building</v>
          </cell>
        </row>
      </sheetData>
      <sheetData sheetId="990">
        <row r="8">
          <cell r="D8" t="str">
            <v>Paramaz Avedisian Building</v>
          </cell>
        </row>
      </sheetData>
      <sheetData sheetId="991">
        <row r="8">
          <cell r="D8" t="str">
            <v>Paramaz Avedisian Building</v>
          </cell>
        </row>
      </sheetData>
      <sheetData sheetId="992">
        <row r="8">
          <cell r="D8" t="str">
            <v>Paramaz Avedisian Building</v>
          </cell>
        </row>
      </sheetData>
      <sheetData sheetId="993">
        <row r="8">
          <cell r="D8" t="str">
            <v>Paramaz Avedisian Building</v>
          </cell>
        </row>
      </sheetData>
      <sheetData sheetId="994">
        <row r="8">
          <cell r="D8" t="str">
            <v>Paramaz Avedisian Building</v>
          </cell>
        </row>
      </sheetData>
      <sheetData sheetId="995">
        <row r="8">
          <cell r="D8" t="str">
            <v>Paramaz Avedisian Building</v>
          </cell>
        </row>
      </sheetData>
      <sheetData sheetId="996">
        <row r="8">
          <cell r="D8" t="str">
            <v>Paramaz Avedisian Building</v>
          </cell>
        </row>
      </sheetData>
      <sheetData sheetId="997">
        <row r="8">
          <cell r="D8" t="str">
            <v>Paramaz Avedisian Building</v>
          </cell>
        </row>
      </sheetData>
      <sheetData sheetId="998">
        <row r="8">
          <cell r="D8" t="str">
            <v>Paramaz Avedisian Building</v>
          </cell>
        </row>
      </sheetData>
      <sheetData sheetId="999">
        <row r="8">
          <cell r="D8" t="str">
            <v>Paramaz Avedisian Building</v>
          </cell>
        </row>
      </sheetData>
      <sheetData sheetId="1000">
        <row r="8">
          <cell r="D8" t="str">
            <v>Paramaz Avedisian Building</v>
          </cell>
        </row>
      </sheetData>
      <sheetData sheetId="1001">
        <row r="8">
          <cell r="D8" t="str">
            <v>Paramaz Avedisian Building</v>
          </cell>
        </row>
      </sheetData>
      <sheetData sheetId="1002">
        <row r="8">
          <cell r="D8" t="str">
            <v>Paramaz Avedisian Building</v>
          </cell>
        </row>
      </sheetData>
      <sheetData sheetId="1003">
        <row r="8">
          <cell r="D8" t="str">
            <v>Paramaz Avedisian Building</v>
          </cell>
        </row>
      </sheetData>
      <sheetData sheetId="1004">
        <row r="8">
          <cell r="D8" t="str">
            <v>Paramaz Avedisian Building</v>
          </cell>
        </row>
      </sheetData>
      <sheetData sheetId="1005">
        <row r="8">
          <cell r="D8" t="str">
            <v>Paramaz Avedisian Building</v>
          </cell>
        </row>
      </sheetData>
      <sheetData sheetId="1006">
        <row r="8">
          <cell r="D8" t="str">
            <v>Paramaz Avedisian Building</v>
          </cell>
        </row>
      </sheetData>
      <sheetData sheetId="1007">
        <row r="8">
          <cell r="D8" t="str">
            <v>Paramaz Avedisian Building</v>
          </cell>
        </row>
      </sheetData>
      <sheetData sheetId="1008">
        <row r="8">
          <cell r="D8" t="str">
            <v>Paramaz Avedisian Building</v>
          </cell>
        </row>
      </sheetData>
      <sheetData sheetId="1009">
        <row r="8">
          <cell r="D8" t="str">
            <v>Paramaz Avedisian Building</v>
          </cell>
        </row>
      </sheetData>
      <sheetData sheetId="1010">
        <row r="8">
          <cell r="D8" t="str">
            <v>Paramaz Avedisian Building</v>
          </cell>
        </row>
      </sheetData>
      <sheetData sheetId="1011">
        <row r="8">
          <cell r="D8" t="str">
            <v>Paramaz Avedisian Building</v>
          </cell>
        </row>
      </sheetData>
      <sheetData sheetId="1012">
        <row r="8">
          <cell r="D8" t="str">
            <v>Paramaz Avedisian Building</v>
          </cell>
        </row>
      </sheetData>
      <sheetData sheetId="1013">
        <row r="8">
          <cell r="D8" t="str">
            <v>Paramaz Avedisian Building</v>
          </cell>
        </row>
      </sheetData>
      <sheetData sheetId="1014">
        <row r="8">
          <cell r="D8" t="str">
            <v>Paramaz Avedisian Building</v>
          </cell>
        </row>
      </sheetData>
      <sheetData sheetId="1015">
        <row r="8">
          <cell r="D8" t="str">
            <v>Paramaz Avedisian Building</v>
          </cell>
        </row>
      </sheetData>
      <sheetData sheetId="1016">
        <row r="8">
          <cell r="D8" t="str">
            <v>Paramaz Avedisian Building</v>
          </cell>
        </row>
      </sheetData>
      <sheetData sheetId="1017">
        <row r="8">
          <cell r="D8" t="str">
            <v>Paramaz Avedisian Building</v>
          </cell>
        </row>
      </sheetData>
      <sheetData sheetId="1018">
        <row r="8">
          <cell r="D8" t="str">
            <v>Paramaz Avedisian Building</v>
          </cell>
        </row>
      </sheetData>
      <sheetData sheetId="1019">
        <row r="8">
          <cell r="D8" t="str">
            <v>Paramaz Avedisian Building</v>
          </cell>
        </row>
      </sheetData>
      <sheetData sheetId="1020">
        <row r="8">
          <cell r="D8" t="str">
            <v>Paramaz Avedisian Building</v>
          </cell>
        </row>
      </sheetData>
      <sheetData sheetId="1021">
        <row r="8">
          <cell r="D8" t="str">
            <v>Paramaz Avedisian Building</v>
          </cell>
        </row>
      </sheetData>
      <sheetData sheetId="1022">
        <row r="8">
          <cell r="D8" t="str">
            <v>Paramaz Avedisian Building</v>
          </cell>
        </row>
      </sheetData>
      <sheetData sheetId="1023">
        <row r="8">
          <cell r="D8" t="str">
            <v>Paramaz Avedisian Building</v>
          </cell>
        </row>
      </sheetData>
      <sheetData sheetId="1024">
        <row r="8">
          <cell r="D8" t="str">
            <v>Paramaz Avedisian Building</v>
          </cell>
        </row>
      </sheetData>
      <sheetData sheetId="1025">
        <row r="8">
          <cell r="D8" t="str">
            <v>Paramaz Avedisian Building</v>
          </cell>
        </row>
      </sheetData>
      <sheetData sheetId="1026">
        <row r="8">
          <cell r="D8" t="str">
            <v>Paramaz Avedisian Building</v>
          </cell>
        </row>
      </sheetData>
      <sheetData sheetId="1027">
        <row r="8">
          <cell r="D8" t="str">
            <v>Paramaz Avedisian Building</v>
          </cell>
        </row>
      </sheetData>
      <sheetData sheetId="1028">
        <row r="8">
          <cell r="D8" t="str">
            <v>Paramaz Avedisian Building</v>
          </cell>
        </row>
      </sheetData>
      <sheetData sheetId="1029">
        <row r="8">
          <cell r="D8" t="str">
            <v>Paramaz Avedisian Building</v>
          </cell>
        </row>
      </sheetData>
      <sheetData sheetId="1030">
        <row r="8">
          <cell r="D8" t="str">
            <v>Paramaz Avedisian Building</v>
          </cell>
        </row>
      </sheetData>
      <sheetData sheetId="1031">
        <row r="8">
          <cell r="D8" t="str">
            <v>Paramaz Avedisian Building</v>
          </cell>
        </row>
      </sheetData>
      <sheetData sheetId="1032">
        <row r="8">
          <cell r="D8" t="str">
            <v>Paramaz Avedisian Building</v>
          </cell>
        </row>
      </sheetData>
      <sheetData sheetId="1033">
        <row r="8">
          <cell r="D8" t="str">
            <v>Paramaz Avedisian Building</v>
          </cell>
        </row>
      </sheetData>
      <sheetData sheetId="1034">
        <row r="8">
          <cell r="D8" t="str">
            <v>Paramaz Avedisian Building</v>
          </cell>
        </row>
      </sheetData>
      <sheetData sheetId="1035">
        <row r="8">
          <cell r="D8" t="str">
            <v>Paramaz Avedisian Building</v>
          </cell>
        </row>
      </sheetData>
      <sheetData sheetId="1036">
        <row r="8">
          <cell r="D8" t="str">
            <v>Paramaz Avedisian Building</v>
          </cell>
        </row>
      </sheetData>
      <sheetData sheetId="1037">
        <row r="8">
          <cell r="D8" t="str">
            <v>Paramaz Avedisian Building</v>
          </cell>
        </row>
      </sheetData>
      <sheetData sheetId="1038">
        <row r="8">
          <cell r="D8" t="str">
            <v>Paramaz Avedisian Building</v>
          </cell>
        </row>
      </sheetData>
      <sheetData sheetId="1039">
        <row r="8">
          <cell r="D8" t="str">
            <v>Paramaz Avedisian Building</v>
          </cell>
        </row>
      </sheetData>
      <sheetData sheetId="1040">
        <row r="8">
          <cell r="D8" t="str">
            <v>Paramaz Avedisian Building</v>
          </cell>
        </row>
      </sheetData>
      <sheetData sheetId="1041">
        <row r="8">
          <cell r="D8" t="str">
            <v>Paramaz Avedisian Building</v>
          </cell>
        </row>
      </sheetData>
      <sheetData sheetId="1042">
        <row r="8">
          <cell r="D8" t="str">
            <v>Paramaz Avedisian Building</v>
          </cell>
        </row>
      </sheetData>
      <sheetData sheetId="1043">
        <row r="8">
          <cell r="D8" t="str">
            <v>Paramaz Avedisian Building</v>
          </cell>
        </row>
      </sheetData>
      <sheetData sheetId="1044">
        <row r="8">
          <cell r="D8" t="str">
            <v>Paramaz Avedisian Building</v>
          </cell>
        </row>
      </sheetData>
      <sheetData sheetId="1045">
        <row r="8">
          <cell r="D8" t="str">
            <v>Paramaz Avedisian Building</v>
          </cell>
        </row>
      </sheetData>
      <sheetData sheetId="1046">
        <row r="8">
          <cell r="D8" t="str">
            <v>Paramaz Avedisian Building</v>
          </cell>
        </row>
      </sheetData>
      <sheetData sheetId="1047">
        <row r="8">
          <cell r="D8" t="str">
            <v>Paramaz Avedisian Building</v>
          </cell>
        </row>
      </sheetData>
      <sheetData sheetId="1048">
        <row r="8">
          <cell r="D8" t="str">
            <v>Paramaz Avedisian Building</v>
          </cell>
        </row>
      </sheetData>
      <sheetData sheetId="1049">
        <row r="8">
          <cell r="D8" t="str">
            <v>Paramaz Avedisian Building</v>
          </cell>
        </row>
      </sheetData>
      <sheetData sheetId="1050">
        <row r="8">
          <cell r="D8" t="str">
            <v>Paramaz Avedisian Building</v>
          </cell>
        </row>
      </sheetData>
      <sheetData sheetId="1051">
        <row r="8">
          <cell r="D8" t="str">
            <v>Paramaz Avedisian Building</v>
          </cell>
        </row>
      </sheetData>
      <sheetData sheetId="1052">
        <row r="8">
          <cell r="D8" t="str">
            <v>Paramaz Avedisian Building</v>
          </cell>
        </row>
      </sheetData>
      <sheetData sheetId="1053"/>
      <sheetData sheetId="1054">
        <row r="8">
          <cell r="D8" t="str">
            <v>Paramaz Avedisian Building</v>
          </cell>
        </row>
      </sheetData>
      <sheetData sheetId="1055">
        <row r="8">
          <cell r="D8" t="str">
            <v>Paramaz Avedisian Building</v>
          </cell>
        </row>
      </sheetData>
      <sheetData sheetId="1056">
        <row r="8">
          <cell r="D8" t="str">
            <v>Paramaz Avedisian Building</v>
          </cell>
        </row>
      </sheetData>
      <sheetData sheetId="1057">
        <row r="8">
          <cell r="D8" t="str">
            <v>Paramaz Avedisian Building</v>
          </cell>
        </row>
      </sheetData>
      <sheetData sheetId="1058">
        <row r="8">
          <cell r="D8" t="str">
            <v>Paramaz Avedisian Building</v>
          </cell>
        </row>
      </sheetData>
      <sheetData sheetId="1059">
        <row r="8">
          <cell r="D8" t="str">
            <v>Paramaz Avedisian Building</v>
          </cell>
        </row>
      </sheetData>
      <sheetData sheetId="1060">
        <row r="8">
          <cell r="D8" t="str">
            <v>Paramaz Avedisian Building</v>
          </cell>
        </row>
      </sheetData>
      <sheetData sheetId="1061">
        <row r="8">
          <cell r="D8" t="str">
            <v>Paramaz Avedisian Building</v>
          </cell>
        </row>
      </sheetData>
      <sheetData sheetId="1062">
        <row r="8">
          <cell r="D8" t="str">
            <v>Paramaz Avedisian Building</v>
          </cell>
        </row>
      </sheetData>
      <sheetData sheetId="1063">
        <row r="8">
          <cell r="D8" t="str">
            <v>Paramaz Avedisian Building</v>
          </cell>
        </row>
      </sheetData>
      <sheetData sheetId="1064">
        <row r="8">
          <cell r="D8" t="str">
            <v>Paramaz Avedisian Building</v>
          </cell>
        </row>
      </sheetData>
      <sheetData sheetId="1065">
        <row r="8">
          <cell r="D8" t="str">
            <v>Paramaz Avedisian Building</v>
          </cell>
        </row>
      </sheetData>
      <sheetData sheetId="1066">
        <row r="8">
          <cell r="D8" t="str">
            <v>Paramaz Avedisian Building</v>
          </cell>
        </row>
      </sheetData>
      <sheetData sheetId="1067">
        <row r="8">
          <cell r="D8" t="str">
            <v>Paramaz Avedisian Building</v>
          </cell>
        </row>
      </sheetData>
      <sheetData sheetId="1068">
        <row r="8">
          <cell r="D8" t="str">
            <v>Paramaz Avedisian Building</v>
          </cell>
        </row>
      </sheetData>
      <sheetData sheetId="1069">
        <row r="8">
          <cell r="D8" t="str">
            <v>Paramaz Avedisian Building</v>
          </cell>
        </row>
      </sheetData>
      <sheetData sheetId="1070">
        <row r="8">
          <cell r="D8" t="str">
            <v>Paramaz Avedisian Building</v>
          </cell>
        </row>
      </sheetData>
      <sheetData sheetId="1071">
        <row r="8">
          <cell r="D8" t="str">
            <v>Paramaz Avedisian Building</v>
          </cell>
        </row>
      </sheetData>
      <sheetData sheetId="1072">
        <row r="8">
          <cell r="D8" t="str">
            <v>Paramaz Avedisian Building</v>
          </cell>
        </row>
      </sheetData>
      <sheetData sheetId="1073">
        <row r="8">
          <cell r="D8" t="str">
            <v>Paramaz Avedisian Building</v>
          </cell>
        </row>
      </sheetData>
      <sheetData sheetId="1074">
        <row r="8">
          <cell r="D8" t="str">
            <v>Paramaz Avedisian Building</v>
          </cell>
        </row>
      </sheetData>
      <sheetData sheetId="1075">
        <row r="8">
          <cell r="D8" t="str">
            <v>Paramaz Avedisian Building</v>
          </cell>
        </row>
      </sheetData>
      <sheetData sheetId="1076">
        <row r="8">
          <cell r="D8" t="str">
            <v>Paramaz Avedisian Building</v>
          </cell>
        </row>
      </sheetData>
      <sheetData sheetId="1077">
        <row r="8">
          <cell r="D8" t="str">
            <v>Paramaz Avedisian Building</v>
          </cell>
        </row>
      </sheetData>
      <sheetData sheetId="1078">
        <row r="8">
          <cell r="D8" t="str">
            <v>Paramaz Avedisian Building</v>
          </cell>
        </row>
      </sheetData>
      <sheetData sheetId="1079">
        <row r="8">
          <cell r="D8" t="str">
            <v>Paramaz Avedisian Building</v>
          </cell>
        </row>
      </sheetData>
      <sheetData sheetId="1080">
        <row r="8">
          <cell r="D8" t="str">
            <v>Paramaz Avedisian Building</v>
          </cell>
        </row>
      </sheetData>
      <sheetData sheetId="1081">
        <row r="8">
          <cell r="D8" t="str">
            <v>Paramaz Avedisian Building</v>
          </cell>
        </row>
      </sheetData>
      <sheetData sheetId="1082">
        <row r="8">
          <cell r="D8" t="str">
            <v>Paramaz Avedisian Building</v>
          </cell>
        </row>
      </sheetData>
      <sheetData sheetId="1083">
        <row r="8">
          <cell r="D8" t="str">
            <v>Paramaz Avedisian Building</v>
          </cell>
        </row>
      </sheetData>
      <sheetData sheetId="1084">
        <row r="8">
          <cell r="D8" t="str">
            <v>Paramaz Avedisian Building</v>
          </cell>
        </row>
      </sheetData>
      <sheetData sheetId="1085">
        <row r="8">
          <cell r="D8" t="str">
            <v>Paramaz Avedisian Building</v>
          </cell>
        </row>
      </sheetData>
      <sheetData sheetId="1086">
        <row r="8">
          <cell r="D8" t="str">
            <v>Paramaz Avedisian Building</v>
          </cell>
        </row>
      </sheetData>
      <sheetData sheetId="1087">
        <row r="8">
          <cell r="D8" t="str">
            <v>Paramaz Avedisian Building</v>
          </cell>
        </row>
      </sheetData>
      <sheetData sheetId="1088">
        <row r="8">
          <cell r="D8" t="str">
            <v>Paramaz Avedisian Building</v>
          </cell>
        </row>
      </sheetData>
      <sheetData sheetId="1089">
        <row r="8">
          <cell r="D8" t="str">
            <v>Paramaz Avedisian Building</v>
          </cell>
        </row>
      </sheetData>
      <sheetData sheetId="1090">
        <row r="8">
          <cell r="D8" t="str">
            <v>Paramaz Avedisian Building</v>
          </cell>
        </row>
      </sheetData>
      <sheetData sheetId="1091">
        <row r="8">
          <cell r="D8" t="str">
            <v>Paramaz Avedisian Building</v>
          </cell>
        </row>
      </sheetData>
      <sheetData sheetId="1092">
        <row r="8">
          <cell r="D8" t="str">
            <v>Paramaz Avedisian Building</v>
          </cell>
        </row>
      </sheetData>
      <sheetData sheetId="1093">
        <row r="8">
          <cell r="D8" t="str">
            <v>Paramaz Avedisian Building</v>
          </cell>
        </row>
      </sheetData>
      <sheetData sheetId="1094">
        <row r="8">
          <cell r="D8" t="str">
            <v>Paramaz Avedisian Building</v>
          </cell>
        </row>
      </sheetData>
      <sheetData sheetId="1095">
        <row r="8">
          <cell r="D8" t="str">
            <v>Paramaz Avedisian Building</v>
          </cell>
        </row>
      </sheetData>
      <sheetData sheetId="1096">
        <row r="8">
          <cell r="D8" t="str">
            <v>Paramaz Avedisian Building</v>
          </cell>
        </row>
      </sheetData>
      <sheetData sheetId="1097">
        <row r="8">
          <cell r="D8" t="str">
            <v>Paramaz Avedisian Building</v>
          </cell>
        </row>
      </sheetData>
      <sheetData sheetId="1098">
        <row r="8">
          <cell r="D8" t="str">
            <v>Paramaz Avedisian Building</v>
          </cell>
        </row>
      </sheetData>
      <sheetData sheetId="1099">
        <row r="8">
          <cell r="D8" t="str">
            <v>Paramaz Avedisian Building</v>
          </cell>
        </row>
      </sheetData>
      <sheetData sheetId="1100">
        <row r="8">
          <cell r="D8" t="str">
            <v>Paramaz Avedisian Building</v>
          </cell>
        </row>
      </sheetData>
      <sheetData sheetId="1101">
        <row r="8">
          <cell r="D8" t="str">
            <v>Paramaz Avedisian Building</v>
          </cell>
        </row>
      </sheetData>
      <sheetData sheetId="1102">
        <row r="8">
          <cell r="D8" t="str">
            <v>Paramaz Avedisian Building</v>
          </cell>
        </row>
      </sheetData>
      <sheetData sheetId="1103">
        <row r="8">
          <cell r="D8" t="str">
            <v>Paramaz Avedisian Building</v>
          </cell>
        </row>
      </sheetData>
      <sheetData sheetId="1104">
        <row r="8">
          <cell r="D8" t="str">
            <v>Paramaz Avedisian Building</v>
          </cell>
        </row>
      </sheetData>
      <sheetData sheetId="1105">
        <row r="8">
          <cell r="D8" t="str">
            <v>Paramaz Avedisian Building</v>
          </cell>
        </row>
      </sheetData>
      <sheetData sheetId="1106">
        <row r="8">
          <cell r="D8" t="str">
            <v>Paramaz Avedisian Building</v>
          </cell>
        </row>
      </sheetData>
      <sheetData sheetId="1107">
        <row r="8">
          <cell r="D8" t="str">
            <v>Paramaz Avedisian Building</v>
          </cell>
        </row>
      </sheetData>
      <sheetData sheetId="1108">
        <row r="8">
          <cell r="D8" t="str">
            <v>Paramaz Avedisian Building</v>
          </cell>
        </row>
      </sheetData>
      <sheetData sheetId="1109">
        <row r="8">
          <cell r="D8" t="str">
            <v>Paramaz Avedisian Building</v>
          </cell>
        </row>
      </sheetData>
      <sheetData sheetId="1110">
        <row r="8">
          <cell r="D8" t="str">
            <v>Paramaz Avedisian Building</v>
          </cell>
        </row>
      </sheetData>
      <sheetData sheetId="1111">
        <row r="8">
          <cell r="D8" t="str">
            <v>Paramaz Avedisian Building</v>
          </cell>
        </row>
      </sheetData>
      <sheetData sheetId="1112">
        <row r="8">
          <cell r="D8" t="str">
            <v>Paramaz Avedisian Building</v>
          </cell>
        </row>
      </sheetData>
      <sheetData sheetId="1113">
        <row r="8">
          <cell r="D8" t="str">
            <v>Paramaz Avedisian Building</v>
          </cell>
        </row>
      </sheetData>
      <sheetData sheetId="1114">
        <row r="8">
          <cell r="D8" t="str">
            <v>Paramaz Avedisian Building</v>
          </cell>
        </row>
      </sheetData>
      <sheetData sheetId="1115">
        <row r="8">
          <cell r="D8" t="str">
            <v>Paramaz Avedisian Building</v>
          </cell>
        </row>
      </sheetData>
      <sheetData sheetId="1116">
        <row r="8">
          <cell r="D8" t="str">
            <v>Paramaz Avedisian Building</v>
          </cell>
        </row>
      </sheetData>
      <sheetData sheetId="1117">
        <row r="8">
          <cell r="D8" t="str">
            <v>Paramaz Avedisian Building</v>
          </cell>
        </row>
      </sheetData>
      <sheetData sheetId="1118">
        <row r="8">
          <cell r="D8" t="str">
            <v>Paramaz Avedisian Building</v>
          </cell>
        </row>
      </sheetData>
      <sheetData sheetId="1119">
        <row r="8">
          <cell r="D8" t="str">
            <v>Paramaz Avedisian Building</v>
          </cell>
        </row>
      </sheetData>
      <sheetData sheetId="1120">
        <row r="8">
          <cell r="D8" t="str">
            <v>Paramaz Avedisian Building</v>
          </cell>
        </row>
      </sheetData>
      <sheetData sheetId="1121">
        <row r="8">
          <cell r="D8" t="str">
            <v>Paramaz Avedisian Building</v>
          </cell>
        </row>
      </sheetData>
      <sheetData sheetId="1122">
        <row r="8">
          <cell r="D8" t="str">
            <v>Paramaz Avedisian Building</v>
          </cell>
        </row>
      </sheetData>
      <sheetData sheetId="1123">
        <row r="8">
          <cell r="D8" t="str">
            <v>Paramaz Avedisian Building</v>
          </cell>
        </row>
      </sheetData>
      <sheetData sheetId="1124">
        <row r="8">
          <cell r="D8" t="str">
            <v>Paramaz Avedisian Building</v>
          </cell>
        </row>
      </sheetData>
      <sheetData sheetId="1125">
        <row r="8">
          <cell r="D8" t="str">
            <v>Paramaz Avedisian Building</v>
          </cell>
        </row>
      </sheetData>
      <sheetData sheetId="1126">
        <row r="8">
          <cell r="D8" t="str">
            <v>Paramaz Avedisian Building</v>
          </cell>
        </row>
      </sheetData>
      <sheetData sheetId="1127">
        <row r="8">
          <cell r="D8" t="str">
            <v>Paramaz Avedisian Building</v>
          </cell>
        </row>
      </sheetData>
      <sheetData sheetId="1128">
        <row r="8">
          <cell r="D8" t="str">
            <v>Paramaz Avedisian Building</v>
          </cell>
        </row>
      </sheetData>
      <sheetData sheetId="1129">
        <row r="8">
          <cell r="D8" t="str">
            <v>Paramaz Avedisian Building</v>
          </cell>
        </row>
      </sheetData>
      <sheetData sheetId="1130">
        <row r="8">
          <cell r="D8" t="str">
            <v>Paramaz Avedisian Building</v>
          </cell>
        </row>
      </sheetData>
      <sheetData sheetId="1131">
        <row r="8">
          <cell r="D8" t="str">
            <v>Paramaz Avedisian Building</v>
          </cell>
        </row>
      </sheetData>
      <sheetData sheetId="1132">
        <row r="8">
          <cell r="D8" t="str">
            <v>Paramaz Avedisian Building</v>
          </cell>
        </row>
      </sheetData>
      <sheetData sheetId="1133">
        <row r="8">
          <cell r="D8" t="str">
            <v>Paramaz Avedisian Building</v>
          </cell>
        </row>
      </sheetData>
      <sheetData sheetId="1134">
        <row r="8">
          <cell r="D8" t="str">
            <v>Paramaz Avedisian Building</v>
          </cell>
        </row>
      </sheetData>
      <sheetData sheetId="1135">
        <row r="8">
          <cell r="D8" t="str">
            <v>Paramaz Avedisian Building</v>
          </cell>
        </row>
      </sheetData>
      <sheetData sheetId="1136">
        <row r="8">
          <cell r="D8" t="str">
            <v>Paramaz Avedisian Building</v>
          </cell>
        </row>
      </sheetData>
      <sheetData sheetId="1137">
        <row r="8">
          <cell r="D8" t="str">
            <v>Paramaz Avedisian Building</v>
          </cell>
        </row>
      </sheetData>
      <sheetData sheetId="1138">
        <row r="8">
          <cell r="D8" t="str">
            <v>Paramaz Avedisian Building</v>
          </cell>
        </row>
      </sheetData>
      <sheetData sheetId="1139">
        <row r="8">
          <cell r="D8" t="str">
            <v>Paramaz Avedisian Building</v>
          </cell>
        </row>
      </sheetData>
      <sheetData sheetId="1140">
        <row r="8">
          <cell r="D8" t="str">
            <v>Paramaz Avedisian Building</v>
          </cell>
        </row>
      </sheetData>
      <sheetData sheetId="1141">
        <row r="8">
          <cell r="D8" t="str">
            <v>Paramaz Avedisian Building</v>
          </cell>
        </row>
      </sheetData>
      <sheetData sheetId="1142">
        <row r="8">
          <cell r="D8" t="str">
            <v>Paramaz Avedisian Building</v>
          </cell>
        </row>
      </sheetData>
      <sheetData sheetId="1143">
        <row r="8">
          <cell r="D8" t="str">
            <v>Paramaz Avedisian Building</v>
          </cell>
        </row>
      </sheetData>
      <sheetData sheetId="1144">
        <row r="8">
          <cell r="D8" t="str">
            <v>Paramaz Avedisian Building</v>
          </cell>
        </row>
      </sheetData>
      <sheetData sheetId="1145">
        <row r="8">
          <cell r="D8" t="str">
            <v>Paramaz Avedisian Building</v>
          </cell>
        </row>
      </sheetData>
      <sheetData sheetId="1146">
        <row r="8">
          <cell r="D8" t="str">
            <v>Paramaz Avedisian Building</v>
          </cell>
        </row>
      </sheetData>
      <sheetData sheetId="1147">
        <row r="8">
          <cell r="D8" t="str">
            <v>Paramaz Avedisian Building</v>
          </cell>
        </row>
      </sheetData>
      <sheetData sheetId="1148">
        <row r="8">
          <cell r="D8" t="str">
            <v>Paramaz Avedisian Building</v>
          </cell>
        </row>
      </sheetData>
      <sheetData sheetId="1149">
        <row r="8">
          <cell r="D8" t="str">
            <v>Paramaz Avedisian Building</v>
          </cell>
        </row>
      </sheetData>
      <sheetData sheetId="1150">
        <row r="8">
          <cell r="D8" t="str">
            <v>Paramaz Avedisian Building</v>
          </cell>
        </row>
      </sheetData>
      <sheetData sheetId="1151">
        <row r="8">
          <cell r="D8" t="str">
            <v>Paramaz Avedisian Building</v>
          </cell>
        </row>
      </sheetData>
      <sheetData sheetId="1152">
        <row r="8">
          <cell r="D8" t="str">
            <v>Paramaz Avedisian Building</v>
          </cell>
        </row>
      </sheetData>
      <sheetData sheetId="1153">
        <row r="8">
          <cell r="D8" t="str">
            <v>Paramaz Avedisian Building</v>
          </cell>
        </row>
      </sheetData>
      <sheetData sheetId="1154">
        <row r="8">
          <cell r="D8" t="str">
            <v>Paramaz Avedisian Building</v>
          </cell>
        </row>
      </sheetData>
      <sheetData sheetId="1155">
        <row r="8">
          <cell r="D8" t="str">
            <v>Paramaz Avedisian Building</v>
          </cell>
        </row>
      </sheetData>
      <sheetData sheetId="1156">
        <row r="8">
          <cell r="D8" t="str">
            <v>Paramaz Avedisian Building</v>
          </cell>
        </row>
      </sheetData>
      <sheetData sheetId="1157">
        <row r="8">
          <cell r="D8" t="str">
            <v>Paramaz Avedisian Building</v>
          </cell>
        </row>
      </sheetData>
      <sheetData sheetId="1158">
        <row r="8">
          <cell r="D8" t="str">
            <v>Paramaz Avedisian Building</v>
          </cell>
        </row>
      </sheetData>
      <sheetData sheetId="1159">
        <row r="8">
          <cell r="D8" t="str">
            <v>Paramaz Avedisian Building</v>
          </cell>
        </row>
      </sheetData>
      <sheetData sheetId="1160">
        <row r="8">
          <cell r="D8" t="str">
            <v>Paramaz Avedisian Building</v>
          </cell>
        </row>
      </sheetData>
      <sheetData sheetId="1161">
        <row r="8">
          <cell r="D8" t="str">
            <v>Paramaz Avedisian Building</v>
          </cell>
        </row>
      </sheetData>
      <sheetData sheetId="1162">
        <row r="8">
          <cell r="D8" t="str">
            <v>Paramaz Avedisian Building</v>
          </cell>
        </row>
      </sheetData>
      <sheetData sheetId="1163">
        <row r="8">
          <cell r="D8" t="str">
            <v>Paramaz Avedisian Building</v>
          </cell>
        </row>
      </sheetData>
      <sheetData sheetId="1164">
        <row r="8">
          <cell r="D8" t="str">
            <v>Paramaz Avedisian Building</v>
          </cell>
        </row>
      </sheetData>
      <sheetData sheetId="1165">
        <row r="8">
          <cell r="D8" t="str">
            <v>Paramaz Avedisian Building</v>
          </cell>
        </row>
      </sheetData>
      <sheetData sheetId="1166">
        <row r="8">
          <cell r="D8" t="str">
            <v>Paramaz Avedisian Building</v>
          </cell>
        </row>
      </sheetData>
      <sheetData sheetId="1167">
        <row r="8">
          <cell r="D8" t="str">
            <v>Paramaz Avedisian Building</v>
          </cell>
        </row>
      </sheetData>
      <sheetData sheetId="1168">
        <row r="8">
          <cell r="D8" t="str">
            <v>Paramaz Avedisian Building</v>
          </cell>
        </row>
      </sheetData>
      <sheetData sheetId="1169">
        <row r="8">
          <cell r="D8" t="str">
            <v>Paramaz Avedisian Building</v>
          </cell>
        </row>
      </sheetData>
      <sheetData sheetId="1170">
        <row r="8">
          <cell r="D8" t="str">
            <v>Paramaz Avedisian Building</v>
          </cell>
        </row>
      </sheetData>
      <sheetData sheetId="1171">
        <row r="8">
          <cell r="D8" t="str">
            <v>Paramaz Avedisian Building</v>
          </cell>
        </row>
      </sheetData>
      <sheetData sheetId="1172">
        <row r="8">
          <cell r="D8" t="str">
            <v>Paramaz Avedisian Building</v>
          </cell>
        </row>
      </sheetData>
      <sheetData sheetId="1173">
        <row r="8">
          <cell r="D8" t="str">
            <v>Paramaz Avedisian Building</v>
          </cell>
        </row>
      </sheetData>
      <sheetData sheetId="1174">
        <row r="8">
          <cell r="D8" t="str">
            <v>Paramaz Avedisian Building</v>
          </cell>
        </row>
      </sheetData>
      <sheetData sheetId="1175">
        <row r="8">
          <cell r="D8" t="str">
            <v>Paramaz Avedisian Building</v>
          </cell>
        </row>
      </sheetData>
      <sheetData sheetId="1176">
        <row r="8">
          <cell r="D8" t="str">
            <v>Paramaz Avedisian Building</v>
          </cell>
        </row>
      </sheetData>
      <sheetData sheetId="1177">
        <row r="8">
          <cell r="D8" t="str">
            <v>Paramaz Avedisian Building</v>
          </cell>
        </row>
      </sheetData>
      <sheetData sheetId="1178">
        <row r="8">
          <cell r="D8" t="str">
            <v>Paramaz Avedisian Building</v>
          </cell>
        </row>
      </sheetData>
      <sheetData sheetId="1179">
        <row r="8">
          <cell r="D8" t="str">
            <v>Paramaz Avedisian Building</v>
          </cell>
        </row>
      </sheetData>
      <sheetData sheetId="1180">
        <row r="8">
          <cell r="D8" t="str">
            <v>Paramaz Avedisian Building</v>
          </cell>
        </row>
      </sheetData>
      <sheetData sheetId="1181">
        <row r="8">
          <cell r="D8" t="str">
            <v>Paramaz Avedisian Building</v>
          </cell>
        </row>
      </sheetData>
      <sheetData sheetId="1182">
        <row r="8">
          <cell r="D8" t="str">
            <v>Paramaz Avedisian Building</v>
          </cell>
        </row>
      </sheetData>
      <sheetData sheetId="1183">
        <row r="8">
          <cell r="D8" t="str">
            <v>Paramaz Avedisian Building</v>
          </cell>
        </row>
      </sheetData>
      <sheetData sheetId="1184">
        <row r="8">
          <cell r="D8" t="str">
            <v>Paramaz Avedisian Building</v>
          </cell>
        </row>
      </sheetData>
      <sheetData sheetId="1185">
        <row r="8">
          <cell r="D8" t="str">
            <v>Paramaz Avedisian Building</v>
          </cell>
        </row>
      </sheetData>
      <sheetData sheetId="1186">
        <row r="8">
          <cell r="D8" t="str">
            <v>Paramaz Avedisian Building</v>
          </cell>
        </row>
      </sheetData>
      <sheetData sheetId="1187">
        <row r="8">
          <cell r="D8" t="str">
            <v>Paramaz Avedisian Building</v>
          </cell>
        </row>
      </sheetData>
      <sheetData sheetId="1188">
        <row r="8">
          <cell r="D8" t="str">
            <v>Paramaz Avedisian Building</v>
          </cell>
        </row>
      </sheetData>
      <sheetData sheetId="1189">
        <row r="8">
          <cell r="D8" t="str">
            <v>Paramaz Avedisian Building</v>
          </cell>
        </row>
      </sheetData>
      <sheetData sheetId="1190">
        <row r="8">
          <cell r="D8" t="str">
            <v>Paramaz Avedisian Building</v>
          </cell>
        </row>
      </sheetData>
      <sheetData sheetId="1191">
        <row r="8">
          <cell r="D8" t="str">
            <v>Paramaz Avedisian Building</v>
          </cell>
        </row>
      </sheetData>
      <sheetData sheetId="1192">
        <row r="8">
          <cell r="D8" t="str">
            <v>Paramaz Avedisian Building</v>
          </cell>
        </row>
      </sheetData>
      <sheetData sheetId="1193">
        <row r="8">
          <cell r="D8" t="str">
            <v>Paramaz Avedisian Building</v>
          </cell>
        </row>
      </sheetData>
      <sheetData sheetId="1194">
        <row r="8">
          <cell r="D8" t="str">
            <v>Paramaz Avedisian Building</v>
          </cell>
        </row>
      </sheetData>
      <sheetData sheetId="1195">
        <row r="8">
          <cell r="D8" t="str">
            <v>Paramaz Avedisian Building</v>
          </cell>
        </row>
      </sheetData>
      <sheetData sheetId="1196">
        <row r="8">
          <cell r="D8" t="str">
            <v>Paramaz Avedisian Building</v>
          </cell>
        </row>
      </sheetData>
      <sheetData sheetId="1197">
        <row r="8">
          <cell r="D8" t="str">
            <v>Paramaz Avedisian Building</v>
          </cell>
        </row>
      </sheetData>
      <sheetData sheetId="1198">
        <row r="8">
          <cell r="D8" t="str">
            <v>Paramaz Avedisian Building</v>
          </cell>
        </row>
      </sheetData>
      <sheetData sheetId="1199">
        <row r="8">
          <cell r="D8" t="str">
            <v>Paramaz Avedisian Building</v>
          </cell>
        </row>
      </sheetData>
      <sheetData sheetId="1200">
        <row r="8">
          <cell r="D8" t="str">
            <v>Paramaz Avedisian Building</v>
          </cell>
        </row>
      </sheetData>
      <sheetData sheetId="1201">
        <row r="8">
          <cell r="D8" t="str">
            <v>Paramaz Avedisian Building</v>
          </cell>
        </row>
      </sheetData>
      <sheetData sheetId="1202">
        <row r="8">
          <cell r="D8" t="str">
            <v>Paramaz Avedisian Building</v>
          </cell>
        </row>
      </sheetData>
      <sheetData sheetId="1203">
        <row r="8">
          <cell r="D8" t="str">
            <v>Paramaz Avedisian Building</v>
          </cell>
        </row>
      </sheetData>
      <sheetData sheetId="1204">
        <row r="8">
          <cell r="D8" t="str">
            <v>Paramaz Avedisian Building</v>
          </cell>
        </row>
      </sheetData>
      <sheetData sheetId="1205">
        <row r="8">
          <cell r="D8" t="str">
            <v>Paramaz Avedisian Building</v>
          </cell>
        </row>
      </sheetData>
      <sheetData sheetId="1206">
        <row r="8">
          <cell r="D8" t="str">
            <v>Paramaz Avedisian Building</v>
          </cell>
        </row>
      </sheetData>
      <sheetData sheetId="1207">
        <row r="8">
          <cell r="D8" t="str">
            <v>Paramaz Avedisian Building</v>
          </cell>
        </row>
      </sheetData>
      <sheetData sheetId="1208">
        <row r="8">
          <cell r="D8" t="str">
            <v>Paramaz Avedisian Building</v>
          </cell>
        </row>
      </sheetData>
      <sheetData sheetId="1209">
        <row r="8">
          <cell r="D8" t="str">
            <v>Paramaz Avedisian Building</v>
          </cell>
        </row>
      </sheetData>
      <sheetData sheetId="1210">
        <row r="8">
          <cell r="D8" t="str">
            <v>Paramaz Avedisian Building</v>
          </cell>
        </row>
      </sheetData>
      <sheetData sheetId="1211">
        <row r="8">
          <cell r="D8" t="str">
            <v>Paramaz Avedisian Building</v>
          </cell>
        </row>
      </sheetData>
      <sheetData sheetId="1212">
        <row r="8">
          <cell r="D8" t="str">
            <v>Paramaz Avedisian Building</v>
          </cell>
        </row>
      </sheetData>
      <sheetData sheetId="1213">
        <row r="8">
          <cell r="D8" t="str">
            <v>Paramaz Avedisian Building</v>
          </cell>
        </row>
      </sheetData>
      <sheetData sheetId="1214">
        <row r="8">
          <cell r="D8" t="str">
            <v>Paramaz Avedisian Building</v>
          </cell>
        </row>
      </sheetData>
      <sheetData sheetId="1215">
        <row r="8">
          <cell r="D8" t="str">
            <v>Paramaz Avedisian Building</v>
          </cell>
        </row>
      </sheetData>
      <sheetData sheetId="1216">
        <row r="8">
          <cell r="D8" t="str">
            <v>Paramaz Avedisian Building</v>
          </cell>
        </row>
      </sheetData>
      <sheetData sheetId="1217">
        <row r="8">
          <cell r="D8" t="str">
            <v>Paramaz Avedisian Building</v>
          </cell>
        </row>
      </sheetData>
      <sheetData sheetId="1218">
        <row r="8">
          <cell r="D8" t="str">
            <v>Paramaz Avedisian Building</v>
          </cell>
        </row>
      </sheetData>
      <sheetData sheetId="1219">
        <row r="8">
          <cell r="D8" t="str">
            <v>Paramaz Avedisian Building</v>
          </cell>
        </row>
      </sheetData>
      <sheetData sheetId="1220">
        <row r="8">
          <cell r="D8" t="str">
            <v>Paramaz Avedisian Building</v>
          </cell>
        </row>
      </sheetData>
      <sheetData sheetId="1221">
        <row r="8">
          <cell r="D8" t="str">
            <v>Paramaz Avedisian Building</v>
          </cell>
        </row>
      </sheetData>
      <sheetData sheetId="1222">
        <row r="8">
          <cell r="D8" t="str">
            <v>Paramaz Avedisian Building</v>
          </cell>
        </row>
      </sheetData>
      <sheetData sheetId="1223">
        <row r="8">
          <cell r="D8" t="str">
            <v>Paramaz Avedisian Building</v>
          </cell>
        </row>
      </sheetData>
      <sheetData sheetId="1224">
        <row r="8">
          <cell r="D8" t="str">
            <v>Paramaz Avedisian Building</v>
          </cell>
        </row>
      </sheetData>
      <sheetData sheetId="1225">
        <row r="8">
          <cell r="D8" t="str">
            <v>Paramaz Avedisian Building</v>
          </cell>
        </row>
      </sheetData>
      <sheetData sheetId="1226">
        <row r="8">
          <cell r="D8" t="str">
            <v>Paramaz Avedisian Building</v>
          </cell>
        </row>
      </sheetData>
      <sheetData sheetId="1227">
        <row r="8">
          <cell r="D8" t="str">
            <v>Paramaz Avedisian Building</v>
          </cell>
        </row>
      </sheetData>
      <sheetData sheetId="1228">
        <row r="8">
          <cell r="D8" t="str">
            <v>Paramaz Avedisian Building</v>
          </cell>
        </row>
      </sheetData>
      <sheetData sheetId="1229">
        <row r="8">
          <cell r="D8" t="str">
            <v>Paramaz Avedisian Building</v>
          </cell>
        </row>
      </sheetData>
      <sheetData sheetId="1230">
        <row r="8">
          <cell r="D8" t="str">
            <v>Paramaz Avedisian Building</v>
          </cell>
        </row>
      </sheetData>
      <sheetData sheetId="1231">
        <row r="8">
          <cell r="D8" t="str">
            <v>Paramaz Avedisian Building</v>
          </cell>
        </row>
      </sheetData>
      <sheetData sheetId="1232">
        <row r="8">
          <cell r="D8" t="str">
            <v>Paramaz Avedisian Building</v>
          </cell>
        </row>
      </sheetData>
      <sheetData sheetId="1233">
        <row r="8">
          <cell r="D8" t="str">
            <v>Paramaz Avedisian Building</v>
          </cell>
        </row>
      </sheetData>
      <sheetData sheetId="1234">
        <row r="8">
          <cell r="D8" t="str">
            <v>Paramaz Avedisian Building</v>
          </cell>
        </row>
      </sheetData>
      <sheetData sheetId="1235">
        <row r="8">
          <cell r="D8" t="str">
            <v>Paramaz Avedisian Building</v>
          </cell>
        </row>
      </sheetData>
      <sheetData sheetId="1236">
        <row r="8">
          <cell r="D8" t="str">
            <v>Paramaz Avedisian Building</v>
          </cell>
        </row>
      </sheetData>
      <sheetData sheetId="1237">
        <row r="8">
          <cell r="D8" t="str">
            <v>Paramaz Avedisian Building</v>
          </cell>
        </row>
      </sheetData>
      <sheetData sheetId="1238">
        <row r="8">
          <cell r="D8" t="str">
            <v>Paramaz Avedisian Building</v>
          </cell>
        </row>
      </sheetData>
      <sheetData sheetId="1239">
        <row r="8">
          <cell r="D8" t="str">
            <v>Paramaz Avedisian Building</v>
          </cell>
        </row>
      </sheetData>
      <sheetData sheetId="1240">
        <row r="8">
          <cell r="D8" t="str">
            <v>Paramaz Avedisian Building</v>
          </cell>
        </row>
      </sheetData>
      <sheetData sheetId="1241">
        <row r="8">
          <cell r="D8" t="str">
            <v>Paramaz Avedisian Building</v>
          </cell>
        </row>
      </sheetData>
      <sheetData sheetId="1242">
        <row r="8">
          <cell r="D8" t="str">
            <v>Paramaz Avedisian Building</v>
          </cell>
        </row>
      </sheetData>
      <sheetData sheetId="1243">
        <row r="8">
          <cell r="D8" t="str">
            <v>Paramaz Avedisian Building</v>
          </cell>
        </row>
      </sheetData>
      <sheetData sheetId="1244">
        <row r="8">
          <cell r="D8" t="str">
            <v>Paramaz Avedisian Building</v>
          </cell>
        </row>
      </sheetData>
      <sheetData sheetId="1245">
        <row r="8">
          <cell r="D8" t="str">
            <v>Paramaz Avedisian Building</v>
          </cell>
        </row>
      </sheetData>
      <sheetData sheetId="1246">
        <row r="8">
          <cell r="D8" t="str">
            <v>Paramaz Avedisian Building</v>
          </cell>
        </row>
      </sheetData>
      <sheetData sheetId="1247">
        <row r="8">
          <cell r="D8" t="str">
            <v>Paramaz Avedisian Building</v>
          </cell>
        </row>
      </sheetData>
      <sheetData sheetId="1248">
        <row r="8">
          <cell r="D8" t="str">
            <v>Paramaz Avedisian Building</v>
          </cell>
        </row>
      </sheetData>
      <sheetData sheetId="1249">
        <row r="8">
          <cell r="D8" t="str">
            <v>Paramaz Avedisian Building</v>
          </cell>
        </row>
      </sheetData>
      <sheetData sheetId="1250">
        <row r="8">
          <cell r="D8" t="str">
            <v>Paramaz Avedisian Building</v>
          </cell>
        </row>
      </sheetData>
      <sheetData sheetId="1251">
        <row r="8">
          <cell r="D8" t="str">
            <v>Paramaz Avedisian Building</v>
          </cell>
        </row>
      </sheetData>
      <sheetData sheetId="1252">
        <row r="8">
          <cell r="D8" t="str">
            <v>Paramaz Avedisian Building</v>
          </cell>
        </row>
      </sheetData>
      <sheetData sheetId="1253">
        <row r="8">
          <cell r="D8" t="str">
            <v>Paramaz Avedisian Building</v>
          </cell>
        </row>
      </sheetData>
      <sheetData sheetId="1254">
        <row r="8">
          <cell r="D8" t="str">
            <v>Paramaz Avedisian Building</v>
          </cell>
        </row>
      </sheetData>
      <sheetData sheetId="1255">
        <row r="8">
          <cell r="D8" t="str">
            <v>Paramaz Avedisian Building</v>
          </cell>
        </row>
      </sheetData>
      <sheetData sheetId="1256">
        <row r="8">
          <cell r="D8" t="str">
            <v>Paramaz Avedisian Building</v>
          </cell>
        </row>
      </sheetData>
      <sheetData sheetId="1257">
        <row r="8">
          <cell r="D8" t="str">
            <v>Paramaz Avedisian Building</v>
          </cell>
        </row>
      </sheetData>
      <sheetData sheetId="1258">
        <row r="8">
          <cell r="D8" t="str">
            <v>Paramaz Avedisian Building</v>
          </cell>
        </row>
      </sheetData>
      <sheetData sheetId="1259">
        <row r="8">
          <cell r="D8" t="str">
            <v>Paramaz Avedisian Building</v>
          </cell>
        </row>
      </sheetData>
      <sheetData sheetId="1260">
        <row r="8">
          <cell r="D8" t="str">
            <v>Paramaz Avedisian Building</v>
          </cell>
        </row>
      </sheetData>
      <sheetData sheetId="1261">
        <row r="8">
          <cell r="D8" t="str">
            <v>Paramaz Avedisian Building</v>
          </cell>
        </row>
      </sheetData>
      <sheetData sheetId="1262">
        <row r="8">
          <cell r="D8" t="str">
            <v>Paramaz Avedisian Building</v>
          </cell>
        </row>
      </sheetData>
      <sheetData sheetId="1263">
        <row r="8">
          <cell r="D8" t="str">
            <v>Paramaz Avedisian Building</v>
          </cell>
        </row>
      </sheetData>
      <sheetData sheetId="1264">
        <row r="8">
          <cell r="D8" t="str">
            <v>Paramaz Avedisian Building</v>
          </cell>
        </row>
      </sheetData>
      <sheetData sheetId="1265">
        <row r="8">
          <cell r="D8" t="str">
            <v>Paramaz Avedisian Building</v>
          </cell>
        </row>
      </sheetData>
      <sheetData sheetId="1266">
        <row r="8">
          <cell r="D8" t="str">
            <v>Paramaz Avedisian Building</v>
          </cell>
        </row>
      </sheetData>
      <sheetData sheetId="1267">
        <row r="8">
          <cell r="D8" t="str">
            <v>Paramaz Avedisian Building</v>
          </cell>
        </row>
      </sheetData>
      <sheetData sheetId="1268">
        <row r="8">
          <cell r="D8" t="str">
            <v>Paramaz Avedisian Building</v>
          </cell>
        </row>
      </sheetData>
      <sheetData sheetId="1269">
        <row r="8">
          <cell r="D8" t="str">
            <v>Paramaz Avedisian Building</v>
          </cell>
        </row>
      </sheetData>
      <sheetData sheetId="1270">
        <row r="8">
          <cell r="D8" t="str">
            <v>Paramaz Avedisian Building</v>
          </cell>
        </row>
      </sheetData>
      <sheetData sheetId="1271">
        <row r="8">
          <cell r="D8" t="str">
            <v>Paramaz Avedisian Building</v>
          </cell>
        </row>
      </sheetData>
      <sheetData sheetId="1272">
        <row r="8">
          <cell r="D8" t="str">
            <v>Paramaz Avedisian Building</v>
          </cell>
        </row>
      </sheetData>
      <sheetData sheetId="1273">
        <row r="8">
          <cell r="D8" t="str">
            <v>Paramaz Avedisian Building</v>
          </cell>
        </row>
      </sheetData>
      <sheetData sheetId="1274">
        <row r="8">
          <cell r="D8" t="str">
            <v>Paramaz Avedisian Building</v>
          </cell>
        </row>
      </sheetData>
      <sheetData sheetId="1275">
        <row r="8">
          <cell r="D8" t="str">
            <v>Paramaz Avedisian Building</v>
          </cell>
        </row>
      </sheetData>
      <sheetData sheetId="1276">
        <row r="8">
          <cell r="D8" t="str">
            <v>Paramaz Avedisian Building</v>
          </cell>
        </row>
      </sheetData>
      <sheetData sheetId="1277">
        <row r="8">
          <cell r="D8" t="str">
            <v>Paramaz Avedisian Building</v>
          </cell>
        </row>
      </sheetData>
      <sheetData sheetId="1278">
        <row r="8">
          <cell r="D8" t="str">
            <v>Paramaz Avedisian Building</v>
          </cell>
        </row>
      </sheetData>
      <sheetData sheetId="1279">
        <row r="8">
          <cell r="D8" t="str">
            <v>Paramaz Avedisian Building</v>
          </cell>
        </row>
      </sheetData>
      <sheetData sheetId="1280">
        <row r="8">
          <cell r="D8" t="str">
            <v>Paramaz Avedisian Building</v>
          </cell>
        </row>
      </sheetData>
      <sheetData sheetId="1281">
        <row r="8">
          <cell r="D8" t="str">
            <v>Paramaz Avedisian Building</v>
          </cell>
        </row>
      </sheetData>
      <sheetData sheetId="1282">
        <row r="8">
          <cell r="D8" t="str">
            <v>Paramaz Avedisian Building</v>
          </cell>
        </row>
      </sheetData>
      <sheetData sheetId="1283">
        <row r="8">
          <cell r="D8" t="str">
            <v>Paramaz Avedisian Building</v>
          </cell>
        </row>
      </sheetData>
      <sheetData sheetId="1284">
        <row r="8">
          <cell r="D8" t="str">
            <v>Paramaz Avedisian Building</v>
          </cell>
        </row>
      </sheetData>
      <sheetData sheetId="1285">
        <row r="8">
          <cell r="D8" t="str">
            <v>Paramaz Avedisian Building</v>
          </cell>
        </row>
      </sheetData>
      <sheetData sheetId="1286">
        <row r="8">
          <cell r="D8" t="str">
            <v>Paramaz Avedisian Building</v>
          </cell>
        </row>
      </sheetData>
      <sheetData sheetId="1287">
        <row r="8">
          <cell r="D8" t="str">
            <v>Paramaz Avedisian Building</v>
          </cell>
        </row>
      </sheetData>
      <sheetData sheetId="1288">
        <row r="8">
          <cell r="D8" t="str">
            <v>Paramaz Avedisian Building</v>
          </cell>
        </row>
      </sheetData>
      <sheetData sheetId="1289">
        <row r="8">
          <cell r="D8" t="str">
            <v>Paramaz Avedisian Building</v>
          </cell>
        </row>
      </sheetData>
      <sheetData sheetId="1290">
        <row r="8">
          <cell r="D8" t="str">
            <v>Paramaz Avedisian Building</v>
          </cell>
        </row>
      </sheetData>
      <sheetData sheetId="1291">
        <row r="8">
          <cell r="D8" t="str">
            <v>Paramaz Avedisian Building</v>
          </cell>
        </row>
      </sheetData>
      <sheetData sheetId="1292">
        <row r="8">
          <cell r="D8" t="str">
            <v>Paramaz Avedisian Building</v>
          </cell>
        </row>
      </sheetData>
      <sheetData sheetId="1293">
        <row r="8">
          <cell r="D8" t="str">
            <v>Paramaz Avedisian Building</v>
          </cell>
        </row>
      </sheetData>
      <sheetData sheetId="1294">
        <row r="8">
          <cell r="D8" t="str">
            <v>Paramaz Avedisian Building</v>
          </cell>
        </row>
      </sheetData>
      <sheetData sheetId="1295">
        <row r="8">
          <cell r="D8" t="str">
            <v>Paramaz Avedisian Building</v>
          </cell>
        </row>
      </sheetData>
      <sheetData sheetId="1296">
        <row r="8">
          <cell r="D8" t="str">
            <v>Paramaz Avedisian Building</v>
          </cell>
        </row>
      </sheetData>
      <sheetData sheetId="1297">
        <row r="8">
          <cell r="D8" t="str">
            <v>Paramaz Avedisian Building</v>
          </cell>
        </row>
      </sheetData>
      <sheetData sheetId="1298">
        <row r="8">
          <cell r="D8" t="str">
            <v>Paramaz Avedisian Building</v>
          </cell>
        </row>
      </sheetData>
      <sheetData sheetId="1299">
        <row r="8">
          <cell r="D8" t="str">
            <v>Paramaz Avedisian Building</v>
          </cell>
        </row>
      </sheetData>
      <sheetData sheetId="1300">
        <row r="8">
          <cell r="D8" t="str">
            <v>Paramaz Avedisian Building</v>
          </cell>
        </row>
      </sheetData>
      <sheetData sheetId="1301">
        <row r="8">
          <cell r="D8" t="str">
            <v>Paramaz Avedisian Building</v>
          </cell>
        </row>
      </sheetData>
      <sheetData sheetId="1302">
        <row r="8">
          <cell r="D8" t="str">
            <v>Paramaz Avedisian Building</v>
          </cell>
        </row>
      </sheetData>
      <sheetData sheetId="1303">
        <row r="8">
          <cell r="D8" t="str">
            <v>Paramaz Avedisian Building</v>
          </cell>
        </row>
      </sheetData>
      <sheetData sheetId="1304">
        <row r="8">
          <cell r="D8" t="str">
            <v>Paramaz Avedisian Building</v>
          </cell>
        </row>
      </sheetData>
      <sheetData sheetId="1305">
        <row r="8">
          <cell r="D8" t="str">
            <v>Paramaz Avedisian Building</v>
          </cell>
        </row>
      </sheetData>
      <sheetData sheetId="1306">
        <row r="8">
          <cell r="D8" t="str">
            <v>Paramaz Avedisian Building</v>
          </cell>
        </row>
      </sheetData>
      <sheetData sheetId="1307">
        <row r="8">
          <cell r="D8" t="str">
            <v>Paramaz Avedisian Building</v>
          </cell>
        </row>
      </sheetData>
      <sheetData sheetId="1308">
        <row r="8">
          <cell r="D8" t="str">
            <v>Paramaz Avedisian Building</v>
          </cell>
        </row>
      </sheetData>
      <sheetData sheetId="1309">
        <row r="8">
          <cell r="D8" t="str">
            <v>Paramaz Avedisian Building</v>
          </cell>
        </row>
      </sheetData>
      <sheetData sheetId="1310">
        <row r="8">
          <cell r="D8" t="str">
            <v>Paramaz Avedisian Building</v>
          </cell>
        </row>
      </sheetData>
      <sheetData sheetId="1311">
        <row r="8">
          <cell r="D8" t="str">
            <v>Paramaz Avedisian Building</v>
          </cell>
        </row>
      </sheetData>
      <sheetData sheetId="1312">
        <row r="8">
          <cell r="D8" t="str">
            <v>Paramaz Avedisian Building</v>
          </cell>
        </row>
      </sheetData>
      <sheetData sheetId="1313">
        <row r="8">
          <cell r="D8" t="str">
            <v>Paramaz Avedisian Building</v>
          </cell>
        </row>
      </sheetData>
      <sheetData sheetId="1314">
        <row r="8">
          <cell r="D8" t="str">
            <v>Paramaz Avedisian Building</v>
          </cell>
        </row>
      </sheetData>
      <sheetData sheetId="1315">
        <row r="8">
          <cell r="D8" t="str">
            <v>Paramaz Avedisian Building</v>
          </cell>
        </row>
      </sheetData>
      <sheetData sheetId="1316">
        <row r="8">
          <cell r="D8" t="str">
            <v>Paramaz Avedisian Building</v>
          </cell>
        </row>
      </sheetData>
      <sheetData sheetId="1317">
        <row r="8">
          <cell r="D8" t="str">
            <v>Paramaz Avedisian Building</v>
          </cell>
        </row>
      </sheetData>
      <sheetData sheetId="1318">
        <row r="8">
          <cell r="D8" t="str">
            <v>Paramaz Avedisian Building</v>
          </cell>
        </row>
      </sheetData>
      <sheetData sheetId="1319">
        <row r="8">
          <cell r="D8" t="str">
            <v>Paramaz Avedisian Building</v>
          </cell>
        </row>
      </sheetData>
      <sheetData sheetId="1320">
        <row r="8">
          <cell r="D8" t="str">
            <v>Paramaz Avedisian Building</v>
          </cell>
        </row>
      </sheetData>
      <sheetData sheetId="1321">
        <row r="8">
          <cell r="D8" t="str">
            <v>Paramaz Avedisian Building</v>
          </cell>
        </row>
      </sheetData>
      <sheetData sheetId="1322">
        <row r="8">
          <cell r="D8" t="str">
            <v>Paramaz Avedisian Building</v>
          </cell>
        </row>
      </sheetData>
      <sheetData sheetId="1323">
        <row r="8">
          <cell r="D8" t="str">
            <v>Paramaz Avedisian Building</v>
          </cell>
        </row>
      </sheetData>
      <sheetData sheetId="1324">
        <row r="8">
          <cell r="D8" t="str">
            <v>Paramaz Avedisian Building</v>
          </cell>
        </row>
      </sheetData>
      <sheetData sheetId="1325">
        <row r="8">
          <cell r="D8" t="str">
            <v>Paramaz Avedisian Building</v>
          </cell>
        </row>
      </sheetData>
      <sheetData sheetId="1326">
        <row r="8">
          <cell r="D8" t="str">
            <v>Paramaz Avedisian Building</v>
          </cell>
        </row>
      </sheetData>
      <sheetData sheetId="1327">
        <row r="8">
          <cell r="D8" t="str">
            <v>Paramaz Avedisian Building</v>
          </cell>
        </row>
      </sheetData>
      <sheetData sheetId="1328">
        <row r="8">
          <cell r="D8" t="str">
            <v>Paramaz Avedisian Building</v>
          </cell>
        </row>
      </sheetData>
      <sheetData sheetId="1329">
        <row r="8">
          <cell r="D8" t="str">
            <v>Paramaz Avedisian Building</v>
          </cell>
        </row>
      </sheetData>
      <sheetData sheetId="1330">
        <row r="8">
          <cell r="D8" t="str">
            <v>Paramaz Avedisian Building</v>
          </cell>
        </row>
      </sheetData>
      <sheetData sheetId="1331">
        <row r="8">
          <cell r="D8" t="str">
            <v>Paramaz Avedisian Building</v>
          </cell>
        </row>
      </sheetData>
      <sheetData sheetId="1332">
        <row r="8">
          <cell r="D8" t="str">
            <v>Paramaz Avedisian Building</v>
          </cell>
        </row>
      </sheetData>
      <sheetData sheetId="1333">
        <row r="8">
          <cell r="D8" t="str">
            <v>Paramaz Avedisian Building</v>
          </cell>
        </row>
      </sheetData>
      <sheetData sheetId="1334">
        <row r="8">
          <cell r="D8" t="str">
            <v>Paramaz Avedisian Building</v>
          </cell>
        </row>
      </sheetData>
      <sheetData sheetId="1335">
        <row r="8">
          <cell r="D8" t="str">
            <v>Paramaz Avedisian Building</v>
          </cell>
        </row>
      </sheetData>
      <sheetData sheetId="1336">
        <row r="8">
          <cell r="D8" t="str">
            <v>Paramaz Avedisian Building</v>
          </cell>
        </row>
      </sheetData>
      <sheetData sheetId="1337">
        <row r="8">
          <cell r="D8" t="str">
            <v>Paramaz Avedisian Building</v>
          </cell>
        </row>
      </sheetData>
      <sheetData sheetId="1338">
        <row r="8">
          <cell r="D8" t="str">
            <v>Paramaz Avedisian Building</v>
          </cell>
        </row>
      </sheetData>
      <sheetData sheetId="1339">
        <row r="8">
          <cell r="D8" t="str">
            <v>Paramaz Avedisian Building</v>
          </cell>
        </row>
      </sheetData>
      <sheetData sheetId="1340">
        <row r="8">
          <cell r="D8" t="str">
            <v>Paramaz Avedisian Building</v>
          </cell>
        </row>
      </sheetData>
      <sheetData sheetId="1341">
        <row r="8">
          <cell r="D8" t="str">
            <v>Paramaz Avedisian Building</v>
          </cell>
        </row>
      </sheetData>
      <sheetData sheetId="1342">
        <row r="8">
          <cell r="D8" t="str">
            <v>Paramaz Avedisian Building</v>
          </cell>
        </row>
      </sheetData>
      <sheetData sheetId="1343">
        <row r="8">
          <cell r="D8" t="str">
            <v>Paramaz Avedisian Building</v>
          </cell>
        </row>
      </sheetData>
      <sheetData sheetId="1344">
        <row r="8">
          <cell r="D8" t="str">
            <v>Paramaz Avedisian Building</v>
          </cell>
        </row>
      </sheetData>
      <sheetData sheetId="1345">
        <row r="8">
          <cell r="D8" t="str">
            <v>Paramaz Avedisian Building</v>
          </cell>
        </row>
      </sheetData>
      <sheetData sheetId="1346">
        <row r="8">
          <cell r="D8" t="str">
            <v>Paramaz Avedisian Building</v>
          </cell>
        </row>
      </sheetData>
      <sheetData sheetId="1347">
        <row r="8">
          <cell r="D8" t="str">
            <v>Paramaz Avedisian Building</v>
          </cell>
        </row>
      </sheetData>
      <sheetData sheetId="1348">
        <row r="8">
          <cell r="D8" t="str">
            <v>Paramaz Avedisian Building</v>
          </cell>
        </row>
      </sheetData>
      <sheetData sheetId="1349">
        <row r="8">
          <cell r="D8" t="str">
            <v>Paramaz Avedisian Building</v>
          </cell>
        </row>
      </sheetData>
      <sheetData sheetId="1350">
        <row r="8">
          <cell r="D8" t="str">
            <v>Paramaz Avedisian Building</v>
          </cell>
        </row>
      </sheetData>
      <sheetData sheetId="1351">
        <row r="8">
          <cell r="D8" t="str">
            <v>Paramaz Avedisian Building</v>
          </cell>
        </row>
      </sheetData>
      <sheetData sheetId="1352">
        <row r="8">
          <cell r="D8" t="str">
            <v>Paramaz Avedisian Building</v>
          </cell>
        </row>
      </sheetData>
      <sheetData sheetId="1353">
        <row r="8">
          <cell r="D8" t="str">
            <v>Paramaz Avedisian Building</v>
          </cell>
        </row>
      </sheetData>
      <sheetData sheetId="1354">
        <row r="8">
          <cell r="D8" t="str">
            <v>Paramaz Avedisian Building</v>
          </cell>
        </row>
      </sheetData>
      <sheetData sheetId="1355">
        <row r="8">
          <cell r="D8" t="str">
            <v>Paramaz Avedisian Building</v>
          </cell>
        </row>
      </sheetData>
      <sheetData sheetId="1356">
        <row r="8">
          <cell r="D8" t="str">
            <v>Paramaz Avedisian Building</v>
          </cell>
        </row>
      </sheetData>
      <sheetData sheetId="1357">
        <row r="8">
          <cell r="D8" t="str">
            <v>Paramaz Avedisian Building</v>
          </cell>
        </row>
      </sheetData>
      <sheetData sheetId="1358">
        <row r="8">
          <cell r="D8" t="str">
            <v>Paramaz Avedisian Building</v>
          </cell>
        </row>
      </sheetData>
      <sheetData sheetId="1359">
        <row r="8">
          <cell r="D8" t="str">
            <v>Paramaz Avedisian Building</v>
          </cell>
        </row>
      </sheetData>
      <sheetData sheetId="1360">
        <row r="8">
          <cell r="D8" t="str">
            <v>Paramaz Avedisian Building</v>
          </cell>
        </row>
      </sheetData>
      <sheetData sheetId="1361">
        <row r="8">
          <cell r="D8" t="str">
            <v>Paramaz Avedisian Building</v>
          </cell>
        </row>
      </sheetData>
      <sheetData sheetId="1362">
        <row r="8">
          <cell r="D8" t="str">
            <v>Paramaz Avedisian Building</v>
          </cell>
        </row>
      </sheetData>
      <sheetData sheetId="1363">
        <row r="8">
          <cell r="D8" t="str">
            <v>Paramaz Avedisian Building</v>
          </cell>
        </row>
      </sheetData>
      <sheetData sheetId="1364">
        <row r="8">
          <cell r="D8" t="str">
            <v>Paramaz Avedisian Building</v>
          </cell>
        </row>
      </sheetData>
      <sheetData sheetId="1365">
        <row r="8">
          <cell r="D8" t="str">
            <v>Paramaz Avedisian Building</v>
          </cell>
        </row>
      </sheetData>
      <sheetData sheetId="1366">
        <row r="8">
          <cell r="D8" t="str">
            <v>Paramaz Avedisian Building</v>
          </cell>
        </row>
      </sheetData>
      <sheetData sheetId="1367">
        <row r="8">
          <cell r="D8" t="str">
            <v>Paramaz Avedisian Building</v>
          </cell>
        </row>
      </sheetData>
      <sheetData sheetId="1368">
        <row r="8">
          <cell r="D8" t="str">
            <v>Paramaz Avedisian Building</v>
          </cell>
        </row>
      </sheetData>
      <sheetData sheetId="1369">
        <row r="8">
          <cell r="D8" t="str">
            <v>Paramaz Avedisian Building</v>
          </cell>
        </row>
      </sheetData>
      <sheetData sheetId="1370">
        <row r="8">
          <cell r="D8" t="str">
            <v>Paramaz Avedisian Building</v>
          </cell>
        </row>
      </sheetData>
      <sheetData sheetId="1371">
        <row r="8">
          <cell r="D8" t="str">
            <v>Paramaz Avedisian Building</v>
          </cell>
        </row>
      </sheetData>
      <sheetData sheetId="1372">
        <row r="8">
          <cell r="D8" t="str">
            <v>Paramaz Avedisian Building</v>
          </cell>
        </row>
      </sheetData>
      <sheetData sheetId="1373">
        <row r="8">
          <cell r="D8" t="str">
            <v>Paramaz Avedisian Building</v>
          </cell>
        </row>
      </sheetData>
      <sheetData sheetId="1374">
        <row r="8">
          <cell r="D8" t="str">
            <v>Paramaz Avedisian Building</v>
          </cell>
        </row>
      </sheetData>
      <sheetData sheetId="1375">
        <row r="8">
          <cell r="D8" t="str">
            <v>Paramaz Avedisian Building</v>
          </cell>
        </row>
      </sheetData>
      <sheetData sheetId="1376">
        <row r="8">
          <cell r="D8" t="str">
            <v>Paramaz Avedisian Building</v>
          </cell>
        </row>
      </sheetData>
      <sheetData sheetId="1377">
        <row r="8">
          <cell r="D8" t="str">
            <v>Paramaz Avedisian Building</v>
          </cell>
        </row>
      </sheetData>
      <sheetData sheetId="1378">
        <row r="8">
          <cell r="D8" t="str">
            <v>Paramaz Avedisian Building</v>
          </cell>
        </row>
      </sheetData>
      <sheetData sheetId="1379">
        <row r="8">
          <cell r="D8" t="str">
            <v>Paramaz Avedisian Building</v>
          </cell>
        </row>
      </sheetData>
      <sheetData sheetId="1380">
        <row r="8">
          <cell r="D8" t="str">
            <v>Paramaz Avedisian Building</v>
          </cell>
        </row>
      </sheetData>
      <sheetData sheetId="1381">
        <row r="8">
          <cell r="D8" t="str">
            <v>Paramaz Avedisian Building</v>
          </cell>
        </row>
      </sheetData>
      <sheetData sheetId="1382">
        <row r="8">
          <cell r="D8" t="str">
            <v>Paramaz Avedisian Building</v>
          </cell>
        </row>
      </sheetData>
      <sheetData sheetId="1383">
        <row r="8">
          <cell r="D8" t="str">
            <v>Paramaz Avedisian Building</v>
          </cell>
        </row>
      </sheetData>
      <sheetData sheetId="1384">
        <row r="8">
          <cell r="D8" t="str">
            <v>Paramaz Avedisian Building</v>
          </cell>
        </row>
      </sheetData>
      <sheetData sheetId="1385">
        <row r="8">
          <cell r="D8" t="str">
            <v>Paramaz Avedisian Building</v>
          </cell>
        </row>
      </sheetData>
      <sheetData sheetId="1386">
        <row r="8">
          <cell r="D8" t="str">
            <v>Paramaz Avedisian Building</v>
          </cell>
        </row>
      </sheetData>
      <sheetData sheetId="1387">
        <row r="8">
          <cell r="D8" t="str">
            <v>Paramaz Avedisian Building</v>
          </cell>
        </row>
      </sheetData>
      <sheetData sheetId="1388">
        <row r="8">
          <cell r="D8" t="str">
            <v>Paramaz Avedisian Building</v>
          </cell>
        </row>
      </sheetData>
      <sheetData sheetId="1389">
        <row r="8">
          <cell r="D8" t="str">
            <v>Paramaz Avedisian Building</v>
          </cell>
        </row>
      </sheetData>
      <sheetData sheetId="1390">
        <row r="8">
          <cell r="D8" t="str">
            <v>Paramaz Avedisian Building</v>
          </cell>
        </row>
      </sheetData>
      <sheetData sheetId="1391">
        <row r="8">
          <cell r="D8" t="str">
            <v>Paramaz Avedisian Building</v>
          </cell>
        </row>
      </sheetData>
      <sheetData sheetId="1392">
        <row r="8">
          <cell r="D8" t="str">
            <v>Paramaz Avedisian Building</v>
          </cell>
        </row>
      </sheetData>
      <sheetData sheetId="1393">
        <row r="8">
          <cell r="D8" t="str">
            <v>Paramaz Avedisian Building</v>
          </cell>
        </row>
      </sheetData>
      <sheetData sheetId="1394">
        <row r="8">
          <cell r="D8" t="str">
            <v>Paramaz Avedisian Building</v>
          </cell>
        </row>
      </sheetData>
      <sheetData sheetId="1395">
        <row r="8">
          <cell r="D8" t="str">
            <v>Paramaz Avedisian Building</v>
          </cell>
        </row>
      </sheetData>
      <sheetData sheetId="1396">
        <row r="8">
          <cell r="D8" t="str">
            <v>Paramaz Avedisian Building</v>
          </cell>
        </row>
      </sheetData>
      <sheetData sheetId="1397">
        <row r="8">
          <cell r="D8" t="str">
            <v>Paramaz Avedisian Building</v>
          </cell>
        </row>
      </sheetData>
      <sheetData sheetId="1398">
        <row r="8">
          <cell r="D8" t="str">
            <v>Paramaz Avedisian Building</v>
          </cell>
        </row>
      </sheetData>
      <sheetData sheetId="1399">
        <row r="8">
          <cell r="D8" t="str">
            <v>Paramaz Avedisian Building</v>
          </cell>
        </row>
      </sheetData>
      <sheetData sheetId="1400">
        <row r="8">
          <cell r="D8" t="str">
            <v>Paramaz Avedisian Building</v>
          </cell>
        </row>
      </sheetData>
      <sheetData sheetId="1401">
        <row r="8">
          <cell r="D8" t="str">
            <v>Paramaz Avedisian Building</v>
          </cell>
        </row>
      </sheetData>
      <sheetData sheetId="1402">
        <row r="8">
          <cell r="D8" t="str">
            <v>Paramaz Avedisian Building</v>
          </cell>
        </row>
      </sheetData>
      <sheetData sheetId="1403">
        <row r="8">
          <cell r="D8" t="str">
            <v>Paramaz Avedisian Building</v>
          </cell>
        </row>
      </sheetData>
      <sheetData sheetId="1404">
        <row r="8">
          <cell r="D8" t="str">
            <v>Paramaz Avedisian Building</v>
          </cell>
        </row>
      </sheetData>
      <sheetData sheetId="1405">
        <row r="8">
          <cell r="D8" t="str">
            <v>Paramaz Avedisian Building</v>
          </cell>
        </row>
      </sheetData>
      <sheetData sheetId="1406">
        <row r="8">
          <cell r="D8" t="str">
            <v>Paramaz Avedisian Building</v>
          </cell>
        </row>
      </sheetData>
      <sheetData sheetId="1407">
        <row r="8">
          <cell r="D8" t="str">
            <v>Paramaz Avedisian Building</v>
          </cell>
        </row>
      </sheetData>
      <sheetData sheetId="1408">
        <row r="8">
          <cell r="D8" t="str">
            <v>Paramaz Avedisian Building</v>
          </cell>
        </row>
      </sheetData>
      <sheetData sheetId="1409">
        <row r="8">
          <cell r="D8" t="str">
            <v>Paramaz Avedisian Building</v>
          </cell>
        </row>
      </sheetData>
      <sheetData sheetId="1410">
        <row r="8">
          <cell r="D8" t="str">
            <v>Paramaz Avedisian Building</v>
          </cell>
        </row>
      </sheetData>
      <sheetData sheetId="1411">
        <row r="8">
          <cell r="D8" t="str">
            <v>Paramaz Avedisian Building</v>
          </cell>
        </row>
      </sheetData>
      <sheetData sheetId="1412">
        <row r="8">
          <cell r="D8" t="str">
            <v>Paramaz Avedisian Building</v>
          </cell>
        </row>
      </sheetData>
      <sheetData sheetId="1413">
        <row r="8">
          <cell r="D8" t="str">
            <v>Paramaz Avedisian Building</v>
          </cell>
        </row>
      </sheetData>
      <sheetData sheetId="1414">
        <row r="8">
          <cell r="D8" t="str">
            <v>Paramaz Avedisian Building</v>
          </cell>
        </row>
      </sheetData>
      <sheetData sheetId="1415">
        <row r="8">
          <cell r="D8" t="str">
            <v>Paramaz Avedisian Building</v>
          </cell>
        </row>
      </sheetData>
      <sheetData sheetId="1416">
        <row r="8">
          <cell r="D8" t="str">
            <v>Paramaz Avedisian Building</v>
          </cell>
        </row>
      </sheetData>
      <sheetData sheetId="1417">
        <row r="8">
          <cell r="D8" t="str">
            <v>Paramaz Avedisian Building</v>
          </cell>
        </row>
      </sheetData>
      <sheetData sheetId="1418">
        <row r="8">
          <cell r="D8" t="str">
            <v>Paramaz Avedisian Building</v>
          </cell>
        </row>
      </sheetData>
      <sheetData sheetId="1419">
        <row r="8">
          <cell r="D8" t="str">
            <v>Paramaz Avedisian Building</v>
          </cell>
        </row>
      </sheetData>
      <sheetData sheetId="1420">
        <row r="8">
          <cell r="D8" t="str">
            <v>Paramaz Avedisian Building</v>
          </cell>
        </row>
      </sheetData>
      <sheetData sheetId="1421">
        <row r="8">
          <cell r="D8" t="str">
            <v>Paramaz Avedisian Building</v>
          </cell>
        </row>
      </sheetData>
      <sheetData sheetId="1422">
        <row r="8">
          <cell r="D8" t="str">
            <v>Paramaz Avedisian Building</v>
          </cell>
        </row>
      </sheetData>
      <sheetData sheetId="1423">
        <row r="8">
          <cell r="D8" t="str">
            <v>Paramaz Avedisian Building</v>
          </cell>
        </row>
      </sheetData>
      <sheetData sheetId="1424">
        <row r="8">
          <cell r="D8" t="str">
            <v>Paramaz Avedisian Building</v>
          </cell>
        </row>
      </sheetData>
      <sheetData sheetId="1425">
        <row r="8">
          <cell r="D8" t="str">
            <v>Paramaz Avedisian Building</v>
          </cell>
        </row>
      </sheetData>
      <sheetData sheetId="1426">
        <row r="8">
          <cell r="D8" t="str">
            <v>Paramaz Avedisian Building</v>
          </cell>
        </row>
      </sheetData>
      <sheetData sheetId="1427">
        <row r="8">
          <cell r="D8" t="str">
            <v>Paramaz Avedisian Building</v>
          </cell>
        </row>
      </sheetData>
      <sheetData sheetId="1428">
        <row r="8">
          <cell r="D8" t="str">
            <v>Paramaz Avedisian Building</v>
          </cell>
        </row>
      </sheetData>
      <sheetData sheetId="1429">
        <row r="8">
          <cell r="D8" t="str">
            <v>Paramaz Avedisian Building</v>
          </cell>
        </row>
      </sheetData>
      <sheetData sheetId="1430">
        <row r="8">
          <cell r="D8" t="str">
            <v>Paramaz Avedisian Building</v>
          </cell>
        </row>
      </sheetData>
      <sheetData sheetId="1431">
        <row r="8">
          <cell r="D8" t="str">
            <v>Paramaz Avedisian Building</v>
          </cell>
        </row>
      </sheetData>
      <sheetData sheetId="1432">
        <row r="8">
          <cell r="D8" t="str">
            <v>Paramaz Avedisian Building</v>
          </cell>
        </row>
      </sheetData>
      <sheetData sheetId="1433">
        <row r="8">
          <cell r="D8" t="str">
            <v>Paramaz Avedisian Building</v>
          </cell>
        </row>
      </sheetData>
      <sheetData sheetId="1434">
        <row r="8">
          <cell r="D8" t="str">
            <v>Paramaz Avedisian Building</v>
          </cell>
        </row>
      </sheetData>
      <sheetData sheetId="1435">
        <row r="8">
          <cell r="D8" t="str">
            <v>Paramaz Avedisian Building</v>
          </cell>
        </row>
      </sheetData>
      <sheetData sheetId="1436">
        <row r="8">
          <cell r="D8" t="str">
            <v>Paramaz Avedisian Building</v>
          </cell>
        </row>
      </sheetData>
      <sheetData sheetId="1437">
        <row r="8">
          <cell r="D8" t="str">
            <v>Paramaz Avedisian Building</v>
          </cell>
        </row>
      </sheetData>
      <sheetData sheetId="1438">
        <row r="8">
          <cell r="D8" t="str">
            <v>Paramaz Avedisian Building</v>
          </cell>
        </row>
      </sheetData>
      <sheetData sheetId="1439">
        <row r="8">
          <cell r="D8" t="str">
            <v>Paramaz Avedisian Building</v>
          </cell>
        </row>
      </sheetData>
      <sheetData sheetId="1440">
        <row r="8">
          <cell r="D8" t="str">
            <v>Paramaz Avedisian Building</v>
          </cell>
        </row>
      </sheetData>
      <sheetData sheetId="1441">
        <row r="8">
          <cell r="D8" t="str">
            <v>Paramaz Avedisian Building</v>
          </cell>
        </row>
      </sheetData>
      <sheetData sheetId="1442">
        <row r="8">
          <cell r="D8" t="str">
            <v>Paramaz Avedisian Building</v>
          </cell>
        </row>
      </sheetData>
      <sheetData sheetId="1443">
        <row r="8">
          <cell r="D8" t="str">
            <v>Paramaz Avedisian Building</v>
          </cell>
        </row>
      </sheetData>
      <sheetData sheetId="1444">
        <row r="8">
          <cell r="D8" t="str">
            <v>Paramaz Avedisian Building</v>
          </cell>
        </row>
      </sheetData>
      <sheetData sheetId="1445">
        <row r="8">
          <cell r="D8" t="str">
            <v>Paramaz Avedisian Building</v>
          </cell>
        </row>
      </sheetData>
      <sheetData sheetId="1446">
        <row r="8">
          <cell r="D8" t="str">
            <v>Paramaz Avedisian Building</v>
          </cell>
        </row>
      </sheetData>
      <sheetData sheetId="1447">
        <row r="8">
          <cell r="D8" t="str">
            <v>Paramaz Avedisian Building</v>
          </cell>
        </row>
      </sheetData>
      <sheetData sheetId="1448">
        <row r="8">
          <cell r="D8" t="str">
            <v>Paramaz Avedisian Building</v>
          </cell>
        </row>
      </sheetData>
      <sheetData sheetId="1449">
        <row r="8">
          <cell r="D8" t="str">
            <v>Paramaz Avedisian Building</v>
          </cell>
        </row>
      </sheetData>
      <sheetData sheetId="1450">
        <row r="8">
          <cell r="D8" t="str">
            <v>Paramaz Avedisian Building</v>
          </cell>
        </row>
      </sheetData>
      <sheetData sheetId="1451">
        <row r="8">
          <cell r="D8" t="str">
            <v>Paramaz Avedisian Building</v>
          </cell>
        </row>
      </sheetData>
      <sheetData sheetId="1452">
        <row r="8">
          <cell r="D8" t="str">
            <v>Paramaz Avedisian Building</v>
          </cell>
        </row>
      </sheetData>
      <sheetData sheetId="1453">
        <row r="8">
          <cell r="D8" t="str">
            <v>Paramaz Avedisian Building</v>
          </cell>
        </row>
      </sheetData>
      <sheetData sheetId="1454">
        <row r="8">
          <cell r="D8" t="str">
            <v>Paramaz Avedisian Building</v>
          </cell>
        </row>
      </sheetData>
      <sheetData sheetId="1455">
        <row r="8">
          <cell r="D8" t="str">
            <v>Paramaz Avedisian Building</v>
          </cell>
        </row>
      </sheetData>
      <sheetData sheetId="1456">
        <row r="8">
          <cell r="D8" t="str">
            <v>Paramaz Avedisian Building</v>
          </cell>
        </row>
      </sheetData>
      <sheetData sheetId="1457">
        <row r="8">
          <cell r="D8" t="str">
            <v>Paramaz Avedisian Building</v>
          </cell>
        </row>
      </sheetData>
      <sheetData sheetId="1458">
        <row r="8">
          <cell r="D8" t="str">
            <v>Paramaz Avedisian Building</v>
          </cell>
        </row>
      </sheetData>
      <sheetData sheetId="1459">
        <row r="8">
          <cell r="D8" t="str">
            <v>Paramaz Avedisian Building</v>
          </cell>
        </row>
      </sheetData>
      <sheetData sheetId="1460">
        <row r="8">
          <cell r="D8" t="str">
            <v>Paramaz Avedisian Building</v>
          </cell>
        </row>
      </sheetData>
      <sheetData sheetId="1461">
        <row r="8">
          <cell r="D8" t="str">
            <v>Paramaz Avedisian Building</v>
          </cell>
        </row>
      </sheetData>
      <sheetData sheetId="1462">
        <row r="8">
          <cell r="C8">
            <v>0</v>
          </cell>
        </row>
      </sheetData>
      <sheetData sheetId="1463">
        <row r="8">
          <cell r="D8" t="str">
            <v>Paramaz Avedisian Building</v>
          </cell>
        </row>
      </sheetData>
      <sheetData sheetId="1464">
        <row r="8">
          <cell r="D8" t="str">
            <v>Paramaz Avedisian Building</v>
          </cell>
        </row>
      </sheetData>
      <sheetData sheetId="1465">
        <row r="8">
          <cell r="A8">
            <v>0</v>
          </cell>
        </row>
      </sheetData>
      <sheetData sheetId="1466">
        <row r="8">
          <cell r="D8" t="str">
            <v>Paramaz Avedisian Building</v>
          </cell>
        </row>
      </sheetData>
      <sheetData sheetId="1467">
        <row r="8">
          <cell r="C8">
            <v>0</v>
          </cell>
        </row>
      </sheetData>
      <sheetData sheetId="1468">
        <row r="8">
          <cell r="C8">
            <v>0</v>
          </cell>
        </row>
      </sheetData>
      <sheetData sheetId="1469">
        <row r="8">
          <cell r="C8">
            <v>0</v>
          </cell>
        </row>
      </sheetData>
      <sheetData sheetId="1470">
        <row r="8">
          <cell r="A8">
            <v>0</v>
          </cell>
        </row>
      </sheetData>
      <sheetData sheetId="1471">
        <row r="8">
          <cell r="A8">
            <v>0</v>
          </cell>
        </row>
      </sheetData>
      <sheetData sheetId="1472">
        <row r="8">
          <cell r="D8" t="str">
            <v>Paramaz Avedisian Building</v>
          </cell>
        </row>
      </sheetData>
      <sheetData sheetId="1473">
        <row r="8">
          <cell r="C8">
            <v>0</v>
          </cell>
        </row>
      </sheetData>
      <sheetData sheetId="1474">
        <row r="8">
          <cell r="C8">
            <v>0</v>
          </cell>
        </row>
      </sheetData>
      <sheetData sheetId="1475">
        <row r="8">
          <cell r="C8">
            <v>0</v>
          </cell>
        </row>
      </sheetData>
      <sheetData sheetId="1476">
        <row r="8">
          <cell r="A8">
            <v>0</v>
          </cell>
        </row>
      </sheetData>
      <sheetData sheetId="1477">
        <row r="8">
          <cell r="D8" t="str">
            <v>Paramaz Avedisian Building</v>
          </cell>
        </row>
      </sheetData>
      <sheetData sheetId="1478">
        <row r="8">
          <cell r="D8" t="str">
            <v>Paramaz Avedisian Building</v>
          </cell>
        </row>
      </sheetData>
      <sheetData sheetId="1479">
        <row r="8">
          <cell r="D8" t="str">
            <v>Paramaz Avedisian Building</v>
          </cell>
        </row>
      </sheetData>
      <sheetData sheetId="1480">
        <row r="8">
          <cell r="C8">
            <v>0</v>
          </cell>
        </row>
      </sheetData>
      <sheetData sheetId="1481">
        <row r="8">
          <cell r="D8" t="str">
            <v>Paramaz Avedisian Building</v>
          </cell>
        </row>
      </sheetData>
      <sheetData sheetId="1482">
        <row r="8">
          <cell r="D8" t="str">
            <v>Paramaz Avedisian Building</v>
          </cell>
        </row>
      </sheetData>
      <sheetData sheetId="1483">
        <row r="8">
          <cell r="C8">
            <v>0</v>
          </cell>
        </row>
      </sheetData>
      <sheetData sheetId="1484">
        <row r="8">
          <cell r="D8" t="str">
            <v>Paramaz Avedisian Building</v>
          </cell>
        </row>
      </sheetData>
      <sheetData sheetId="1485">
        <row r="8">
          <cell r="D8" t="str">
            <v>Paramaz Avedisian Building</v>
          </cell>
        </row>
      </sheetData>
      <sheetData sheetId="1486">
        <row r="8">
          <cell r="A8">
            <v>0</v>
          </cell>
        </row>
      </sheetData>
      <sheetData sheetId="1487">
        <row r="8">
          <cell r="D8" t="str">
            <v>Paramaz Avedisian Building</v>
          </cell>
        </row>
      </sheetData>
      <sheetData sheetId="1488">
        <row r="8">
          <cell r="D8" t="str">
            <v>Paramaz Avedisian Building</v>
          </cell>
        </row>
      </sheetData>
      <sheetData sheetId="1489">
        <row r="8">
          <cell r="C8">
            <v>0</v>
          </cell>
        </row>
      </sheetData>
      <sheetData sheetId="1490">
        <row r="8">
          <cell r="C8">
            <v>0</v>
          </cell>
        </row>
      </sheetData>
      <sheetData sheetId="1491">
        <row r="8">
          <cell r="C8">
            <v>0</v>
          </cell>
        </row>
      </sheetData>
      <sheetData sheetId="1492">
        <row r="8">
          <cell r="A8">
            <v>0</v>
          </cell>
        </row>
      </sheetData>
      <sheetData sheetId="1493">
        <row r="8">
          <cell r="A8">
            <v>0</v>
          </cell>
        </row>
      </sheetData>
      <sheetData sheetId="1494">
        <row r="8">
          <cell r="A8">
            <v>0</v>
          </cell>
        </row>
      </sheetData>
      <sheetData sheetId="1495">
        <row r="8">
          <cell r="A8">
            <v>0</v>
          </cell>
        </row>
      </sheetData>
      <sheetData sheetId="1496">
        <row r="8">
          <cell r="C8">
            <v>0</v>
          </cell>
        </row>
      </sheetData>
      <sheetData sheetId="1497">
        <row r="8">
          <cell r="C8">
            <v>0</v>
          </cell>
        </row>
      </sheetData>
      <sheetData sheetId="1498">
        <row r="8">
          <cell r="C8">
            <v>0</v>
          </cell>
        </row>
      </sheetData>
      <sheetData sheetId="1499">
        <row r="8">
          <cell r="C8">
            <v>0</v>
          </cell>
        </row>
      </sheetData>
      <sheetData sheetId="1500">
        <row r="8">
          <cell r="A8">
            <v>0</v>
          </cell>
        </row>
      </sheetData>
      <sheetData sheetId="1501">
        <row r="8">
          <cell r="C8">
            <v>0</v>
          </cell>
        </row>
      </sheetData>
      <sheetData sheetId="1502">
        <row r="8">
          <cell r="D8" t="str">
            <v>Paramaz Avedisian Building</v>
          </cell>
        </row>
      </sheetData>
      <sheetData sheetId="1503">
        <row r="8">
          <cell r="C8">
            <v>0</v>
          </cell>
        </row>
      </sheetData>
      <sheetData sheetId="1504">
        <row r="8">
          <cell r="C8">
            <v>0</v>
          </cell>
        </row>
      </sheetData>
      <sheetData sheetId="1505">
        <row r="8">
          <cell r="D8" t="str">
            <v>Paramaz Avedisian Building</v>
          </cell>
        </row>
      </sheetData>
      <sheetData sheetId="1506">
        <row r="8">
          <cell r="A8">
            <v>0</v>
          </cell>
        </row>
      </sheetData>
      <sheetData sheetId="1507">
        <row r="8">
          <cell r="C8">
            <v>0</v>
          </cell>
        </row>
      </sheetData>
      <sheetData sheetId="1508">
        <row r="8">
          <cell r="D8" t="str">
            <v>Paramaz Avedisian Building</v>
          </cell>
        </row>
      </sheetData>
      <sheetData sheetId="1509">
        <row r="8">
          <cell r="D8" t="str">
            <v>Paramaz Avedisian Building</v>
          </cell>
        </row>
      </sheetData>
      <sheetData sheetId="1510">
        <row r="8">
          <cell r="C8">
            <v>0</v>
          </cell>
        </row>
      </sheetData>
      <sheetData sheetId="1511">
        <row r="8">
          <cell r="C8">
            <v>0</v>
          </cell>
        </row>
      </sheetData>
      <sheetData sheetId="1512">
        <row r="8">
          <cell r="C8">
            <v>0</v>
          </cell>
        </row>
      </sheetData>
      <sheetData sheetId="1513">
        <row r="8">
          <cell r="C8">
            <v>0</v>
          </cell>
        </row>
      </sheetData>
      <sheetData sheetId="1514">
        <row r="8">
          <cell r="A8">
            <v>0</v>
          </cell>
        </row>
      </sheetData>
      <sheetData sheetId="1515">
        <row r="8">
          <cell r="A8">
            <v>0</v>
          </cell>
        </row>
      </sheetData>
      <sheetData sheetId="1516">
        <row r="8">
          <cell r="A8">
            <v>0</v>
          </cell>
        </row>
      </sheetData>
      <sheetData sheetId="1517">
        <row r="8">
          <cell r="D8" t="str">
            <v>Paramaz Avedisian Building</v>
          </cell>
        </row>
      </sheetData>
      <sheetData sheetId="1518">
        <row r="8">
          <cell r="C8">
            <v>0</v>
          </cell>
        </row>
      </sheetData>
      <sheetData sheetId="1519">
        <row r="8">
          <cell r="C8">
            <v>0</v>
          </cell>
        </row>
      </sheetData>
      <sheetData sheetId="1520">
        <row r="8">
          <cell r="C8">
            <v>0</v>
          </cell>
        </row>
      </sheetData>
      <sheetData sheetId="1521">
        <row r="8">
          <cell r="D8" t="str">
            <v>Paramaz Avedisian Building</v>
          </cell>
        </row>
      </sheetData>
      <sheetData sheetId="1522">
        <row r="8">
          <cell r="C8">
            <v>0</v>
          </cell>
        </row>
      </sheetData>
      <sheetData sheetId="1523">
        <row r="8">
          <cell r="D8" t="str">
            <v>Paramaz Avedisian Building</v>
          </cell>
        </row>
      </sheetData>
      <sheetData sheetId="1524">
        <row r="8">
          <cell r="D8" t="str">
            <v>Paramaz Avedisian Building</v>
          </cell>
        </row>
      </sheetData>
      <sheetData sheetId="1525">
        <row r="8">
          <cell r="D8" t="str">
            <v>Paramaz Avedisian Building</v>
          </cell>
        </row>
      </sheetData>
      <sheetData sheetId="1526">
        <row r="8">
          <cell r="D8" t="str">
            <v>Paramaz Avedisian Building</v>
          </cell>
        </row>
      </sheetData>
      <sheetData sheetId="1527">
        <row r="8">
          <cell r="D8" t="str">
            <v>Paramaz Avedisian Building</v>
          </cell>
        </row>
      </sheetData>
      <sheetData sheetId="1528">
        <row r="8">
          <cell r="C8">
            <v>0</v>
          </cell>
        </row>
      </sheetData>
      <sheetData sheetId="1529">
        <row r="8">
          <cell r="B8">
            <v>0</v>
          </cell>
        </row>
      </sheetData>
      <sheetData sheetId="1530">
        <row r="8">
          <cell r="C8">
            <v>0</v>
          </cell>
        </row>
      </sheetData>
      <sheetData sheetId="1531">
        <row r="8">
          <cell r="C8">
            <v>0</v>
          </cell>
        </row>
      </sheetData>
      <sheetData sheetId="1532">
        <row r="8">
          <cell r="A8">
            <v>0</v>
          </cell>
        </row>
      </sheetData>
      <sheetData sheetId="1533">
        <row r="8">
          <cell r="C8">
            <v>0</v>
          </cell>
        </row>
      </sheetData>
      <sheetData sheetId="1534">
        <row r="8">
          <cell r="B8">
            <v>0</v>
          </cell>
        </row>
      </sheetData>
      <sheetData sheetId="1535">
        <row r="8">
          <cell r="A8">
            <v>0</v>
          </cell>
        </row>
      </sheetData>
      <sheetData sheetId="1536">
        <row r="8">
          <cell r="A8">
            <v>0</v>
          </cell>
        </row>
      </sheetData>
      <sheetData sheetId="1537">
        <row r="8">
          <cell r="A8">
            <v>0</v>
          </cell>
        </row>
      </sheetData>
      <sheetData sheetId="1538">
        <row r="8">
          <cell r="A8">
            <v>0</v>
          </cell>
        </row>
      </sheetData>
      <sheetData sheetId="1539">
        <row r="8">
          <cell r="C8">
            <v>0</v>
          </cell>
        </row>
      </sheetData>
      <sheetData sheetId="1540">
        <row r="8">
          <cell r="B8">
            <v>0</v>
          </cell>
        </row>
      </sheetData>
      <sheetData sheetId="1541">
        <row r="8">
          <cell r="C8">
            <v>0</v>
          </cell>
        </row>
      </sheetData>
      <sheetData sheetId="1542">
        <row r="8">
          <cell r="C8">
            <v>0</v>
          </cell>
        </row>
      </sheetData>
      <sheetData sheetId="1543">
        <row r="8">
          <cell r="A8">
            <v>0</v>
          </cell>
        </row>
      </sheetData>
      <sheetData sheetId="1544">
        <row r="8">
          <cell r="D8" t="str">
            <v>Paramaz Avedisian Building</v>
          </cell>
        </row>
      </sheetData>
      <sheetData sheetId="1545">
        <row r="8">
          <cell r="D8" t="str">
            <v>Paramaz Avedisian Building</v>
          </cell>
        </row>
      </sheetData>
      <sheetData sheetId="1546">
        <row r="8">
          <cell r="D8" t="str">
            <v>Paramaz Avedisian Building</v>
          </cell>
        </row>
      </sheetData>
      <sheetData sheetId="1547">
        <row r="8">
          <cell r="D8" t="str">
            <v>Paramaz Avedisian Building</v>
          </cell>
        </row>
      </sheetData>
      <sheetData sheetId="1548">
        <row r="8">
          <cell r="D8" t="str">
            <v>Paramaz Avedisian Building</v>
          </cell>
        </row>
      </sheetData>
      <sheetData sheetId="1549">
        <row r="8">
          <cell r="D8" t="str">
            <v>Paramaz Avedisian Building</v>
          </cell>
        </row>
      </sheetData>
      <sheetData sheetId="1550">
        <row r="8">
          <cell r="B8">
            <v>0</v>
          </cell>
        </row>
      </sheetData>
      <sheetData sheetId="1551">
        <row r="8">
          <cell r="C8">
            <v>0</v>
          </cell>
        </row>
      </sheetData>
      <sheetData sheetId="1552">
        <row r="8">
          <cell r="C8">
            <v>0</v>
          </cell>
        </row>
      </sheetData>
      <sheetData sheetId="1553">
        <row r="8">
          <cell r="A8">
            <v>0</v>
          </cell>
        </row>
      </sheetData>
      <sheetData sheetId="1554">
        <row r="8">
          <cell r="D8" t="str">
            <v>Paramaz Avedisian Building</v>
          </cell>
        </row>
      </sheetData>
      <sheetData sheetId="1555">
        <row r="8">
          <cell r="D8" t="str">
            <v>Paramaz Avedisian Building</v>
          </cell>
        </row>
      </sheetData>
      <sheetData sheetId="1556">
        <row r="8">
          <cell r="B8">
            <v>0</v>
          </cell>
        </row>
      </sheetData>
      <sheetData sheetId="1557">
        <row r="8">
          <cell r="B8">
            <v>0</v>
          </cell>
        </row>
      </sheetData>
      <sheetData sheetId="1558">
        <row r="8">
          <cell r="B8">
            <v>0</v>
          </cell>
        </row>
      </sheetData>
      <sheetData sheetId="1559">
        <row r="8">
          <cell r="A8">
            <v>0</v>
          </cell>
        </row>
      </sheetData>
      <sheetData sheetId="1560">
        <row r="8">
          <cell r="A8">
            <v>0</v>
          </cell>
        </row>
      </sheetData>
      <sheetData sheetId="1561">
        <row r="8">
          <cell r="A8">
            <v>0</v>
          </cell>
        </row>
      </sheetData>
      <sheetData sheetId="1562">
        <row r="8">
          <cell r="A8">
            <v>0</v>
          </cell>
        </row>
      </sheetData>
      <sheetData sheetId="1563">
        <row r="8">
          <cell r="D8" t="str">
            <v>Paramaz Avedisian Building</v>
          </cell>
        </row>
      </sheetData>
      <sheetData sheetId="1564">
        <row r="8">
          <cell r="B8">
            <v>0</v>
          </cell>
        </row>
      </sheetData>
      <sheetData sheetId="1565">
        <row r="8">
          <cell r="D8" t="str">
            <v>Paramaz Avedisian Building</v>
          </cell>
        </row>
      </sheetData>
      <sheetData sheetId="1566">
        <row r="8">
          <cell r="D8" t="str">
            <v>Paramaz Avedisian Building</v>
          </cell>
        </row>
      </sheetData>
      <sheetData sheetId="1567">
        <row r="8">
          <cell r="A8">
            <v>0</v>
          </cell>
        </row>
      </sheetData>
      <sheetData sheetId="1568">
        <row r="8">
          <cell r="D8" t="str">
            <v>Paramaz Avedisian Building</v>
          </cell>
        </row>
      </sheetData>
      <sheetData sheetId="1569">
        <row r="8">
          <cell r="D8" t="str">
            <v>Paramaz Avedisian Building</v>
          </cell>
        </row>
      </sheetData>
      <sheetData sheetId="1570">
        <row r="8">
          <cell r="B8">
            <v>0</v>
          </cell>
        </row>
      </sheetData>
      <sheetData sheetId="1571">
        <row r="8">
          <cell r="C8">
            <v>0</v>
          </cell>
        </row>
      </sheetData>
      <sheetData sheetId="1572">
        <row r="8">
          <cell r="C8">
            <v>0</v>
          </cell>
        </row>
      </sheetData>
      <sheetData sheetId="1573">
        <row r="8">
          <cell r="A8">
            <v>0</v>
          </cell>
        </row>
      </sheetData>
      <sheetData sheetId="1574">
        <row r="8">
          <cell r="D8" t="str">
            <v>Paramaz Avedisian Building</v>
          </cell>
        </row>
      </sheetData>
      <sheetData sheetId="1575">
        <row r="8">
          <cell r="D8" t="str">
            <v>Paramaz Avedisian Building</v>
          </cell>
        </row>
      </sheetData>
      <sheetData sheetId="1576">
        <row r="8">
          <cell r="D8" t="str">
            <v>Paramaz Avedisian Building</v>
          </cell>
        </row>
      </sheetData>
      <sheetData sheetId="1577">
        <row r="8">
          <cell r="D8" t="str">
            <v>Paramaz Avedisian Building</v>
          </cell>
        </row>
      </sheetData>
      <sheetData sheetId="1578">
        <row r="8">
          <cell r="B8">
            <v>0</v>
          </cell>
        </row>
      </sheetData>
      <sheetData sheetId="1579">
        <row r="8">
          <cell r="B8">
            <v>0</v>
          </cell>
        </row>
      </sheetData>
      <sheetData sheetId="1580">
        <row r="8">
          <cell r="B8">
            <v>0</v>
          </cell>
        </row>
      </sheetData>
      <sheetData sheetId="1581">
        <row r="8">
          <cell r="A8">
            <v>0</v>
          </cell>
        </row>
      </sheetData>
      <sheetData sheetId="1582">
        <row r="8">
          <cell r="A8">
            <v>0</v>
          </cell>
        </row>
      </sheetData>
      <sheetData sheetId="1583">
        <row r="8">
          <cell r="A8">
            <v>0</v>
          </cell>
        </row>
      </sheetData>
      <sheetData sheetId="1584">
        <row r="8">
          <cell r="D8" t="str">
            <v>Paramaz Avedisian Building</v>
          </cell>
        </row>
      </sheetData>
      <sheetData sheetId="1585">
        <row r="8">
          <cell r="D8" t="str">
            <v>Paramaz Avedisian Building</v>
          </cell>
        </row>
      </sheetData>
      <sheetData sheetId="1586">
        <row r="8">
          <cell r="D8" t="str">
            <v>Paramaz Avedisian Building</v>
          </cell>
        </row>
      </sheetData>
      <sheetData sheetId="1587">
        <row r="8">
          <cell r="D8" t="str">
            <v>Paramaz Avedisian Building</v>
          </cell>
        </row>
      </sheetData>
      <sheetData sheetId="1588">
        <row r="8">
          <cell r="D8" t="str">
            <v>Paramaz Avedisian Building</v>
          </cell>
        </row>
      </sheetData>
      <sheetData sheetId="1589">
        <row r="8">
          <cell r="D8" t="str">
            <v>Paramaz Avedisian Building</v>
          </cell>
        </row>
      </sheetData>
      <sheetData sheetId="1590">
        <row r="8">
          <cell r="D8" t="str">
            <v>Paramaz Avedisian Building</v>
          </cell>
        </row>
      </sheetData>
      <sheetData sheetId="1591">
        <row r="8">
          <cell r="D8" t="str">
            <v>Paramaz Avedisian Building</v>
          </cell>
        </row>
      </sheetData>
      <sheetData sheetId="1592">
        <row r="8">
          <cell r="D8" t="str">
            <v>Paramaz Avedisian Building</v>
          </cell>
        </row>
      </sheetData>
      <sheetData sheetId="1593">
        <row r="8">
          <cell r="D8" t="str">
            <v>Paramaz Avedisian Building</v>
          </cell>
        </row>
      </sheetData>
      <sheetData sheetId="1594">
        <row r="8">
          <cell r="D8" t="str">
            <v>Paramaz Avedisian Building</v>
          </cell>
        </row>
      </sheetData>
      <sheetData sheetId="1595">
        <row r="8">
          <cell r="D8" t="str">
            <v>Paramaz Avedisian Building</v>
          </cell>
        </row>
      </sheetData>
      <sheetData sheetId="1596">
        <row r="8">
          <cell r="D8" t="str">
            <v>Paramaz Avedisian Building</v>
          </cell>
        </row>
      </sheetData>
      <sheetData sheetId="1597">
        <row r="8">
          <cell r="D8" t="str">
            <v>Paramaz Avedisian Building</v>
          </cell>
        </row>
      </sheetData>
      <sheetData sheetId="1598">
        <row r="8">
          <cell r="D8" t="str">
            <v>Paramaz Avedisian Building</v>
          </cell>
        </row>
      </sheetData>
      <sheetData sheetId="1599">
        <row r="8">
          <cell r="B8">
            <v>0</v>
          </cell>
        </row>
      </sheetData>
      <sheetData sheetId="1600">
        <row r="8">
          <cell r="B8">
            <v>0</v>
          </cell>
        </row>
      </sheetData>
      <sheetData sheetId="1601">
        <row r="8">
          <cell r="B8">
            <v>0</v>
          </cell>
        </row>
      </sheetData>
      <sheetData sheetId="1602">
        <row r="8">
          <cell r="A8">
            <v>0</v>
          </cell>
        </row>
      </sheetData>
      <sheetData sheetId="1603">
        <row r="8">
          <cell r="A8">
            <v>0</v>
          </cell>
        </row>
      </sheetData>
      <sheetData sheetId="1604">
        <row r="8">
          <cell r="A8">
            <v>0</v>
          </cell>
        </row>
      </sheetData>
      <sheetData sheetId="1605">
        <row r="8">
          <cell r="D8" t="str">
            <v>Paramaz Avedisian Building</v>
          </cell>
        </row>
      </sheetData>
      <sheetData sheetId="1606">
        <row r="8">
          <cell r="D8" t="str">
            <v>Paramaz Avedisian Building</v>
          </cell>
        </row>
      </sheetData>
      <sheetData sheetId="1607">
        <row r="8">
          <cell r="D8" t="str">
            <v>Paramaz Avedisian Building</v>
          </cell>
        </row>
      </sheetData>
      <sheetData sheetId="1608">
        <row r="8">
          <cell r="D8" t="str">
            <v>Paramaz Avedisian Building</v>
          </cell>
        </row>
      </sheetData>
      <sheetData sheetId="1609">
        <row r="8">
          <cell r="D8" t="str">
            <v>Paramaz Avedisian Building</v>
          </cell>
        </row>
      </sheetData>
      <sheetData sheetId="1610">
        <row r="8">
          <cell r="D8" t="str">
            <v>Paramaz Avedisian Building</v>
          </cell>
        </row>
      </sheetData>
      <sheetData sheetId="1611">
        <row r="8">
          <cell r="D8" t="str">
            <v>Paramaz Avedisian Building</v>
          </cell>
        </row>
      </sheetData>
      <sheetData sheetId="1612">
        <row r="8">
          <cell r="D8" t="str">
            <v>Paramaz Avedisian Building</v>
          </cell>
        </row>
      </sheetData>
      <sheetData sheetId="1613">
        <row r="8">
          <cell r="D8" t="str">
            <v>Paramaz Avedisian Building</v>
          </cell>
        </row>
      </sheetData>
      <sheetData sheetId="1614">
        <row r="8">
          <cell r="D8" t="str">
            <v>Paramaz Avedisian Building</v>
          </cell>
        </row>
      </sheetData>
      <sheetData sheetId="1615">
        <row r="8">
          <cell r="D8" t="str">
            <v>Paramaz Avedisian Building</v>
          </cell>
        </row>
      </sheetData>
      <sheetData sheetId="1616">
        <row r="8">
          <cell r="D8" t="str">
            <v>Paramaz Avedisian Building</v>
          </cell>
        </row>
      </sheetData>
      <sheetData sheetId="1617">
        <row r="8">
          <cell r="D8" t="str">
            <v>Paramaz Avedisian Building</v>
          </cell>
        </row>
      </sheetData>
      <sheetData sheetId="1618">
        <row r="8">
          <cell r="D8" t="str">
            <v>Paramaz Avedisian Building</v>
          </cell>
        </row>
      </sheetData>
      <sheetData sheetId="1619">
        <row r="8">
          <cell r="D8" t="str">
            <v>Paramaz Avedisian Building</v>
          </cell>
        </row>
      </sheetData>
      <sheetData sheetId="1620">
        <row r="8">
          <cell r="D8" t="str">
            <v>Paramaz Avedisian Building</v>
          </cell>
        </row>
      </sheetData>
      <sheetData sheetId="1621">
        <row r="8">
          <cell r="D8" t="str">
            <v>Paramaz Avedisian Building</v>
          </cell>
        </row>
      </sheetData>
      <sheetData sheetId="1622">
        <row r="8">
          <cell r="D8" t="str">
            <v>Paramaz Avedisian Building</v>
          </cell>
        </row>
      </sheetData>
      <sheetData sheetId="1623">
        <row r="8">
          <cell r="D8" t="str">
            <v>Paramaz Avedisian Building</v>
          </cell>
        </row>
      </sheetData>
      <sheetData sheetId="1624">
        <row r="8">
          <cell r="D8" t="str">
            <v>Paramaz Avedisian Building</v>
          </cell>
        </row>
      </sheetData>
      <sheetData sheetId="1625">
        <row r="8">
          <cell r="D8" t="str">
            <v>Paramaz Avedisian Building</v>
          </cell>
        </row>
      </sheetData>
      <sheetData sheetId="1626">
        <row r="8">
          <cell r="D8" t="str">
            <v>Paramaz Avedisian Building</v>
          </cell>
        </row>
      </sheetData>
      <sheetData sheetId="1627">
        <row r="8">
          <cell r="D8" t="str">
            <v>Paramaz Avedisian Building</v>
          </cell>
        </row>
      </sheetData>
      <sheetData sheetId="1628">
        <row r="8">
          <cell r="D8" t="str">
            <v>Paramaz Avedisian Building</v>
          </cell>
        </row>
      </sheetData>
      <sheetData sheetId="1629">
        <row r="8">
          <cell r="D8" t="str">
            <v>Paramaz Avedisian Building</v>
          </cell>
        </row>
      </sheetData>
      <sheetData sheetId="1630">
        <row r="8">
          <cell r="D8" t="str">
            <v>Paramaz Avedisian Building</v>
          </cell>
        </row>
      </sheetData>
      <sheetData sheetId="1631">
        <row r="8">
          <cell r="D8" t="str">
            <v>Paramaz Avedisian Building</v>
          </cell>
        </row>
      </sheetData>
      <sheetData sheetId="1632">
        <row r="8">
          <cell r="D8" t="str">
            <v>Paramaz Avedisian Building</v>
          </cell>
        </row>
      </sheetData>
      <sheetData sheetId="1633">
        <row r="8">
          <cell r="D8" t="str">
            <v>Paramaz Avedisian Building</v>
          </cell>
        </row>
      </sheetData>
      <sheetData sheetId="1634">
        <row r="8">
          <cell r="D8" t="str">
            <v>Paramaz Avedisian Building</v>
          </cell>
        </row>
      </sheetData>
      <sheetData sheetId="1635">
        <row r="8">
          <cell r="D8" t="str">
            <v>Paramaz Avedisian Building</v>
          </cell>
        </row>
      </sheetData>
      <sheetData sheetId="1636">
        <row r="8">
          <cell r="D8" t="str">
            <v>Paramaz Avedisian Building</v>
          </cell>
        </row>
      </sheetData>
      <sheetData sheetId="1637">
        <row r="8">
          <cell r="D8" t="str">
            <v>Paramaz Avedisian Building</v>
          </cell>
        </row>
      </sheetData>
      <sheetData sheetId="1638">
        <row r="8">
          <cell r="D8" t="str">
            <v>Paramaz Avedisian Building</v>
          </cell>
        </row>
      </sheetData>
      <sheetData sheetId="1639">
        <row r="8">
          <cell r="D8" t="str">
            <v>Paramaz Avedisian Building</v>
          </cell>
        </row>
      </sheetData>
      <sheetData sheetId="1640">
        <row r="8">
          <cell r="D8" t="str">
            <v>Paramaz Avedisian Building</v>
          </cell>
        </row>
      </sheetData>
      <sheetData sheetId="1641">
        <row r="8">
          <cell r="D8" t="str">
            <v>Paramaz Avedisian Building</v>
          </cell>
        </row>
      </sheetData>
      <sheetData sheetId="1642">
        <row r="8">
          <cell r="D8" t="str">
            <v>Paramaz Avedisian Building</v>
          </cell>
        </row>
      </sheetData>
      <sheetData sheetId="1643">
        <row r="8">
          <cell r="D8" t="str">
            <v>Paramaz Avedisian Building</v>
          </cell>
        </row>
      </sheetData>
      <sheetData sheetId="1644">
        <row r="8">
          <cell r="D8" t="str">
            <v>Paramaz Avedisian Building</v>
          </cell>
        </row>
      </sheetData>
      <sheetData sheetId="1645">
        <row r="8">
          <cell r="D8" t="str">
            <v>Paramaz Avedisian Building</v>
          </cell>
        </row>
      </sheetData>
      <sheetData sheetId="1646">
        <row r="8">
          <cell r="D8" t="str">
            <v>Paramaz Avedisian Building</v>
          </cell>
        </row>
      </sheetData>
      <sheetData sheetId="1647">
        <row r="8">
          <cell r="D8" t="str">
            <v>Paramaz Avedisian Building</v>
          </cell>
        </row>
      </sheetData>
      <sheetData sheetId="1648">
        <row r="8">
          <cell r="D8" t="str">
            <v>Paramaz Avedisian Building</v>
          </cell>
        </row>
      </sheetData>
      <sheetData sheetId="1649">
        <row r="8">
          <cell r="D8" t="str">
            <v>Paramaz Avedisian Building</v>
          </cell>
        </row>
      </sheetData>
      <sheetData sheetId="1650">
        <row r="8">
          <cell r="D8" t="str">
            <v>Paramaz Avedisian Building</v>
          </cell>
        </row>
      </sheetData>
      <sheetData sheetId="1651">
        <row r="8">
          <cell r="D8" t="str">
            <v>Paramaz Avedisian Building</v>
          </cell>
        </row>
      </sheetData>
      <sheetData sheetId="1652">
        <row r="8">
          <cell r="D8" t="str">
            <v>Paramaz Avedisian Building</v>
          </cell>
        </row>
      </sheetData>
      <sheetData sheetId="1653">
        <row r="8">
          <cell r="D8" t="str">
            <v>Paramaz Avedisian Building</v>
          </cell>
        </row>
      </sheetData>
      <sheetData sheetId="1654">
        <row r="8">
          <cell r="D8" t="str">
            <v>Paramaz Avedisian Building</v>
          </cell>
        </row>
      </sheetData>
      <sheetData sheetId="1655">
        <row r="8">
          <cell r="D8" t="str">
            <v>Paramaz Avedisian Building</v>
          </cell>
        </row>
      </sheetData>
      <sheetData sheetId="1656">
        <row r="8">
          <cell r="D8" t="str">
            <v>Paramaz Avedisian Building</v>
          </cell>
        </row>
      </sheetData>
      <sheetData sheetId="1657">
        <row r="8">
          <cell r="D8" t="str">
            <v>Paramaz Avedisian Building</v>
          </cell>
        </row>
      </sheetData>
      <sheetData sheetId="1658">
        <row r="8">
          <cell r="D8" t="str">
            <v>Paramaz Avedisian Building</v>
          </cell>
        </row>
      </sheetData>
      <sheetData sheetId="1659">
        <row r="8">
          <cell r="D8" t="str">
            <v>Paramaz Avedisian Building</v>
          </cell>
        </row>
      </sheetData>
      <sheetData sheetId="1660">
        <row r="8">
          <cell r="D8" t="str">
            <v>Paramaz Avedisian Building</v>
          </cell>
        </row>
      </sheetData>
      <sheetData sheetId="1661">
        <row r="8">
          <cell r="D8" t="str">
            <v>Paramaz Avedisian Building</v>
          </cell>
        </row>
      </sheetData>
      <sheetData sheetId="1662">
        <row r="8">
          <cell r="D8" t="str">
            <v>Paramaz Avedisian Building</v>
          </cell>
        </row>
      </sheetData>
      <sheetData sheetId="1663">
        <row r="8">
          <cell r="D8" t="str">
            <v>Paramaz Avedisian Building</v>
          </cell>
        </row>
      </sheetData>
      <sheetData sheetId="1664">
        <row r="8">
          <cell r="D8" t="str">
            <v>Paramaz Avedisian Building</v>
          </cell>
        </row>
      </sheetData>
      <sheetData sheetId="1665">
        <row r="8">
          <cell r="D8" t="str">
            <v>Paramaz Avedisian Building</v>
          </cell>
        </row>
      </sheetData>
      <sheetData sheetId="1666">
        <row r="8">
          <cell r="D8" t="str">
            <v>Paramaz Avedisian Building</v>
          </cell>
        </row>
      </sheetData>
      <sheetData sheetId="1667">
        <row r="8">
          <cell r="D8" t="str">
            <v>Paramaz Avedisian Building</v>
          </cell>
        </row>
      </sheetData>
      <sheetData sheetId="1668">
        <row r="8">
          <cell r="D8" t="str">
            <v>Paramaz Avedisian Building</v>
          </cell>
        </row>
      </sheetData>
      <sheetData sheetId="1669">
        <row r="8">
          <cell r="D8" t="str">
            <v>Paramaz Avedisian Building</v>
          </cell>
        </row>
      </sheetData>
      <sheetData sheetId="1670">
        <row r="8">
          <cell r="D8" t="str">
            <v>Paramaz Avedisian Building</v>
          </cell>
        </row>
      </sheetData>
      <sheetData sheetId="1671">
        <row r="8">
          <cell r="D8" t="str">
            <v>Paramaz Avedisian Building</v>
          </cell>
        </row>
      </sheetData>
      <sheetData sheetId="1672">
        <row r="8">
          <cell r="D8" t="str">
            <v>Paramaz Avedisian Building</v>
          </cell>
        </row>
      </sheetData>
      <sheetData sheetId="1673">
        <row r="8">
          <cell r="D8" t="str">
            <v>Paramaz Avedisian Building</v>
          </cell>
        </row>
      </sheetData>
      <sheetData sheetId="1674">
        <row r="8">
          <cell r="D8" t="str">
            <v>Paramaz Avedisian Building</v>
          </cell>
        </row>
      </sheetData>
      <sheetData sheetId="1675">
        <row r="8">
          <cell r="D8" t="str">
            <v>Paramaz Avedisian Building</v>
          </cell>
        </row>
      </sheetData>
      <sheetData sheetId="1676">
        <row r="8">
          <cell r="D8" t="str">
            <v>Paramaz Avedisian Building</v>
          </cell>
        </row>
      </sheetData>
      <sheetData sheetId="1677">
        <row r="8">
          <cell r="D8" t="str">
            <v>Paramaz Avedisian Building</v>
          </cell>
        </row>
      </sheetData>
      <sheetData sheetId="1678">
        <row r="8">
          <cell r="D8" t="str">
            <v>Paramaz Avedisian Building</v>
          </cell>
        </row>
      </sheetData>
      <sheetData sheetId="1679">
        <row r="8">
          <cell r="D8" t="str">
            <v>Paramaz Avedisian Building</v>
          </cell>
        </row>
      </sheetData>
      <sheetData sheetId="1680">
        <row r="8">
          <cell r="D8" t="str">
            <v>Paramaz Avedisian Building</v>
          </cell>
        </row>
      </sheetData>
      <sheetData sheetId="1681">
        <row r="8">
          <cell r="D8" t="str">
            <v>Paramaz Avedisian Building</v>
          </cell>
        </row>
      </sheetData>
      <sheetData sheetId="1682">
        <row r="8">
          <cell r="D8" t="str">
            <v>Paramaz Avedisian Building</v>
          </cell>
        </row>
      </sheetData>
      <sheetData sheetId="1683">
        <row r="8">
          <cell r="D8" t="str">
            <v>Paramaz Avedisian Building</v>
          </cell>
        </row>
      </sheetData>
      <sheetData sheetId="1684">
        <row r="8">
          <cell r="D8" t="str">
            <v>Paramaz Avedisian Building</v>
          </cell>
        </row>
      </sheetData>
      <sheetData sheetId="1685">
        <row r="8">
          <cell r="D8" t="str">
            <v>Paramaz Avedisian Building</v>
          </cell>
        </row>
      </sheetData>
      <sheetData sheetId="1686">
        <row r="8">
          <cell r="D8" t="str">
            <v>Paramaz Avedisian Building</v>
          </cell>
        </row>
      </sheetData>
      <sheetData sheetId="1687">
        <row r="8">
          <cell r="D8" t="str">
            <v>Paramaz Avedisian Building</v>
          </cell>
        </row>
      </sheetData>
      <sheetData sheetId="1688">
        <row r="8">
          <cell r="D8" t="str">
            <v>Paramaz Avedisian Building</v>
          </cell>
        </row>
      </sheetData>
      <sheetData sheetId="1689">
        <row r="8">
          <cell r="D8" t="str">
            <v>Paramaz Avedisian Building</v>
          </cell>
        </row>
      </sheetData>
      <sheetData sheetId="1690">
        <row r="8">
          <cell r="D8" t="str">
            <v>Paramaz Avedisian Building</v>
          </cell>
        </row>
      </sheetData>
      <sheetData sheetId="1691">
        <row r="8">
          <cell r="D8" t="str">
            <v>Paramaz Avedisian Building</v>
          </cell>
        </row>
      </sheetData>
      <sheetData sheetId="1692">
        <row r="8">
          <cell r="D8" t="str">
            <v>Paramaz Avedisian Building</v>
          </cell>
        </row>
      </sheetData>
      <sheetData sheetId="1693">
        <row r="8">
          <cell r="D8" t="str">
            <v>Paramaz Avedisian Building</v>
          </cell>
        </row>
      </sheetData>
      <sheetData sheetId="1694">
        <row r="8">
          <cell r="D8" t="str">
            <v>Paramaz Avedisian Building</v>
          </cell>
        </row>
      </sheetData>
      <sheetData sheetId="1695">
        <row r="8">
          <cell r="D8" t="str">
            <v>Paramaz Avedisian Building</v>
          </cell>
        </row>
      </sheetData>
      <sheetData sheetId="1696">
        <row r="8">
          <cell r="D8" t="str">
            <v>Paramaz Avedisian Building</v>
          </cell>
        </row>
      </sheetData>
      <sheetData sheetId="1697">
        <row r="8">
          <cell r="D8" t="str">
            <v>Paramaz Avedisian Building</v>
          </cell>
        </row>
      </sheetData>
      <sheetData sheetId="1698">
        <row r="8">
          <cell r="D8" t="str">
            <v>Paramaz Avedisian Building</v>
          </cell>
        </row>
      </sheetData>
      <sheetData sheetId="1699">
        <row r="8">
          <cell r="D8" t="str">
            <v>Paramaz Avedisian Building</v>
          </cell>
        </row>
      </sheetData>
      <sheetData sheetId="1700">
        <row r="8">
          <cell r="D8" t="str">
            <v>Paramaz Avedisian Building</v>
          </cell>
        </row>
      </sheetData>
      <sheetData sheetId="1701">
        <row r="8">
          <cell r="D8" t="str">
            <v>Paramaz Avedisian Building</v>
          </cell>
        </row>
      </sheetData>
      <sheetData sheetId="1702">
        <row r="8">
          <cell r="D8" t="str">
            <v>Paramaz Avedisian Building</v>
          </cell>
        </row>
      </sheetData>
      <sheetData sheetId="1703">
        <row r="8">
          <cell r="D8" t="str">
            <v>Paramaz Avedisian Building</v>
          </cell>
        </row>
      </sheetData>
      <sheetData sheetId="1704">
        <row r="8">
          <cell r="D8" t="str">
            <v>Paramaz Avedisian Building</v>
          </cell>
        </row>
      </sheetData>
      <sheetData sheetId="1705">
        <row r="8">
          <cell r="D8" t="str">
            <v>Paramaz Avedisian Building</v>
          </cell>
        </row>
      </sheetData>
      <sheetData sheetId="1706">
        <row r="8">
          <cell r="D8" t="str">
            <v>Paramaz Avedisian Building</v>
          </cell>
        </row>
      </sheetData>
      <sheetData sheetId="1707">
        <row r="8">
          <cell r="D8" t="str">
            <v>Paramaz Avedisian Building</v>
          </cell>
        </row>
      </sheetData>
      <sheetData sheetId="1708">
        <row r="8">
          <cell r="D8" t="str">
            <v>Paramaz Avedisian Building</v>
          </cell>
        </row>
      </sheetData>
      <sheetData sheetId="1709">
        <row r="8">
          <cell r="D8" t="str">
            <v>Paramaz Avedisian Building</v>
          </cell>
        </row>
      </sheetData>
      <sheetData sheetId="1710">
        <row r="8">
          <cell r="D8" t="str">
            <v>Paramaz Avedisian Building</v>
          </cell>
        </row>
      </sheetData>
      <sheetData sheetId="1711">
        <row r="8">
          <cell r="D8" t="str">
            <v>Paramaz Avedisian Building</v>
          </cell>
        </row>
      </sheetData>
      <sheetData sheetId="1712">
        <row r="8">
          <cell r="D8" t="str">
            <v>Paramaz Avedisian Building</v>
          </cell>
        </row>
      </sheetData>
      <sheetData sheetId="1713">
        <row r="8">
          <cell r="D8" t="str">
            <v>Paramaz Avedisian Building</v>
          </cell>
        </row>
      </sheetData>
      <sheetData sheetId="1714">
        <row r="8">
          <cell r="D8" t="str">
            <v>Paramaz Avedisian Building</v>
          </cell>
        </row>
      </sheetData>
      <sheetData sheetId="1715">
        <row r="8">
          <cell r="D8" t="str">
            <v>Paramaz Avedisian Building</v>
          </cell>
        </row>
      </sheetData>
      <sheetData sheetId="1716">
        <row r="8">
          <cell r="D8" t="str">
            <v>Paramaz Avedisian Building</v>
          </cell>
        </row>
      </sheetData>
      <sheetData sheetId="1717">
        <row r="8">
          <cell r="D8" t="str">
            <v>Paramaz Avedisian Building</v>
          </cell>
        </row>
      </sheetData>
      <sheetData sheetId="1718">
        <row r="8">
          <cell r="D8" t="str">
            <v>Paramaz Avedisian Building</v>
          </cell>
        </row>
      </sheetData>
      <sheetData sheetId="1719">
        <row r="8">
          <cell r="D8" t="str">
            <v>Paramaz Avedisian Building</v>
          </cell>
        </row>
      </sheetData>
      <sheetData sheetId="1720">
        <row r="8">
          <cell r="D8" t="str">
            <v>Paramaz Avedisian Building</v>
          </cell>
        </row>
      </sheetData>
      <sheetData sheetId="1721">
        <row r="8">
          <cell r="D8" t="str">
            <v>Paramaz Avedisian Building</v>
          </cell>
        </row>
      </sheetData>
      <sheetData sheetId="1722">
        <row r="8">
          <cell r="D8" t="str">
            <v>Paramaz Avedisian Building</v>
          </cell>
        </row>
      </sheetData>
      <sheetData sheetId="1723">
        <row r="8">
          <cell r="D8" t="str">
            <v>Paramaz Avedisian Building</v>
          </cell>
        </row>
      </sheetData>
      <sheetData sheetId="1724">
        <row r="8">
          <cell r="D8" t="str">
            <v>Paramaz Avedisian Building</v>
          </cell>
        </row>
      </sheetData>
      <sheetData sheetId="1725">
        <row r="8">
          <cell r="D8" t="str">
            <v>Paramaz Avedisian Building</v>
          </cell>
        </row>
      </sheetData>
      <sheetData sheetId="1726">
        <row r="8">
          <cell r="D8" t="str">
            <v>Paramaz Avedisian Building</v>
          </cell>
        </row>
      </sheetData>
      <sheetData sheetId="1727">
        <row r="8">
          <cell r="D8" t="str">
            <v>Paramaz Avedisian Building</v>
          </cell>
        </row>
      </sheetData>
      <sheetData sheetId="1728">
        <row r="8">
          <cell r="D8" t="str">
            <v>Paramaz Avedisian Building</v>
          </cell>
        </row>
      </sheetData>
      <sheetData sheetId="1729">
        <row r="8">
          <cell r="D8" t="str">
            <v>Paramaz Avedisian Building</v>
          </cell>
        </row>
      </sheetData>
      <sheetData sheetId="1730">
        <row r="8">
          <cell r="D8" t="str">
            <v>Paramaz Avedisian Building</v>
          </cell>
        </row>
      </sheetData>
      <sheetData sheetId="1731">
        <row r="8">
          <cell r="D8" t="str">
            <v>Paramaz Avedisian Building</v>
          </cell>
        </row>
      </sheetData>
      <sheetData sheetId="1732">
        <row r="8">
          <cell r="D8" t="str">
            <v>Paramaz Avedisian Building</v>
          </cell>
        </row>
      </sheetData>
      <sheetData sheetId="1733">
        <row r="8">
          <cell r="D8" t="str">
            <v>Paramaz Avedisian Building</v>
          </cell>
        </row>
      </sheetData>
      <sheetData sheetId="1734">
        <row r="8">
          <cell r="D8" t="str">
            <v>Paramaz Avedisian Building</v>
          </cell>
        </row>
      </sheetData>
      <sheetData sheetId="1735">
        <row r="8">
          <cell r="D8" t="str">
            <v>Paramaz Avedisian Building</v>
          </cell>
        </row>
      </sheetData>
      <sheetData sheetId="1736">
        <row r="8">
          <cell r="D8" t="str">
            <v>Paramaz Avedisian Building</v>
          </cell>
        </row>
      </sheetData>
      <sheetData sheetId="1737">
        <row r="8">
          <cell r="D8" t="str">
            <v>Paramaz Avedisian Building</v>
          </cell>
        </row>
      </sheetData>
      <sheetData sheetId="1738">
        <row r="8">
          <cell r="D8" t="str">
            <v>Paramaz Avedisian Building</v>
          </cell>
        </row>
      </sheetData>
      <sheetData sheetId="1739">
        <row r="8">
          <cell r="D8" t="str">
            <v>Paramaz Avedisian Building</v>
          </cell>
        </row>
      </sheetData>
      <sheetData sheetId="1740">
        <row r="8">
          <cell r="D8" t="str">
            <v>Paramaz Avedisian Building</v>
          </cell>
        </row>
      </sheetData>
      <sheetData sheetId="1741">
        <row r="8">
          <cell r="D8" t="str">
            <v>Paramaz Avedisian Building</v>
          </cell>
        </row>
      </sheetData>
      <sheetData sheetId="1742">
        <row r="8">
          <cell r="D8" t="str">
            <v>Paramaz Avedisian Building</v>
          </cell>
        </row>
      </sheetData>
      <sheetData sheetId="1743">
        <row r="8">
          <cell r="D8" t="str">
            <v>Paramaz Avedisian Building</v>
          </cell>
        </row>
      </sheetData>
      <sheetData sheetId="1744">
        <row r="8">
          <cell r="D8" t="str">
            <v>Paramaz Avedisian Building</v>
          </cell>
        </row>
      </sheetData>
      <sheetData sheetId="1745">
        <row r="8">
          <cell r="D8" t="str">
            <v>Paramaz Avedisian Building</v>
          </cell>
        </row>
      </sheetData>
      <sheetData sheetId="1746">
        <row r="8">
          <cell r="D8" t="str">
            <v>Paramaz Avedisian Building</v>
          </cell>
        </row>
      </sheetData>
      <sheetData sheetId="1747">
        <row r="8">
          <cell r="D8" t="str">
            <v>Paramaz Avedisian Building</v>
          </cell>
        </row>
      </sheetData>
      <sheetData sheetId="1748">
        <row r="8">
          <cell r="D8" t="str">
            <v>Paramaz Avedisian Building</v>
          </cell>
        </row>
      </sheetData>
      <sheetData sheetId="1749">
        <row r="8">
          <cell r="D8" t="str">
            <v>Paramaz Avedisian Building</v>
          </cell>
        </row>
      </sheetData>
      <sheetData sheetId="1750">
        <row r="8">
          <cell r="D8" t="str">
            <v>Paramaz Avedisian Building</v>
          </cell>
        </row>
      </sheetData>
      <sheetData sheetId="1751">
        <row r="8">
          <cell r="D8" t="str">
            <v>Paramaz Avedisian Building</v>
          </cell>
        </row>
      </sheetData>
      <sheetData sheetId="1752">
        <row r="8">
          <cell r="D8" t="str">
            <v>Paramaz Avedisian Building</v>
          </cell>
        </row>
      </sheetData>
      <sheetData sheetId="1753">
        <row r="8">
          <cell r="D8" t="str">
            <v>Paramaz Avedisian Building</v>
          </cell>
        </row>
      </sheetData>
      <sheetData sheetId="1754">
        <row r="8">
          <cell r="D8" t="str">
            <v>Paramaz Avedisian Building</v>
          </cell>
        </row>
      </sheetData>
      <sheetData sheetId="1755">
        <row r="8">
          <cell r="D8" t="str">
            <v>Paramaz Avedisian Building</v>
          </cell>
        </row>
      </sheetData>
      <sheetData sheetId="1756">
        <row r="8">
          <cell r="D8" t="str">
            <v>Paramaz Avedisian Building</v>
          </cell>
        </row>
      </sheetData>
      <sheetData sheetId="1757">
        <row r="8">
          <cell r="D8" t="str">
            <v>Paramaz Avedisian Building</v>
          </cell>
        </row>
      </sheetData>
      <sheetData sheetId="1758">
        <row r="8">
          <cell r="D8" t="str">
            <v>Paramaz Avedisian Building</v>
          </cell>
        </row>
      </sheetData>
      <sheetData sheetId="1759">
        <row r="8">
          <cell r="D8" t="str">
            <v>Paramaz Avedisian Building</v>
          </cell>
        </row>
      </sheetData>
      <sheetData sheetId="1760">
        <row r="8">
          <cell r="D8" t="str">
            <v>Paramaz Avedisian Building</v>
          </cell>
        </row>
      </sheetData>
      <sheetData sheetId="1761">
        <row r="8">
          <cell r="D8" t="str">
            <v>Paramaz Avedisian Building</v>
          </cell>
        </row>
      </sheetData>
      <sheetData sheetId="1762">
        <row r="8">
          <cell r="D8" t="str">
            <v>Paramaz Avedisian Building</v>
          </cell>
        </row>
      </sheetData>
      <sheetData sheetId="1763">
        <row r="8">
          <cell r="D8" t="str">
            <v>Paramaz Avedisian Building</v>
          </cell>
        </row>
      </sheetData>
      <sheetData sheetId="1764">
        <row r="8">
          <cell r="D8" t="str">
            <v>Paramaz Avedisian Building</v>
          </cell>
        </row>
      </sheetData>
      <sheetData sheetId="1765">
        <row r="8">
          <cell r="D8" t="str">
            <v>Paramaz Avedisian Building</v>
          </cell>
        </row>
      </sheetData>
      <sheetData sheetId="1766">
        <row r="8">
          <cell r="D8" t="str">
            <v>Paramaz Avedisian Building</v>
          </cell>
        </row>
      </sheetData>
      <sheetData sheetId="1767">
        <row r="8">
          <cell r="D8" t="str">
            <v>Paramaz Avedisian Building</v>
          </cell>
        </row>
      </sheetData>
      <sheetData sheetId="1768">
        <row r="8">
          <cell r="D8" t="str">
            <v>Paramaz Avedisian Building</v>
          </cell>
        </row>
      </sheetData>
      <sheetData sheetId="1769">
        <row r="8">
          <cell r="D8" t="str">
            <v>Paramaz Avedisian Building</v>
          </cell>
        </row>
      </sheetData>
      <sheetData sheetId="1770">
        <row r="8">
          <cell r="D8" t="str">
            <v>Paramaz Avedisian Building</v>
          </cell>
        </row>
      </sheetData>
      <sheetData sheetId="1771">
        <row r="8">
          <cell r="D8" t="str">
            <v>Paramaz Avedisian Building</v>
          </cell>
        </row>
      </sheetData>
      <sheetData sheetId="1772">
        <row r="8">
          <cell r="D8" t="str">
            <v>Paramaz Avedisian Building</v>
          </cell>
        </row>
      </sheetData>
      <sheetData sheetId="1773">
        <row r="8">
          <cell r="D8" t="str">
            <v>Paramaz Avedisian Building</v>
          </cell>
        </row>
      </sheetData>
      <sheetData sheetId="1774">
        <row r="8">
          <cell r="D8" t="str">
            <v>Paramaz Avedisian Building</v>
          </cell>
        </row>
      </sheetData>
      <sheetData sheetId="1775">
        <row r="8">
          <cell r="D8" t="str">
            <v>Paramaz Avedisian Building</v>
          </cell>
        </row>
      </sheetData>
      <sheetData sheetId="1776">
        <row r="8">
          <cell r="D8" t="str">
            <v>Paramaz Avedisian Building</v>
          </cell>
        </row>
      </sheetData>
      <sheetData sheetId="1777">
        <row r="8">
          <cell r="D8" t="str">
            <v>Paramaz Avedisian Building</v>
          </cell>
        </row>
      </sheetData>
      <sheetData sheetId="1778">
        <row r="8">
          <cell r="D8" t="str">
            <v>Paramaz Avedisian Building</v>
          </cell>
        </row>
      </sheetData>
      <sheetData sheetId="1779">
        <row r="8">
          <cell r="D8" t="str">
            <v>Paramaz Avedisian Building</v>
          </cell>
        </row>
      </sheetData>
      <sheetData sheetId="1780">
        <row r="8">
          <cell r="D8" t="str">
            <v>Paramaz Avedisian Building</v>
          </cell>
        </row>
      </sheetData>
      <sheetData sheetId="1781">
        <row r="8">
          <cell r="D8" t="str">
            <v>Paramaz Avedisian Building</v>
          </cell>
        </row>
      </sheetData>
      <sheetData sheetId="1782">
        <row r="8">
          <cell r="D8" t="str">
            <v>Paramaz Avedisian Building</v>
          </cell>
        </row>
      </sheetData>
      <sheetData sheetId="1783">
        <row r="8">
          <cell r="D8" t="str">
            <v>Paramaz Avedisian Building</v>
          </cell>
        </row>
      </sheetData>
      <sheetData sheetId="1784"/>
      <sheetData sheetId="1785">
        <row r="8">
          <cell r="D8" t="str">
            <v>Paramaz Avedisian Building</v>
          </cell>
        </row>
      </sheetData>
      <sheetData sheetId="1786">
        <row r="8">
          <cell r="D8" t="str">
            <v>Paramaz Avedisian Building</v>
          </cell>
        </row>
      </sheetData>
      <sheetData sheetId="1787">
        <row r="8">
          <cell r="D8" t="str">
            <v>Paramaz Avedisian Building</v>
          </cell>
        </row>
      </sheetData>
      <sheetData sheetId="1788">
        <row r="8">
          <cell r="D8" t="str">
            <v>Paramaz Avedisian Building</v>
          </cell>
        </row>
      </sheetData>
      <sheetData sheetId="1789">
        <row r="8">
          <cell r="D8" t="str">
            <v>Paramaz Avedisian Building</v>
          </cell>
        </row>
      </sheetData>
      <sheetData sheetId="1790">
        <row r="8">
          <cell r="D8" t="str">
            <v>Paramaz Avedisian Building</v>
          </cell>
        </row>
      </sheetData>
      <sheetData sheetId="1791">
        <row r="8">
          <cell r="D8" t="str">
            <v>Paramaz Avedisian Building</v>
          </cell>
        </row>
      </sheetData>
      <sheetData sheetId="1792">
        <row r="8">
          <cell r="D8" t="str">
            <v>Paramaz Avedisian Building</v>
          </cell>
        </row>
      </sheetData>
      <sheetData sheetId="1793">
        <row r="8">
          <cell r="D8" t="str">
            <v>Paramaz Avedisian Building</v>
          </cell>
        </row>
      </sheetData>
      <sheetData sheetId="1794">
        <row r="8">
          <cell r="D8" t="str">
            <v>Paramaz Avedisian Building</v>
          </cell>
        </row>
      </sheetData>
      <sheetData sheetId="1795">
        <row r="8">
          <cell r="D8" t="str">
            <v>Paramaz Avedisian Building</v>
          </cell>
        </row>
      </sheetData>
      <sheetData sheetId="1796">
        <row r="8">
          <cell r="D8" t="str">
            <v>Paramaz Avedisian Building</v>
          </cell>
        </row>
      </sheetData>
      <sheetData sheetId="1797">
        <row r="8">
          <cell r="D8" t="str">
            <v>Paramaz Avedisian Building</v>
          </cell>
        </row>
      </sheetData>
      <sheetData sheetId="1798">
        <row r="8">
          <cell r="D8" t="str">
            <v>Paramaz Avedisian Building</v>
          </cell>
        </row>
      </sheetData>
      <sheetData sheetId="1799">
        <row r="8">
          <cell r="D8" t="str">
            <v>Paramaz Avedisian Building</v>
          </cell>
        </row>
      </sheetData>
      <sheetData sheetId="1800">
        <row r="8">
          <cell r="D8" t="str">
            <v>Paramaz Avedisian Building</v>
          </cell>
        </row>
      </sheetData>
      <sheetData sheetId="1801">
        <row r="8">
          <cell r="D8" t="str">
            <v>Paramaz Avedisian Building</v>
          </cell>
        </row>
      </sheetData>
      <sheetData sheetId="1802">
        <row r="8">
          <cell r="D8" t="str">
            <v>Paramaz Avedisian Building</v>
          </cell>
        </row>
      </sheetData>
      <sheetData sheetId="1803">
        <row r="8">
          <cell r="D8" t="str">
            <v>Paramaz Avedisian Building</v>
          </cell>
        </row>
      </sheetData>
      <sheetData sheetId="1804">
        <row r="8">
          <cell r="D8" t="str">
            <v>Paramaz Avedisian Building</v>
          </cell>
        </row>
      </sheetData>
      <sheetData sheetId="1805">
        <row r="8">
          <cell r="D8" t="str">
            <v>Paramaz Avedisian Building</v>
          </cell>
        </row>
      </sheetData>
      <sheetData sheetId="1806">
        <row r="8">
          <cell r="D8" t="str">
            <v>Paramaz Avedisian Building</v>
          </cell>
        </row>
      </sheetData>
      <sheetData sheetId="1807">
        <row r="8">
          <cell r="D8" t="str">
            <v>Paramaz Avedisian Building</v>
          </cell>
        </row>
      </sheetData>
      <sheetData sheetId="1808">
        <row r="8">
          <cell r="D8" t="str">
            <v>Paramaz Avedisian Building</v>
          </cell>
        </row>
      </sheetData>
      <sheetData sheetId="1809">
        <row r="8">
          <cell r="D8" t="str">
            <v>Paramaz Avedisian Building</v>
          </cell>
        </row>
      </sheetData>
      <sheetData sheetId="1810">
        <row r="8">
          <cell r="D8" t="str">
            <v>Paramaz Avedisian Building</v>
          </cell>
        </row>
      </sheetData>
      <sheetData sheetId="1811">
        <row r="8">
          <cell r="D8" t="str">
            <v>Paramaz Avedisian Building</v>
          </cell>
        </row>
      </sheetData>
      <sheetData sheetId="1812">
        <row r="8">
          <cell r="D8" t="str">
            <v>Paramaz Avedisian Building</v>
          </cell>
        </row>
      </sheetData>
      <sheetData sheetId="1813">
        <row r="8">
          <cell r="D8" t="str">
            <v>Paramaz Avedisian Building</v>
          </cell>
        </row>
      </sheetData>
      <sheetData sheetId="1814">
        <row r="8">
          <cell r="D8" t="str">
            <v>Paramaz Avedisian Building</v>
          </cell>
        </row>
      </sheetData>
      <sheetData sheetId="1815">
        <row r="8">
          <cell r="D8" t="str">
            <v>Paramaz Avedisian Building</v>
          </cell>
        </row>
      </sheetData>
      <sheetData sheetId="1816">
        <row r="8">
          <cell r="D8" t="str">
            <v>Paramaz Avedisian Building</v>
          </cell>
        </row>
      </sheetData>
      <sheetData sheetId="1817">
        <row r="8">
          <cell r="D8" t="str">
            <v>Paramaz Avedisian Building</v>
          </cell>
        </row>
      </sheetData>
      <sheetData sheetId="1818">
        <row r="8">
          <cell r="D8" t="str">
            <v>Paramaz Avedisian Building</v>
          </cell>
        </row>
      </sheetData>
      <sheetData sheetId="1819">
        <row r="8">
          <cell r="D8" t="str">
            <v>Paramaz Avedisian Building</v>
          </cell>
        </row>
      </sheetData>
      <sheetData sheetId="1820">
        <row r="8">
          <cell r="D8" t="str">
            <v>Paramaz Avedisian Building</v>
          </cell>
        </row>
      </sheetData>
      <sheetData sheetId="1821">
        <row r="8">
          <cell r="D8" t="str">
            <v>Paramaz Avedisian Building</v>
          </cell>
        </row>
      </sheetData>
      <sheetData sheetId="1822">
        <row r="8">
          <cell r="D8" t="str">
            <v>Paramaz Avedisian Building</v>
          </cell>
        </row>
      </sheetData>
      <sheetData sheetId="1823">
        <row r="8">
          <cell r="D8" t="str">
            <v>Paramaz Avedisian Building</v>
          </cell>
        </row>
      </sheetData>
      <sheetData sheetId="1824">
        <row r="8">
          <cell r="D8" t="str">
            <v>Paramaz Avedisian Building</v>
          </cell>
        </row>
      </sheetData>
      <sheetData sheetId="1825">
        <row r="8">
          <cell r="D8" t="str">
            <v>Paramaz Avedisian Building</v>
          </cell>
        </row>
      </sheetData>
      <sheetData sheetId="1826">
        <row r="8">
          <cell r="D8" t="str">
            <v>Paramaz Avedisian Building</v>
          </cell>
        </row>
      </sheetData>
      <sheetData sheetId="1827">
        <row r="8">
          <cell r="D8" t="str">
            <v>Paramaz Avedisian Building</v>
          </cell>
        </row>
      </sheetData>
      <sheetData sheetId="1828">
        <row r="8">
          <cell r="D8" t="str">
            <v>Paramaz Avedisian Building</v>
          </cell>
        </row>
      </sheetData>
      <sheetData sheetId="1829">
        <row r="8">
          <cell r="D8" t="str">
            <v>Paramaz Avedisian Building</v>
          </cell>
        </row>
      </sheetData>
      <sheetData sheetId="1830">
        <row r="8">
          <cell r="D8" t="str">
            <v>Paramaz Avedisian Building</v>
          </cell>
        </row>
      </sheetData>
      <sheetData sheetId="1831">
        <row r="8">
          <cell r="D8" t="str">
            <v>Paramaz Avedisian Building</v>
          </cell>
        </row>
      </sheetData>
      <sheetData sheetId="1832">
        <row r="8">
          <cell r="D8" t="str">
            <v>Paramaz Avedisian Building</v>
          </cell>
        </row>
      </sheetData>
      <sheetData sheetId="1833">
        <row r="8">
          <cell r="D8" t="str">
            <v>Paramaz Avedisian Building</v>
          </cell>
        </row>
      </sheetData>
      <sheetData sheetId="1834">
        <row r="8">
          <cell r="D8" t="str">
            <v>Paramaz Avedisian Building</v>
          </cell>
        </row>
      </sheetData>
      <sheetData sheetId="1835">
        <row r="8">
          <cell r="D8" t="str">
            <v>Paramaz Avedisian Building</v>
          </cell>
        </row>
      </sheetData>
      <sheetData sheetId="1836">
        <row r="8">
          <cell r="D8" t="str">
            <v>Paramaz Avedisian Building</v>
          </cell>
        </row>
      </sheetData>
      <sheetData sheetId="1837">
        <row r="8">
          <cell r="D8" t="str">
            <v>Paramaz Avedisian Building</v>
          </cell>
        </row>
      </sheetData>
      <sheetData sheetId="1838">
        <row r="8">
          <cell r="D8" t="str">
            <v>Paramaz Avedisian Building</v>
          </cell>
        </row>
      </sheetData>
      <sheetData sheetId="1839">
        <row r="8">
          <cell r="D8" t="str">
            <v>Paramaz Avedisian Building</v>
          </cell>
        </row>
      </sheetData>
      <sheetData sheetId="1840">
        <row r="8">
          <cell r="D8" t="str">
            <v>Paramaz Avedisian Building</v>
          </cell>
        </row>
      </sheetData>
      <sheetData sheetId="1841">
        <row r="8">
          <cell r="D8" t="str">
            <v>Paramaz Avedisian Building</v>
          </cell>
        </row>
      </sheetData>
      <sheetData sheetId="1842">
        <row r="8">
          <cell r="D8" t="str">
            <v>Paramaz Avedisian Building</v>
          </cell>
        </row>
      </sheetData>
      <sheetData sheetId="1843">
        <row r="8">
          <cell r="D8" t="str">
            <v>Paramaz Avedisian Building</v>
          </cell>
        </row>
      </sheetData>
      <sheetData sheetId="1844">
        <row r="8">
          <cell r="D8" t="str">
            <v>Paramaz Avedisian Building</v>
          </cell>
        </row>
      </sheetData>
      <sheetData sheetId="1845">
        <row r="8">
          <cell r="D8" t="str">
            <v>Paramaz Avedisian Building</v>
          </cell>
        </row>
      </sheetData>
      <sheetData sheetId="1846">
        <row r="8">
          <cell r="D8" t="str">
            <v>Paramaz Avedisian Building</v>
          </cell>
        </row>
      </sheetData>
      <sheetData sheetId="1847">
        <row r="8">
          <cell r="D8" t="str">
            <v>Paramaz Avedisian Building</v>
          </cell>
        </row>
      </sheetData>
      <sheetData sheetId="1848">
        <row r="8">
          <cell r="D8" t="str">
            <v>Paramaz Avedisian Building</v>
          </cell>
        </row>
      </sheetData>
      <sheetData sheetId="1849">
        <row r="8">
          <cell r="D8" t="str">
            <v>Paramaz Avedisian Building</v>
          </cell>
        </row>
      </sheetData>
      <sheetData sheetId="1850">
        <row r="8">
          <cell r="D8" t="str">
            <v>Paramaz Avedisian Building</v>
          </cell>
        </row>
      </sheetData>
      <sheetData sheetId="1851">
        <row r="8">
          <cell r="D8" t="str">
            <v>Paramaz Avedisian Building</v>
          </cell>
        </row>
      </sheetData>
      <sheetData sheetId="1852">
        <row r="8">
          <cell r="D8" t="str">
            <v>Paramaz Avedisian Building</v>
          </cell>
        </row>
      </sheetData>
      <sheetData sheetId="1853">
        <row r="8">
          <cell r="D8" t="str">
            <v>Paramaz Avedisian Building</v>
          </cell>
        </row>
      </sheetData>
      <sheetData sheetId="1854">
        <row r="8">
          <cell r="D8" t="str">
            <v>Paramaz Avedisian Building</v>
          </cell>
        </row>
      </sheetData>
      <sheetData sheetId="1855">
        <row r="8">
          <cell r="D8" t="str">
            <v>Paramaz Avedisian Building</v>
          </cell>
        </row>
      </sheetData>
      <sheetData sheetId="1856">
        <row r="8">
          <cell r="D8" t="str">
            <v>Paramaz Avedisian Building</v>
          </cell>
        </row>
      </sheetData>
      <sheetData sheetId="1857">
        <row r="8">
          <cell r="D8" t="str">
            <v>Paramaz Avedisian Building</v>
          </cell>
        </row>
      </sheetData>
      <sheetData sheetId="1858">
        <row r="8">
          <cell r="D8" t="str">
            <v>Paramaz Avedisian Building</v>
          </cell>
        </row>
      </sheetData>
      <sheetData sheetId="1859">
        <row r="8">
          <cell r="D8" t="str">
            <v>Paramaz Avedisian Building</v>
          </cell>
        </row>
      </sheetData>
      <sheetData sheetId="1860">
        <row r="8">
          <cell r="D8" t="str">
            <v>Paramaz Avedisian Building</v>
          </cell>
        </row>
      </sheetData>
      <sheetData sheetId="1861">
        <row r="8">
          <cell r="D8" t="str">
            <v>Paramaz Avedisian Building</v>
          </cell>
        </row>
      </sheetData>
      <sheetData sheetId="1862">
        <row r="8">
          <cell r="D8" t="str">
            <v>Paramaz Avedisian Building</v>
          </cell>
        </row>
      </sheetData>
      <sheetData sheetId="1863">
        <row r="8">
          <cell r="D8" t="str">
            <v>Paramaz Avedisian Building</v>
          </cell>
        </row>
      </sheetData>
      <sheetData sheetId="1864">
        <row r="8">
          <cell r="D8" t="str">
            <v>Paramaz Avedisian Building</v>
          </cell>
        </row>
      </sheetData>
      <sheetData sheetId="1865">
        <row r="8">
          <cell r="D8" t="str">
            <v>Paramaz Avedisian Building</v>
          </cell>
        </row>
      </sheetData>
      <sheetData sheetId="1866">
        <row r="8">
          <cell r="D8" t="str">
            <v>Paramaz Avedisian Building</v>
          </cell>
        </row>
      </sheetData>
      <sheetData sheetId="1867">
        <row r="8">
          <cell r="D8" t="str">
            <v>Paramaz Avedisian Building</v>
          </cell>
        </row>
      </sheetData>
      <sheetData sheetId="1868">
        <row r="8">
          <cell r="D8" t="str">
            <v>Paramaz Avedisian Building</v>
          </cell>
        </row>
      </sheetData>
      <sheetData sheetId="1869">
        <row r="8">
          <cell r="D8" t="str">
            <v>Paramaz Avedisian Building</v>
          </cell>
        </row>
      </sheetData>
      <sheetData sheetId="1870">
        <row r="8">
          <cell r="D8" t="str">
            <v>Paramaz Avedisian Building</v>
          </cell>
        </row>
      </sheetData>
      <sheetData sheetId="1871">
        <row r="8">
          <cell r="D8" t="str">
            <v>Paramaz Avedisian Building</v>
          </cell>
        </row>
      </sheetData>
      <sheetData sheetId="1872">
        <row r="8">
          <cell r="D8" t="str">
            <v>Paramaz Avedisian Building</v>
          </cell>
        </row>
      </sheetData>
      <sheetData sheetId="1873">
        <row r="8">
          <cell r="D8" t="str">
            <v>Paramaz Avedisian Building</v>
          </cell>
        </row>
      </sheetData>
      <sheetData sheetId="1874">
        <row r="8">
          <cell r="D8" t="str">
            <v>Paramaz Avedisian Building</v>
          </cell>
        </row>
      </sheetData>
      <sheetData sheetId="1875">
        <row r="8">
          <cell r="D8" t="str">
            <v>Paramaz Avedisian Building</v>
          </cell>
        </row>
      </sheetData>
      <sheetData sheetId="1876">
        <row r="8">
          <cell r="D8" t="str">
            <v>Paramaz Avedisian Building</v>
          </cell>
        </row>
      </sheetData>
      <sheetData sheetId="1877">
        <row r="8">
          <cell r="D8" t="str">
            <v>Paramaz Avedisian Building</v>
          </cell>
        </row>
      </sheetData>
      <sheetData sheetId="1878">
        <row r="8">
          <cell r="D8" t="str">
            <v>Paramaz Avedisian Building</v>
          </cell>
        </row>
      </sheetData>
      <sheetData sheetId="1879">
        <row r="8">
          <cell r="D8" t="str">
            <v>Paramaz Avedisian Building</v>
          </cell>
        </row>
      </sheetData>
      <sheetData sheetId="1880">
        <row r="8">
          <cell r="D8" t="str">
            <v>Paramaz Avedisian Building</v>
          </cell>
        </row>
      </sheetData>
      <sheetData sheetId="1881">
        <row r="8">
          <cell r="D8" t="str">
            <v>Paramaz Avedisian Building</v>
          </cell>
        </row>
      </sheetData>
      <sheetData sheetId="1882">
        <row r="8">
          <cell r="D8" t="str">
            <v>Paramaz Avedisian Building</v>
          </cell>
        </row>
      </sheetData>
      <sheetData sheetId="1883">
        <row r="8">
          <cell r="D8" t="str">
            <v>Paramaz Avedisian Building</v>
          </cell>
        </row>
      </sheetData>
      <sheetData sheetId="1884">
        <row r="8">
          <cell r="D8" t="str">
            <v>Paramaz Avedisian Building</v>
          </cell>
        </row>
      </sheetData>
      <sheetData sheetId="1885">
        <row r="8">
          <cell r="D8" t="str">
            <v>Paramaz Avedisian Building</v>
          </cell>
        </row>
      </sheetData>
      <sheetData sheetId="1886">
        <row r="8">
          <cell r="D8" t="str">
            <v>Paramaz Avedisian Building</v>
          </cell>
        </row>
      </sheetData>
      <sheetData sheetId="1887">
        <row r="8">
          <cell r="D8" t="str">
            <v>Paramaz Avedisian Building</v>
          </cell>
        </row>
      </sheetData>
      <sheetData sheetId="1888">
        <row r="8">
          <cell r="D8" t="str">
            <v>Paramaz Avedisian Building</v>
          </cell>
        </row>
      </sheetData>
      <sheetData sheetId="1889">
        <row r="8">
          <cell r="D8" t="str">
            <v>Paramaz Avedisian Building</v>
          </cell>
        </row>
      </sheetData>
      <sheetData sheetId="1890">
        <row r="8">
          <cell r="D8" t="str">
            <v>Paramaz Avedisian Building</v>
          </cell>
        </row>
      </sheetData>
      <sheetData sheetId="1891">
        <row r="8">
          <cell r="D8" t="str">
            <v>Paramaz Avedisian Building</v>
          </cell>
        </row>
      </sheetData>
      <sheetData sheetId="1892">
        <row r="8">
          <cell r="D8" t="str">
            <v>Paramaz Avedisian Building</v>
          </cell>
        </row>
      </sheetData>
      <sheetData sheetId="1893">
        <row r="8">
          <cell r="D8" t="str">
            <v>Paramaz Avedisian Building</v>
          </cell>
        </row>
      </sheetData>
      <sheetData sheetId="1894">
        <row r="8">
          <cell r="D8" t="str">
            <v>Paramaz Avedisian Building</v>
          </cell>
        </row>
      </sheetData>
      <sheetData sheetId="1895">
        <row r="8">
          <cell r="D8" t="str">
            <v>Paramaz Avedisian Building</v>
          </cell>
        </row>
      </sheetData>
      <sheetData sheetId="1896">
        <row r="8">
          <cell r="D8" t="str">
            <v>Paramaz Avedisian Building</v>
          </cell>
        </row>
      </sheetData>
      <sheetData sheetId="1897">
        <row r="8">
          <cell r="D8" t="str">
            <v>Paramaz Avedisian Building</v>
          </cell>
        </row>
      </sheetData>
      <sheetData sheetId="1898">
        <row r="8">
          <cell r="D8" t="str">
            <v>Paramaz Avedisian Building</v>
          </cell>
        </row>
      </sheetData>
      <sheetData sheetId="1899">
        <row r="8">
          <cell r="D8" t="str">
            <v>Paramaz Avedisian Building</v>
          </cell>
        </row>
      </sheetData>
      <sheetData sheetId="1900">
        <row r="8">
          <cell r="D8" t="str">
            <v>Paramaz Avedisian Building</v>
          </cell>
        </row>
      </sheetData>
      <sheetData sheetId="1901">
        <row r="8">
          <cell r="D8" t="str">
            <v>Paramaz Avedisian Building</v>
          </cell>
        </row>
      </sheetData>
      <sheetData sheetId="1902">
        <row r="8">
          <cell r="D8" t="str">
            <v>Paramaz Avedisian Building</v>
          </cell>
        </row>
      </sheetData>
      <sheetData sheetId="1903">
        <row r="8">
          <cell r="D8" t="str">
            <v>Paramaz Avedisian Building</v>
          </cell>
        </row>
      </sheetData>
      <sheetData sheetId="1904">
        <row r="8">
          <cell r="D8" t="str">
            <v>Paramaz Avedisian Building</v>
          </cell>
        </row>
      </sheetData>
      <sheetData sheetId="1905">
        <row r="8">
          <cell r="D8" t="str">
            <v>Paramaz Avedisian Building</v>
          </cell>
        </row>
      </sheetData>
      <sheetData sheetId="1906">
        <row r="8">
          <cell r="D8" t="str">
            <v>Paramaz Avedisian Building</v>
          </cell>
        </row>
      </sheetData>
      <sheetData sheetId="1907">
        <row r="8">
          <cell r="D8" t="str">
            <v>Paramaz Avedisian Building</v>
          </cell>
        </row>
      </sheetData>
      <sheetData sheetId="1908">
        <row r="8">
          <cell r="D8" t="str">
            <v>Paramaz Avedisian Building</v>
          </cell>
        </row>
      </sheetData>
      <sheetData sheetId="1909">
        <row r="8">
          <cell r="D8" t="str">
            <v>Paramaz Avedisian Building</v>
          </cell>
        </row>
      </sheetData>
      <sheetData sheetId="1910">
        <row r="8">
          <cell r="D8" t="str">
            <v>Paramaz Avedisian Building</v>
          </cell>
        </row>
      </sheetData>
      <sheetData sheetId="1911">
        <row r="8">
          <cell r="D8" t="str">
            <v>Paramaz Avedisian Building</v>
          </cell>
        </row>
      </sheetData>
      <sheetData sheetId="1912">
        <row r="8">
          <cell r="D8" t="str">
            <v>Paramaz Avedisian Building</v>
          </cell>
        </row>
      </sheetData>
      <sheetData sheetId="1913">
        <row r="8">
          <cell r="D8" t="str">
            <v>Paramaz Avedisian Building</v>
          </cell>
        </row>
      </sheetData>
      <sheetData sheetId="1914">
        <row r="8">
          <cell r="D8" t="str">
            <v>Paramaz Avedisian Building</v>
          </cell>
        </row>
      </sheetData>
      <sheetData sheetId="1915">
        <row r="8">
          <cell r="D8" t="str">
            <v>Paramaz Avedisian Building</v>
          </cell>
        </row>
      </sheetData>
      <sheetData sheetId="1916">
        <row r="8">
          <cell r="D8" t="str">
            <v>Paramaz Avedisian Building</v>
          </cell>
        </row>
      </sheetData>
      <sheetData sheetId="1917">
        <row r="8">
          <cell r="D8" t="str">
            <v>Paramaz Avedisian Building</v>
          </cell>
        </row>
      </sheetData>
      <sheetData sheetId="1918">
        <row r="8">
          <cell r="D8" t="str">
            <v>Paramaz Avedisian Building</v>
          </cell>
        </row>
      </sheetData>
      <sheetData sheetId="1919">
        <row r="8">
          <cell r="D8" t="str">
            <v>Paramaz Avedisian Building</v>
          </cell>
        </row>
      </sheetData>
      <sheetData sheetId="1920">
        <row r="8">
          <cell r="D8" t="str">
            <v>Paramaz Avedisian Building</v>
          </cell>
        </row>
      </sheetData>
      <sheetData sheetId="1921">
        <row r="8">
          <cell r="D8" t="str">
            <v>Paramaz Avedisian Building</v>
          </cell>
        </row>
      </sheetData>
      <sheetData sheetId="1922">
        <row r="8">
          <cell r="D8" t="str">
            <v>Paramaz Avedisian Building</v>
          </cell>
        </row>
      </sheetData>
      <sheetData sheetId="1923">
        <row r="8">
          <cell r="D8" t="str">
            <v>Paramaz Avedisian Building</v>
          </cell>
        </row>
      </sheetData>
      <sheetData sheetId="1924">
        <row r="8">
          <cell r="D8" t="str">
            <v>Paramaz Avedisian Building</v>
          </cell>
        </row>
      </sheetData>
      <sheetData sheetId="1925">
        <row r="8">
          <cell r="D8" t="str">
            <v>Paramaz Avedisian Building</v>
          </cell>
        </row>
      </sheetData>
      <sheetData sheetId="1926">
        <row r="8">
          <cell r="D8" t="str">
            <v>Paramaz Avedisian Building</v>
          </cell>
        </row>
      </sheetData>
      <sheetData sheetId="1927">
        <row r="8">
          <cell r="D8" t="str">
            <v>Paramaz Avedisian Building</v>
          </cell>
        </row>
      </sheetData>
      <sheetData sheetId="1928">
        <row r="8">
          <cell r="D8" t="str">
            <v>Paramaz Avedisian Building</v>
          </cell>
        </row>
      </sheetData>
      <sheetData sheetId="1929">
        <row r="8">
          <cell r="D8" t="str">
            <v>Paramaz Avedisian Building</v>
          </cell>
        </row>
      </sheetData>
      <sheetData sheetId="1930">
        <row r="8">
          <cell r="D8" t="str">
            <v>Paramaz Avedisian Building</v>
          </cell>
        </row>
      </sheetData>
      <sheetData sheetId="1931">
        <row r="8">
          <cell r="D8" t="str">
            <v>Paramaz Avedisian Building</v>
          </cell>
        </row>
      </sheetData>
      <sheetData sheetId="1932">
        <row r="8">
          <cell r="D8" t="str">
            <v>Paramaz Avedisian Building</v>
          </cell>
        </row>
      </sheetData>
      <sheetData sheetId="1933">
        <row r="8">
          <cell r="D8" t="str">
            <v>Paramaz Avedisian Building</v>
          </cell>
        </row>
      </sheetData>
      <sheetData sheetId="1934">
        <row r="8">
          <cell r="D8" t="str">
            <v>Paramaz Avedisian Building</v>
          </cell>
        </row>
      </sheetData>
      <sheetData sheetId="1935">
        <row r="8">
          <cell r="D8" t="str">
            <v>Paramaz Avedisian Building</v>
          </cell>
        </row>
      </sheetData>
      <sheetData sheetId="1936">
        <row r="8">
          <cell r="D8" t="str">
            <v>Paramaz Avedisian Building</v>
          </cell>
        </row>
      </sheetData>
      <sheetData sheetId="1937">
        <row r="8">
          <cell r="D8" t="str">
            <v>Paramaz Avedisian Building</v>
          </cell>
        </row>
      </sheetData>
      <sheetData sheetId="1938">
        <row r="8">
          <cell r="D8" t="str">
            <v>Paramaz Avedisian Building</v>
          </cell>
        </row>
      </sheetData>
      <sheetData sheetId="1939">
        <row r="8">
          <cell r="D8" t="str">
            <v>Paramaz Avedisian Building</v>
          </cell>
        </row>
      </sheetData>
      <sheetData sheetId="1940">
        <row r="8">
          <cell r="D8" t="str">
            <v>Paramaz Avedisian Building</v>
          </cell>
        </row>
      </sheetData>
      <sheetData sheetId="1941">
        <row r="8">
          <cell r="D8" t="str">
            <v>Paramaz Avedisian Building</v>
          </cell>
        </row>
      </sheetData>
      <sheetData sheetId="1942">
        <row r="8">
          <cell r="D8" t="str">
            <v>Paramaz Avedisian Building</v>
          </cell>
        </row>
      </sheetData>
      <sheetData sheetId="1943">
        <row r="8">
          <cell r="D8" t="str">
            <v>Paramaz Avedisian Building</v>
          </cell>
        </row>
      </sheetData>
      <sheetData sheetId="1944">
        <row r="8">
          <cell r="D8" t="str">
            <v>Paramaz Avedisian Building</v>
          </cell>
        </row>
      </sheetData>
      <sheetData sheetId="1945">
        <row r="8">
          <cell r="D8" t="str">
            <v>Paramaz Avedisian Building</v>
          </cell>
        </row>
      </sheetData>
      <sheetData sheetId="1946">
        <row r="8">
          <cell r="D8" t="str">
            <v>Paramaz Avedisian Building</v>
          </cell>
        </row>
      </sheetData>
      <sheetData sheetId="1947">
        <row r="8">
          <cell r="D8" t="str">
            <v>Paramaz Avedisian Building</v>
          </cell>
        </row>
      </sheetData>
      <sheetData sheetId="1948">
        <row r="8">
          <cell r="D8" t="str">
            <v>Paramaz Avedisian Building</v>
          </cell>
        </row>
      </sheetData>
      <sheetData sheetId="1949">
        <row r="8">
          <cell r="D8" t="str">
            <v>Paramaz Avedisian Building</v>
          </cell>
        </row>
      </sheetData>
      <sheetData sheetId="1950">
        <row r="8">
          <cell r="D8" t="str">
            <v>Paramaz Avedisian Building</v>
          </cell>
        </row>
      </sheetData>
      <sheetData sheetId="1951">
        <row r="8">
          <cell r="D8" t="str">
            <v>Paramaz Avedisian Building</v>
          </cell>
        </row>
      </sheetData>
      <sheetData sheetId="1952">
        <row r="8">
          <cell r="D8" t="str">
            <v>Paramaz Avedisian Building</v>
          </cell>
        </row>
      </sheetData>
      <sheetData sheetId="1953">
        <row r="8">
          <cell r="D8" t="str">
            <v>Paramaz Avedisian Building</v>
          </cell>
        </row>
      </sheetData>
      <sheetData sheetId="1954">
        <row r="8">
          <cell r="D8" t="str">
            <v>Paramaz Avedisian Building</v>
          </cell>
        </row>
      </sheetData>
      <sheetData sheetId="1955">
        <row r="8">
          <cell r="D8" t="str">
            <v>Paramaz Avedisian Building</v>
          </cell>
        </row>
      </sheetData>
      <sheetData sheetId="1956">
        <row r="8">
          <cell r="D8" t="str">
            <v>Paramaz Avedisian Building</v>
          </cell>
        </row>
      </sheetData>
      <sheetData sheetId="1957">
        <row r="8">
          <cell r="D8" t="str">
            <v>Paramaz Avedisian Building</v>
          </cell>
        </row>
      </sheetData>
      <sheetData sheetId="1958">
        <row r="8">
          <cell r="D8" t="str">
            <v>Paramaz Avedisian Building</v>
          </cell>
        </row>
      </sheetData>
      <sheetData sheetId="1959">
        <row r="8">
          <cell r="D8" t="str">
            <v>Paramaz Avedisian Building</v>
          </cell>
        </row>
      </sheetData>
      <sheetData sheetId="1960">
        <row r="8">
          <cell r="D8" t="str">
            <v>Paramaz Avedisian Building</v>
          </cell>
        </row>
      </sheetData>
      <sheetData sheetId="1961">
        <row r="8">
          <cell r="D8" t="str">
            <v>Paramaz Avedisian Building</v>
          </cell>
        </row>
      </sheetData>
      <sheetData sheetId="1962">
        <row r="8">
          <cell r="D8" t="str">
            <v>Paramaz Avedisian Building</v>
          </cell>
        </row>
      </sheetData>
      <sheetData sheetId="1963">
        <row r="8">
          <cell r="D8" t="str">
            <v>Paramaz Avedisian Building</v>
          </cell>
        </row>
      </sheetData>
      <sheetData sheetId="1964">
        <row r="8">
          <cell r="D8" t="str">
            <v>Paramaz Avedisian Building</v>
          </cell>
        </row>
      </sheetData>
      <sheetData sheetId="1965">
        <row r="8">
          <cell r="D8" t="str">
            <v>Paramaz Avedisian Building</v>
          </cell>
        </row>
      </sheetData>
      <sheetData sheetId="1966">
        <row r="8">
          <cell r="D8" t="str">
            <v>Paramaz Avedisian Building</v>
          </cell>
        </row>
      </sheetData>
      <sheetData sheetId="1967">
        <row r="8">
          <cell r="D8" t="str">
            <v>Paramaz Avedisian Building</v>
          </cell>
        </row>
      </sheetData>
      <sheetData sheetId="1968">
        <row r="8">
          <cell r="D8" t="str">
            <v>Paramaz Avedisian Building</v>
          </cell>
        </row>
      </sheetData>
      <sheetData sheetId="1969">
        <row r="8">
          <cell r="D8" t="str">
            <v>Paramaz Avedisian Building</v>
          </cell>
        </row>
      </sheetData>
      <sheetData sheetId="1970">
        <row r="8">
          <cell r="D8" t="str">
            <v>Paramaz Avedisian Building</v>
          </cell>
        </row>
      </sheetData>
      <sheetData sheetId="1971">
        <row r="8">
          <cell r="D8" t="str">
            <v>Paramaz Avedisian Building</v>
          </cell>
        </row>
      </sheetData>
      <sheetData sheetId="1972">
        <row r="8">
          <cell r="D8" t="str">
            <v>Paramaz Avedisian Building</v>
          </cell>
        </row>
      </sheetData>
      <sheetData sheetId="1973">
        <row r="8">
          <cell r="D8" t="str">
            <v>Paramaz Avedisian Building</v>
          </cell>
        </row>
      </sheetData>
      <sheetData sheetId="1974">
        <row r="8">
          <cell r="D8" t="str">
            <v>Paramaz Avedisian Building</v>
          </cell>
        </row>
      </sheetData>
      <sheetData sheetId="1975">
        <row r="8">
          <cell r="D8" t="str">
            <v>Paramaz Avedisian Building</v>
          </cell>
        </row>
      </sheetData>
      <sheetData sheetId="1976">
        <row r="8">
          <cell r="D8" t="str">
            <v>Paramaz Avedisian Building</v>
          </cell>
        </row>
      </sheetData>
      <sheetData sheetId="1977">
        <row r="8">
          <cell r="D8" t="str">
            <v>Paramaz Avedisian Building</v>
          </cell>
        </row>
      </sheetData>
      <sheetData sheetId="1978">
        <row r="8">
          <cell r="D8" t="str">
            <v>Paramaz Avedisian Building</v>
          </cell>
        </row>
      </sheetData>
      <sheetData sheetId="1979">
        <row r="8">
          <cell r="D8" t="str">
            <v>Paramaz Avedisian Building</v>
          </cell>
        </row>
      </sheetData>
      <sheetData sheetId="1980">
        <row r="8">
          <cell r="D8" t="str">
            <v>Paramaz Avedisian Building</v>
          </cell>
        </row>
      </sheetData>
      <sheetData sheetId="1981">
        <row r="8">
          <cell r="D8" t="str">
            <v>Paramaz Avedisian Building</v>
          </cell>
        </row>
      </sheetData>
      <sheetData sheetId="1982">
        <row r="8">
          <cell r="D8" t="str">
            <v>Paramaz Avedisian Building</v>
          </cell>
        </row>
      </sheetData>
      <sheetData sheetId="1983">
        <row r="8">
          <cell r="D8" t="str">
            <v>Paramaz Avedisian Building</v>
          </cell>
        </row>
      </sheetData>
      <sheetData sheetId="1984">
        <row r="8">
          <cell r="D8" t="str">
            <v>Paramaz Avedisian Building</v>
          </cell>
        </row>
      </sheetData>
      <sheetData sheetId="1985">
        <row r="8">
          <cell r="D8" t="str">
            <v>Paramaz Avedisian Building</v>
          </cell>
        </row>
      </sheetData>
      <sheetData sheetId="1986">
        <row r="8">
          <cell r="D8" t="str">
            <v>Paramaz Avedisian Building</v>
          </cell>
        </row>
      </sheetData>
      <sheetData sheetId="1987">
        <row r="8">
          <cell r="D8" t="str">
            <v>Paramaz Avedisian Building</v>
          </cell>
        </row>
      </sheetData>
      <sheetData sheetId="1988">
        <row r="8">
          <cell r="D8" t="str">
            <v>Paramaz Avedisian Building</v>
          </cell>
        </row>
      </sheetData>
      <sheetData sheetId="1989">
        <row r="8">
          <cell r="D8" t="str">
            <v>Paramaz Avedisian Building</v>
          </cell>
        </row>
      </sheetData>
      <sheetData sheetId="1990">
        <row r="8">
          <cell r="D8" t="str">
            <v>Paramaz Avedisian Building</v>
          </cell>
        </row>
      </sheetData>
      <sheetData sheetId="1991">
        <row r="8">
          <cell r="D8" t="str">
            <v>Paramaz Avedisian Building</v>
          </cell>
        </row>
      </sheetData>
      <sheetData sheetId="1992">
        <row r="8">
          <cell r="D8" t="str">
            <v>Paramaz Avedisian Building</v>
          </cell>
        </row>
      </sheetData>
      <sheetData sheetId="1993">
        <row r="8">
          <cell r="D8" t="str">
            <v>Paramaz Avedisian Building</v>
          </cell>
        </row>
      </sheetData>
      <sheetData sheetId="1994">
        <row r="8">
          <cell r="D8" t="str">
            <v>Paramaz Avedisian Building</v>
          </cell>
        </row>
      </sheetData>
      <sheetData sheetId="1995">
        <row r="8">
          <cell r="D8" t="str">
            <v>Paramaz Avedisian Building</v>
          </cell>
        </row>
      </sheetData>
      <sheetData sheetId="1996">
        <row r="8">
          <cell r="D8" t="str">
            <v>Paramaz Avedisian Building</v>
          </cell>
        </row>
      </sheetData>
      <sheetData sheetId="1997">
        <row r="8">
          <cell r="D8" t="str">
            <v>Paramaz Avedisian Building</v>
          </cell>
        </row>
      </sheetData>
      <sheetData sheetId="1998">
        <row r="8">
          <cell r="D8" t="str">
            <v>Paramaz Avedisian Building</v>
          </cell>
        </row>
      </sheetData>
      <sheetData sheetId="1999">
        <row r="8">
          <cell r="D8" t="str">
            <v>Paramaz Avedisian Building</v>
          </cell>
        </row>
      </sheetData>
      <sheetData sheetId="2000">
        <row r="8">
          <cell r="D8" t="str">
            <v>Paramaz Avedisian Building</v>
          </cell>
        </row>
      </sheetData>
      <sheetData sheetId="2001">
        <row r="8">
          <cell r="D8" t="str">
            <v>Paramaz Avedisian Building</v>
          </cell>
        </row>
      </sheetData>
      <sheetData sheetId="2002">
        <row r="8">
          <cell r="D8" t="str">
            <v>Paramaz Avedisian Building</v>
          </cell>
        </row>
      </sheetData>
      <sheetData sheetId="2003">
        <row r="8">
          <cell r="D8" t="str">
            <v>Paramaz Avedisian Building</v>
          </cell>
        </row>
      </sheetData>
      <sheetData sheetId="2004">
        <row r="8">
          <cell r="D8" t="str">
            <v>Paramaz Avedisian Building</v>
          </cell>
        </row>
      </sheetData>
      <sheetData sheetId="2005">
        <row r="8">
          <cell r="D8" t="str">
            <v>Paramaz Avedisian Building</v>
          </cell>
        </row>
      </sheetData>
      <sheetData sheetId="2006">
        <row r="8">
          <cell r="D8" t="str">
            <v>Paramaz Avedisian Building</v>
          </cell>
        </row>
      </sheetData>
      <sheetData sheetId="2007">
        <row r="8">
          <cell r="D8" t="str">
            <v>Paramaz Avedisian Building</v>
          </cell>
        </row>
      </sheetData>
      <sheetData sheetId="2008">
        <row r="8">
          <cell r="D8" t="str">
            <v>Paramaz Avedisian Building</v>
          </cell>
        </row>
      </sheetData>
      <sheetData sheetId="2009">
        <row r="8">
          <cell r="D8" t="str">
            <v>Paramaz Avedisian Building</v>
          </cell>
        </row>
      </sheetData>
      <sheetData sheetId="2010">
        <row r="8">
          <cell r="D8" t="str">
            <v>Paramaz Avedisian Building</v>
          </cell>
        </row>
      </sheetData>
      <sheetData sheetId="2011">
        <row r="8">
          <cell r="D8" t="str">
            <v>Paramaz Avedisian Building</v>
          </cell>
        </row>
      </sheetData>
      <sheetData sheetId="2012">
        <row r="8">
          <cell r="D8" t="str">
            <v>Paramaz Avedisian Building</v>
          </cell>
        </row>
      </sheetData>
      <sheetData sheetId="2013">
        <row r="8">
          <cell r="D8" t="str">
            <v>Paramaz Avedisian Building</v>
          </cell>
        </row>
      </sheetData>
      <sheetData sheetId="2014">
        <row r="8">
          <cell r="D8" t="str">
            <v>Paramaz Avedisian Building</v>
          </cell>
        </row>
      </sheetData>
      <sheetData sheetId="2015">
        <row r="8">
          <cell r="D8" t="str">
            <v>Paramaz Avedisian Building</v>
          </cell>
        </row>
      </sheetData>
      <sheetData sheetId="2016">
        <row r="8">
          <cell r="D8" t="str">
            <v>Paramaz Avedisian Building</v>
          </cell>
        </row>
      </sheetData>
      <sheetData sheetId="2017">
        <row r="8">
          <cell r="D8" t="str">
            <v>Paramaz Avedisian Building</v>
          </cell>
        </row>
      </sheetData>
      <sheetData sheetId="2018">
        <row r="8">
          <cell r="D8" t="str">
            <v>Paramaz Avedisian Building</v>
          </cell>
        </row>
      </sheetData>
      <sheetData sheetId="2019">
        <row r="8">
          <cell r="D8" t="str">
            <v>Paramaz Avedisian Building</v>
          </cell>
        </row>
      </sheetData>
      <sheetData sheetId="2020">
        <row r="8">
          <cell r="D8" t="str">
            <v>Paramaz Avedisian Building</v>
          </cell>
        </row>
      </sheetData>
      <sheetData sheetId="2021">
        <row r="8">
          <cell r="D8" t="str">
            <v>Paramaz Avedisian Building</v>
          </cell>
        </row>
      </sheetData>
      <sheetData sheetId="2022">
        <row r="8">
          <cell r="D8" t="str">
            <v>Paramaz Avedisian Building</v>
          </cell>
        </row>
      </sheetData>
      <sheetData sheetId="2023">
        <row r="8">
          <cell r="D8" t="str">
            <v>Paramaz Avedisian Building</v>
          </cell>
        </row>
      </sheetData>
      <sheetData sheetId="2024">
        <row r="8">
          <cell r="D8" t="str">
            <v>Paramaz Avedisian Building</v>
          </cell>
        </row>
      </sheetData>
      <sheetData sheetId="2025">
        <row r="8">
          <cell r="D8" t="str">
            <v>Paramaz Avedisian Building</v>
          </cell>
        </row>
      </sheetData>
      <sheetData sheetId="2026">
        <row r="8">
          <cell r="D8" t="str">
            <v>Paramaz Avedisian Building</v>
          </cell>
        </row>
      </sheetData>
      <sheetData sheetId="2027">
        <row r="8">
          <cell r="D8" t="str">
            <v>Paramaz Avedisian Building</v>
          </cell>
        </row>
      </sheetData>
      <sheetData sheetId="2028">
        <row r="8">
          <cell r="D8" t="str">
            <v>Paramaz Avedisian Building</v>
          </cell>
        </row>
      </sheetData>
      <sheetData sheetId="2029">
        <row r="8">
          <cell r="D8" t="str">
            <v>Paramaz Avedisian Building</v>
          </cell>
        </row>
      </sheetData>
      <sheetData sheetId="2030">
        <row r="8">
          <cell r="D8" t="str">
            <v>Paramaz Avedisian Building</v>
          </cell>
        </row>
      </sheetData>
      <sheetData sheetId="2031">
        <row r="8">
          <cell r="D8" t="str">
            <v>Paramaz Avedisian Building</v>
          </cell>
        </row>
      </sheetData>
      <sheetData sheetId="2032">
        <row r="8">
          <cell r="D8" t="str">
            <v>Paramaz Avedisian Building</v>
          </cell>
        </row>
      </sheetData>
      <sheetData sheetId="2033">
        <row r="8">
          <cell r="D8" t="str">
            <v>Paramaz Avedisian Building</v>
          </cell>
        </row>
      </sheetData>
      <sheetData sheetId="2034">
        <row r="8">
          <cell r="D8" t="str">
            <v>Paramaz Avedisian Building</v>
          </cell>
        </row>
      </sheetData>
      <sheetData sheetId="2035">
        <row r="8">
          <cell r="D8" t="str">
            <v>Paramaz Avedisian Building</v>
          </cell>
        </row>
      </sheetData>
      <sheetData sheetId="2036">
        <row r="8">
          <cell r="D8" t="str">
            <v>Paramaz Avedisian Building</v>
          </cell>
        </row>
      </sheetData>
      <sheetData sheetId="2037">
        <row r="8">
          <cell r="D8" t="str">
            <v>Paramaz Avedisian Building</v>
          </cell>
        </row>
      </sheetData>
      <sheetData sheetId="2038">
        <row r="8">
          <cell r="D8" t="str">
            <v>Paramaz Avedisian Building</v>
          </cell>
        </row>
      </sheetData>
      <sheetData sheetId="2039">
        <row r="8">
          <cell r="D8" t="str">
            <v>Paramaz Avedisian Building</v>
          </cell>
        </row>
      </sheetData>
      <sheetData sheetId="2040">
        <row r="8">
          <cell r="D8" t="str">
            <v>Paramaz Avedisian Building</v>
          </cell>
        </row>
      </sheetData>
      <sheetData sheetId="2041">
        <row r="8">
          <cell r="D8" t="str">
            <v>Paramaz Avedisian Building</v>
          </cell>
        </row>
      </sheetData>
      <sheetData sheetId="2042">
        <row r="8">
          <cell r="D8" t="str">
            <v>Paramaz Avedisian Building</v>
          </cell>
        </row>
      </sheetData>
      <sheetData sheetId="2043">
        <row r="8">
          <cell r="D8" t="str">
            <v>Paramaz Avedisian Building</v>
          </cell>
        </row>
      </sheetData>
      <sheetData sheetId="2044">
        <row r="8">
          <cell r="D8" t="str">
            <v>Paramaz Avedisian Building</v>
          </cell>
        </row>
      </sheetData>
      <sheetData sheetId="2045">
        <row r="8">
          <cell r="D8" t="str">
            <v>Paramaz Avedisian Building</v>
          </cell>
        </row>
      </sheetData>
      <sheetData sheetId="2046">
        <row r="8">
          <cell r="D8" t="str">
            <v>Paramaz Avedisian Building</v>
          </cell>
        </row>
      </sheetData>
      <sheetData sheetId="2047">
        <row r="8">
          <cell r="D8" t="str">
            <v>Paramaz Avedisian Building</v>
          </cell>
        </row>
      </sheetData>
      <sheetData sheetId="2048">
        <row r="8">
          <cell r="D8" t="str">
            <v>Paramaz Avedisian Building</v>
          </cell>
        </row>
      </sheetData>
      <sheetData sheetId="2049">
        <row r="8">
          <cell r="D8" t="str">
            <v>Paramaz Avedisian Building</v>
          </cell>
        </row>
      </sheetData>
      <sheetData sheetId="2050">
        <row r="8">
          <cell r="D8" t="str">
            <v>Paramaz Avedisian Building</v>
          </cell>
        </row>
      </sheetData>
      <sheetData sheetId="2051">
        <row r="8">
          <cell r="D8" t="str">
            <v>Paramaz Avedisian Building</v>
          </cell>
        </row>
      </sheetData>
      <sheetData sheetId="2052">
        <row r="8">
          <cell r="D8" t="str">
            <v>Paramaz Avedisian Building</v>
          </cell>
        </row>
      </sheetData>
      <sheetData sheetId="2053">
        <row r="8">
          <cell r="D8" t="str">
            <v>Paramaz Avedisian Building</v>
          </cell>
        </row>
      </sheetData>
      <sheetData sheetId="2054">
        <row r="8">
          <cell r="D8" t="str">
            <v>Paramaz Avedisian Building</v>
          </cell>
        </row>
      </sheetData>
      <sheetData sheetId="2055">
        <row r="8">
          <cell r="D8" t="str">
            <v>Paramaz Avedisian Building</v>
          </cell>
        </row>
      </sheetData>
      <sheetData sheetId="2056">
        <row r="8">
          <cell r="D8" t="str">
            <v>Paramaz Avedisian Building</v>
          </cell>
        </row>
      </sheetData>
      <sheetData sheetId="2057">
        <row r="8">
          <cell r="D8" t="str">
            <v>Paramaz Avedisian Building</v>
          </cell>
        </row>
      </sheetData>
      <sheetData sheetId="2058">
        <row r="8">
          <cell r="D8" t="str">
            <v>Paramaz Avedisian Building</v>
          </cell>
        </row>
      </sheetData>
      <sheetData sheetId="2059">
        <row r="8">
          <cell r="D8" t="str">
            <v>Paramaz Avedisian Building</v>
          </cell>
        </row>
      </sheetData>
      <sheetData sheetId="2060">
        <row r="8">
          <cell r="D8" t="str">
            <v>Paramaz Avedisian Building</v>
          </cell>
        </row>
      </sheetData>
      <sheetData sheetId="2061">
        <row r="8">
          <cell r="D8" t="str">
            <v>Paramaz Avedisian Building</v>
          </cell>
        </row>
      </sheetData>
      <sheetData sheetId="2062">
        <row r="8">
          <cell r="D8" t="str">
            <v>Paramaz Avedisian Building</v>
          </cell>
        </row>
      </sheetData>
      <sheetData sheetId="2063">
        <row r="8">
          <cell r="D8" t="str">
            <v>Paramaz Avedisian Building</v>
          </cell>
        </row>
      </sheetData>
      <sheetData sheetId="2064">
        <row r="8">
          <cell r="D8" t="str">
            <v>Paramaz Avedisian Building</v>
          </cell>
        </row>
      </sheetData>
      <sheetData sheetId="2065">
        <row r="8">
          <cell r="D8" t="str">
            <v>Paramaz Avedisian Building</v>
          </cell>
        </row>
      </sheetData>
      <sheetData sheetId="2066">
        <row r="8">
          <cell r="D8" t="str">
            <v>Paramaz Avedisian Building</v>
          </cell>
        </row>
      </sheetData>
      <sheetData sheetId="2067">
        <row r="8">
          <cell r="D8" t="str">
            <v>Paramaz Avedisian Building</v>
          </cell>
        </row>
      </sheetData>
      <sheetData sheetId="2068">
        <row r="8">
          <cell r="D8" t="str">
            <v>Paramaz Avedisian Building</v>
          </cell>
        </row>
      </sheetData>
      <sheetData sheetId="2069">
        <row r="8">
          <cell r="D8" t="str">
            <v>Paramaz Avedisian Building</v>
          </cell>
        </row>
      </sheetData>
      <sheetData sheetId="2070">
        <row r="8">
          <cell r="D8" t="str">
            <v>Paramaz Avedisian Building</v>
          </cell>
        </row>
      </sheetData>
      <sheetData sheetId="2071">
        <row r="8">
          <cell r="D8" t="str">
            <v>Paramaz Avedisian Building</v>
          </cell>
        </row>
      </sheetData>
      <sheetData sheetId="2072">
        <row r="8">
          <cell r="D8" t="str">
            <v>Paramaz Avedisian Building</v>
          </cell>
        </row>
      </sheetData>
      <sheetData sheetId="2073">
        <row r="8">
          <cell r="D8" t="str">
            <v>Paramaz Avedisian Building</v>
          </cell>
        </row>
      </sheetData>
      <sheetData sheetId="2074">
        <row r="8">
          <cell r="D8" t="str">
            <v>Paramaz Avedisian Building</v>
          </cell>
        </row>
      </sheetData>
      <sheetData sheetId="2075">
        <row r="8">
          <cell r="D8" t="str">
            <v>Paramaz Avedisian Building</v>
          </cell>
        </row>
      </sheetData>
      <sheetData sheetId="2076">
        <row r="8">
          <cell r="D8" t="str">
            <v>Paramaz Avedisian Building</v>
          </cell>
        </row>
      </sheetData>
      <sheetData sheetId="2077">
        <row r="8">
          <cell r="D8" t="str">
            <v>Paramaz Avedisian Building</v>
          </cell>
        </row>
      </sheetData>
      <sheetData sheetId="2078">
        <row r="8">
          <cell r="D8" t="str">
            <v>Paramaz Avedisian Building</v>
          </cell>
        </row>
      </sheetData>
      <sheetData sheetId="2079">
        <row r="8">
          <cell r="D8" t="str">
            <v>Paramaz Avedisian Building</v>
          </cell>
        </row>
      </sheetData>
      <sheetData sheetId="2080">
        <row r="8">
          <cell r="D8" t="str">
            <v>Paramaz Avedisian Building</v>
          </cell>
        </row>
      </sheetData>
      <sheetData sheetId="2081">
        <row r="8">
          <cell r="D8" t="str">
            <v>Paramaz Avedisian Building</v>
          </cell>
        </row>
      </sheetData>
      <sheetData sheetId="2082">
        <row r="8">
          <cell r="D8" t="str">
            <v>Paramaz Avedisian Building</v>
          </cell>
        </row>
      </sheetData>
      <sheetData sheetId="2083">
        <row r="8">
          <cell r="D8" t="str">
            <v>Paramaz Avedisian Building</v>
          </cell>
        </row>
      </sheetData>
      <sheetData sheetId="2084">
        <row r="8">
          <cell r="D8" t="str">
            <v>Paramaz Avedisian Building</v>
          </cell>
        </row>
      </sheetData>
      <sheetData sheetId="2085">
        <row r="8">
          <cell r="D8" t="str">
            <v>Paramaz Avedisian Building</v>
          </cell>
        </row>
      </sheetData>
      <sheetData sheetId="2086">
        <row r="8">
          <cell r="D8" t="str">
            <v>Paramaz Avedisian Building</v>
          </cell>
        </row>
      </sheetData>
      <sheetData sheetId="2087">
        <row r="8">
          <cell r="D8" t="str">
            <v>Paramaz Avedisian Building</v>
          </cell>
        </row>
      </sheetData>
      <sheetData sheetId="2088">
        <row r="8">
          <cell r="D8" t="str">
            <v>Paramaz Avedisian Building</v>
          </cell>
        </row>
      </sheetData>
      <sheetData sheetId="2089">
        <row r="8">
          <cell r="D8" t="str">
            <v>Paramaz Avedisian Building</v>
          </cell>
        </row>
      </sheetData>
      <sheetData sheetId="2090">
        <row r="8">
          <cell r="D8" t="str">
            <v>Paramaz Avedisian Building</v>
          </cell>
        </row>
      </sheetData>
      <sheetData sheetId="2091">
        <row r="8">
          <cell r="D8" t="str">
            <v>Paramaz Avedisian Building</v>
          </cell>
        </row>
      </sheetData>
      <sheetData sheetId="2092">
        <row r="8">
          <cell r="D8" t="str">
            <v>Paramaz Avedisian Building</v>
          </cell>
        </row>
      </sheetData>
      <sheetData sheetId="2093">
        <row r="8">
          <cell r="D8" t="str">
            <v>Paramaz Avedisian Building</v>
          </cell>
        </row>
      </sheetData>
      <sheetData sheetId="2094">
        <row r="8">
          <cell r="D8" t="str">
            <v>Paramaz Avedisian Building</v>
          </cell>
        </row>
      </sheetData>
      <sheetData sheetId="2095">
        <row r="8">
          <cell r="D8" t="str">
            <v>Paramaz Avedisian Building</v>
          </cell>
        </row>
      </sheetData>
      <sheetData sheetId="2096">
        <row r="8">
          <cell r="D8" t="str">
            <v>Paramaz Avedisian Building</v>
          </cell>
        </row>
      </sheetData>
      <sheetData sheetId="2097">
        <row r="8">
          <cell r="D8" t="str">
            <v>Paramaz Avedisian Building</v>
          </cell>
        </row>
      </sheetData>
      <sheetData sheetId="2098">
        <row r="8">
          <cell r="D8" t="str">
            <v>Paramaz Avedisian Building</v>
          </cell>
        </row>
      </sheetData>
      <sheetData sheetId="2099">
        <row r="8">
          <cell r="D8" t="str">
            <v>Paramaz Avedisian Building</v>
          </cell>
        </row>
      </sheetData>
      <sheetData sheetId="2100">
        <row r="8">
          <cell r="D8" t="str">
            <v>Paramaz Avedisian Building</v>
          </cell>
        </row>
      </sheetData>
      <sheetData sheetId="2101">
        <row r="8">
          <cell r="D8" t="str">
            <v>Paramaz Avedisian Building</v>
          </cell>
        </row>
      </sheetData>
      <sheetData sheetId="2102">
        <row r="8">
          <cell r="D8" t="str">
            <v>Paramaz Avedisian Building</v>
          </cell>
        </row>
      </sheetData>
      <sheetData sheetId="2103">
        <row r="8">
          <cell r="D8" t="str">
            <v>Paramaz Avedisian Building</v>
          </cell>
        </row>
      </sheetData>
      <sheetData sheetId="2104">
        <row r="8">
          <cell r="D8" t="str">
            <v>Paramaz Avedisian Building</v>
          </cell>
        </row>
      </sheetData>
      <sheetData sheetId="2105">
        <row r="8">
          <cell r="D8" t="str">
            <v>Paramaz Avedisian Building</v>
          </cell>
        </row>
      </sheetData>
      <sheetData sheetId="2106">
        <row r="8">
          <cell r="D8" t="str">
            <v>Paramaz Avedisian Building</v>
          </cell>
        </row>
      </sheetData>
      <sheetData sheetId="2107">
        <row r="8">
          <cell r="D8" t="str">
            <v>Paramaz Avedisian Building</v>
          </cell>
        </row>
      </sheetData>
      <sheetData sheetId="2108">
        <row r="8">
          <cell r="D8" t="str">
            <v>Paramaz Avedisian Building</v>
          </cell>
        </row>
      </sheetData>
      <sheetData sheetId="2109">
        <row r="8">
          <cell r="D8" t="str">
            <v>Paramaz Avedisian Building</v>
          </cell>
        </row>
      </sheetData>
      <sheetData sheetId="2110">
        <row r="8">
          <cell r="D8" t="str">
            <v>Paramaz Avedisian Building</v>
          </cell>
        </row>
      </sheetData>
      <sheetData sheetId="2111">
        <row r="8">
          <cell r="D8" t="str">
            <v>Paramaz Avedisian Building</v>
          </cell>
        </row>
      </sheetData>
      <sheetData sheetId="2112">
        <row r="8">
          <cell r="D8" t="str">
            <v>Paramaz Avedisian Building</v>
          </cell>
        </row>
      </sheetData>
      <sheetData sheetId="2113">
        <row r="8">
          <cell r="D8" t="str">
            <v>Paramaz Avedisian Building</v>
          </cell>
        </row>
      </sheetData>
      <sheetData sheetId="2114">
        <row r="8">
          <cell r="D8" t="str">
            <v>Paramaz Avedisian Building</v>
          </cell>
        </row>
      </sheetData>
      <sheetData sheetId="2115">
        <row r="8">
          <cell r="D8" t="str">
            <v>Paramaz Avedisian Building</v>
          </cell>
        </row>
      </sheetData>
      <sheetData sheetId="2116">
        <row r="8">
          <cell r="D8" t="str">
            <v>Paramaz Avedisian Building</v>
          </cell>
        </row>
      </sheetData>
      <sheetData sheetId="2117">
        <row r="8">
          <cell r="D8" t="str">
            <v>Paramaz Avedisian Building</v>
          </cell>
        </row>
      </sheetData>
      <sheetData sheetId="2118">
        <row r="8">
          <cell r="D8" t="str">
            <v>Paramaz Avedisian Building</v>
          </cell>
        </row>
      </sheetData>
      <sheetData sheetId="2119">
        <row r="8">
          <cell r="D8" t="str">
            <v>Paramaz Avedisian Building</v>
          </cell>
        </row>
      </sheetData>
      <sheetData sheetId="2120">
        <row r="8">
          <cell r="D8" t="str">
            <v>Paramaz Avedisian Building</v>
          </cell>
        </row>
      </sheetData>
      <sheetData sheetId="2121">
        <row r="8">
          <cell r="D8" t="str">
            <v>Paramaz Avedisian Building</v>
          </cell>
        </row>
      </sheetData>
      <sheetData sheetId="2122">
        <row r="8">
          <cell r="D8" t="str">
            <v>Paramaz Avedisian Building</v>
          </cell>
        </row>
      </sheetData>
      <sheetData sheetId="2123">
        <row r="8">
          <cell r="D8" t="str">
            <v>Paramaz Avedisian Building</v>
          </cell>
        </row>
      </sheetData>
      <sheetData sheetId="2124">
        <row r="8">
          <cell r="D8" t="str">
            <v>Paramaz Avedisian Building</v>
          </cell>
        </row>
      </sheetData>
      <sheetData sheetId="2125">
        <row r="8">
          <cell r="D8" t="str">
            <v>Paramaz Avedisian Building</v>
          </cell>
        </row>
      </sheetData>
      <sheetData sheetId="2126">
        <row r="8">
          <cell r="D8" t="str">
            <v>Paramaz Avedisian Building</v>
          </cell>
        </row>
      </sheetData>
      <sheetData sheetId="2127">
        <row r="8">
          <cell r="D8" t="str">
            <v>Paramaz Avedisian Building</v>
          </cell>
        </row>
      </sheetData>
      <sheetData sheetId="2128">
        <row r="8">
          <cell r="D8" t="str">
            <v>Paramaz Avedisian Building</v>
          </cell>
        </row>
      </sheetData>
      <sheetData sheetId="2129">
        <row r="8">
          <cell r="D8" t="str">
            <v>Paramaz Avedisian Building</v>
          </cell>
        </row>
      </sheetData>
      <sheetData sheetId="2130">
        <row r="8">
          <cell r="D8" t="str">
            <v>Paramaz Avedisian Building</v>
          </cell>
        </row>
      </sheetData>
      <sheetData sheetId="2131">
        <row r="8">
          <cell r="D8" t="str">
            <v>Paramaz Avedisian Building</v>
          </cell>
        </row>
      </sheetData>
      <sheetData sheetId="2132">
        <row r="8">
          <cell r="D8" t="str">
            <v>Paramaz Avedisian Building</v>
          </cell>
        </row>
      </sheetData>
      <sheetData sheetId="2133">
        <row r="8">
          <cell r="D8" t="str">
            <v>Paramaz Avedisian Building</v>
          </cell>
        </row>
      </sheetData>
      <sheetData sheetId="2134">
        <row r="8">
          <cell r="D8" t="str">
            <v>Paramaz Avedisian Building</v>
          </cell>
        </row>
      </sheetData>
      <sheetData sheetId="2135">
        <row r="8">
          <cell r="D8" t="str">
            <v>Paramaz Avedisian Building</v>
          </cell>
        </row>
      </sheetData>
      <sheetData sheetId="2136">
        <row r="8">
          <cell r="D8" t="str">
            <v>Paramaz Avedisian Building</v>
          </cell>
        </row>
      </sheetData>
      <sheetData sheetId="2137">
        <row r="8">
          <cell r="D8" t="str">
            <v>Paramaz Avedisian Building</v>
          </cell>
        </row>
      </sheetData>
      <sheetData sheetId="2138">
        <row r="8">
          <cell r="D8" t="str">
            <v>Paramaz Avedisian Building</v>
          </cell>
        </row>
      </sheetData>
      <sheetData sheetId="2139">
        <row r="8">
          <cell r="D8" t="str">
            <v>Paramaz Avedisian Building</v>
          </cell>
        </row>
      </sheetData>
      <sheetData sheetId="2140">
        <row r="8">
          <cell r="D8" t="str">
            <v>Paramaz Avedisian Building</v>
          </cell>
        </row>
      </sheetData>
      <sheetData sheetId="2141">
        <row r="8">
          <cell r="D8" t="str">
            <v>Paramaz Avedisian Building</v>
          </cell>
        </row>
      </sheetData>
      <sheetData sheetId="2142">
        <row r="8">
          <cell r="D8" t="str">
            <v>Paramaz Avedisian Building</v>
          </cell>
        </row>
      </sheetData>
      <sheetData sheetId="2143">
        <row r="8">
          <cell r="D8" t="str">
            <v>Paramaz Avedisian Building</v>
          </cell>
        </row>
      </sheetData>
      <sheetData sheetId="2144">
        <row r="8">
          <cell r="D8" t="str">
            <v>Paramaz Avedisian Building</v>
          </cell>
        </row>
      </sheetData>
      <sheetData sheetId="2145">
        <row r="8">
          <cell r="D8" t="str">
            <v>Paramaz Avedisian Building</v>
          </cell>
        </row>
      </sheetData>
      <sheetData sheetId="2146">
        <row r="8">
          <cell r="D8" t="str">
            <v>Paramaz Avedisian Building</v>
          </cell>
        </row>
      </sheetData>
      <sheetData sheetId="2147">
        <row r="8">
          <cell r="D8" t="str">
            <v>Paramaz Avedisian Building</v>
          </cell>
        </row>
      </sheetData>
      <sheetData sheetId="2148">
        <row r="8">
          <cell r="D8" t="str">
            <v>Paramaz Avedisian Building</v>
          </cell>
        </row>
      </sheetData>
      <sheetData sheetId="2149">
        <row r="8">
          <cell r="D8" t="str">
            <v>Paramaz Avedisian Building</v>
          </cell>
        </row>
      </sheetData>
      <sheetData sheetId="2150">
        <row r="8">
          <cell r="D8" t="str">
            <v>Paramaz Avedisian Building</v>
          </cell>
        </row>
      </sheetData>
      <sheetData sheetId="2151">
        <row r="8">
          <cell r="D8" t="str">
            <v>Paramaz Avedisian Building</v>
          </cell>
        </row>
      </sheetData>
      <sheetData sheetId="2152">
        <row r="8">
          <cell r="D8" t="str">
            <v>Paramaz Avedisian Building</v>
          </cell>
        </row>
      </sheetData>
      <sheetData sheetId="2153">
        <row r="8">
          <cell r="D8" t="str">
            <v>Paramaz Avedisian Building</v>
          </cell>
        </row>
      </sheetData>
      <sheetData sheetId="2154">
        <row r="8">
          <cell r="D8" t="str">
            <v>Paramaz Avedisian Building</v>
          </cell>
        </row>
      </sheetData>
      <sheetData sheetId="2155">
        <row r="8">
          <cell r="D8" t="str">
            <v>Paramaz Avedisian Building</v>
          </cell>
        </row>
      </sheetData>
      <sheetData sheetId="2156">
        <row r="8">
          <cell r="D8" t="str">
            <v>Paramaz Avedisian Building</v>
          </cell>
        </row>
      </sheetData>
      <sheetData sheetId="2157">
        <row r="8">
          <cell r="D8" t="str">
            <v>Paramaz Avedisian Building</v>
          </cell>
        </row>
      </sheetData>
      <sheetData sheetId="2158">
        <row r="8">
          <cell r="D8" t="str">
            <v>Paramaz Avedisian Building</v>
          </cell>
        </row>
      </sheetData>
      <sheetData sheetId="2159">
        <row r="8">
          <cell r="D8" t="str">
            <v>Paramaz Avedisian Building</v>
          </cell>
        </row>
      </sheetData>
      <sheetData sheetId="2160">
        <row r="8">
          <cell r="D8" t="str">
            <v>Paramaz Avedisian Building</v>
          </cell>
        </row>
      </sheetData>
      <sheetData sheetId="2161">
        <row r="8">
          <cell r="D8" t="str">
            <v>Paramaz Avedisian Building</v>
          </cell>
        </row>
      </sheetData>
      <sheetData sheetId="2162">
        <row r="8">
          <cell r="D8" t="str">
            <v>Paramaz Avedisian Building</v>
          </cell>
        </row>
      </sheetData>
      <sheetData sheetId="2163">
        <row r="8">
          <cell r="D8" t="str">
            <v>Paramaz Avedisian Building</v>
          </cell>
        </row>
      </sheetData>
      <sheetData sheetId="2164">
        <row r="8">
          <cell r="D8" t="str">
            <v>Paramaz Avedisian Building</v>
          </cell>
        </row>
      </sheetData>
      <sheetData sheetId="2165">
        <row r="8">
          <cell r="D8" t="str">
            <v>Paramaz Avedisian Building</v>
          </cell>
        </row>
      </sheetData>
      <sheetData sheetId="2166">
        <row r="8">
          <cell r="D8" t="str">
            <v>Paramaz Avedisian Building</v>
          </cell>
        </row>
      </sheetData>
      <sheetData sheetId="2167">
        <row r="8">
          <cell r="D8" t="str">
            <v>Paramaz Avedisian Building</v>
          </cell>
        </row>
      </sheetData>
      <sheetData sheetId="2168">
        <row r="8">
          <cell r="D8" t="str">
            <v>Paramaz Avedisian Building</v>
          </cell>
        </row>
      </sheetData>
      <sheetData sheetId="2169">
        <row r="8">
          <cell r="D8" t="str">
            <v>Paramaz Avedisian Building</v>
          </cell>
        </row>
      </sheetData>
      <sheetData sheetId="2170">
        <row r="8">
          <cell r="D8" t="str">
            <v>Paramaz Avedisian Building</v>
          </cell>
        </row>
      </sheetData>
      <sheetData sheetId="2171">
        <row r="8">
          <cell r="D8" t="str">
            <v>Paramaz Avedisian Building</v>
          </cell>
        </row>
      </sheetData>
      <sheetData sheetId="2172">
        <row r="8">
          <cell r="D8" t="str">
            <v>Paramaz Avedisian Building</v>
          </cell>
        </row>
      </sheetData>
      <sheetData sheetId="2173">
        <row r="8">
          <cell r="D8" t="str">
            <v>Paramaz Avedisian Building</v>
          </cell>
        </row>
      </sheetData>
      <sheetData sheetId="2174">
        <row r="8">
          <cell r="D8" t="str">
            <v>Paramaz Avedisian Building</v>
          </cell>
        </row>
      </sheetData>
      <sheetData sheetId="2175">
        <row r="8">
          <cell r="D8" t="str">
            <v>Paramaz Avedisian Building</v>
          </cell>
        </row>
      </sheetData>
      <sheetData sheetId="2176">
        <row r="8">
          <cell r="D8" t="str">
            <v>Paramaz Avedisian Building</v>
          </cell>
        </row>
      </sheetData>
      <sheetData sheetId="2177">
        <row r="8">
          <cell r="D8" t="str">
            <v>Paramaz Avedisian Building</v>
          </cell>
        </row>
      </sheetData>
      <sheetData sheetId="2178">
        <row r="8">
          <cell r="D8" t="str">
            <v>Paramaz Avedisian Building</v>
          </cell>
        </row>
      </sheetData>
      <sheetData sheetId="2179">
        <row r="8">
          <cell r="D8" t="str">
            <v>Paramaz Avedisian Building</v>
          </cell>
        </row>
      </sheetData>
      <sheetData sheetId="2180">
        <row r="8">
          <cell r="D8" t="str">
            <v>Paramaz Avedisian Building</v>
          </cell>
        </row>
      </sheetData>
      <sheetData sheetId="2181">
        <row r="8">
          <cell r="D8" t="str">
            <v>Paramaz Avedisian Building</v>
          </cell>
        </row>
      </sheetData>
      <sheetData sheetId="2182">
        <row r="8">
          <cell r="D8" t="str">
            <v>Paramaz Avedisian Building</v>
          </cell>
        </row>
      </sheetData>
      <sheetData sheetId="2183">
        <row r="8">
          <cell r="D8" t="str">
            <v>Paramaz Avedisian Building</v>
          </cell>
        </row>
      </sheetData>
      <sheetData sheetId="2184">
        <row r="8">
          <cell r="D8" t="str">
            <v>Paramaz Avedisian Building</v>
          </cell>
        </row>
      </sheetData>
      <sheetData sheetId="2185">
        <row r="8">
          <cell r="D8" t="str">
            <v>Paramaz Avedisian Building</v>
          </cell>
        </row>
      </sheetData>
      <sheetData sheetId="2186">
        <row r="8">
          <cell r="D8" t="str">
            <v>Paramaz Avedisian Building</v>
          </cell>
        </row>
      </sheetData>
      <sheetData sheetId="2187">
        <row r="8">
          <cell r="D8" t="str">
            <v>Paramaz Avedisian Building</v>
          </cell>
        </row>
      </sheetData>
      <sheetData sheetId="2188">
        <row r="8">
          <cell r="D8" t="str">
            <v>Paramaz Avedisian Building</v>
          </cell>
        </row>
      </sheetData>
      <sheetData sheetId="2189">
        <row r="8">
          <cell r="D8" t="str">
            <v>Paramaz Avedisian Building</v>
          </cell>
        </row>
      </sheetData>
      <sheetData sheetId="2190">
        <row r="8">
          <cell r="D8" t="str">
            <v>Paramaz Avedisian Building</v>
          </cell>
        </row>
      </sheetData>
      <sheetData sheetId="2191">
        <row r="8">
          <cell r="D8" t="str">
            <v>Paramaz Avedisian Building</v>
          </cell>
        </row>
      </sheetData>
      <sheetData sheetId="2192">
        <row r="8">
          <cell r="D8" t="str">
            <v>Paramaz Avedisian Building</v>
          </cell>
        </row>
      </sheetData>
      <sheetData sheetId="2193">
        <row r="8">
          <cell r="D8" t="str">
            <v>Paramaz Avedisian Building</v>
          </cell>
        </row>
      </sheetData>
      <sheetData sheetId="2194">
        <row r="8">
          <cell r="D8" t="str">
            <v>Paramaz Avedisian Building</v>
          </cell>
        </row>
      </sheetData>
      <sheetData sheetId="2195">
        <row r="8">
          <cell r="D8" t="str">
            <v>Paramaz Avedisian Building</v>
          </cell>
        </row>
      </sheetData>
      <sheetData sheetId="2196">
        <row r="8">
          <cell r="D8" t="str">
            <v>Paramaz Avedisian Building</v>
          </cell>
        </row>
      </sheetData>
      <sheetData sheetId="2197">
        <row r="8">
          <cell r="D8" t="str">
            <v>Paramaz Avedisian Building</v>
          </cell>
        </row>
      </sheetData>
      <sheetData sheetId="2198">
        <row r="8">
          <cell r="D8" t="str">
            <v>Paramaz Avedisian Building</v>
          </cell>
        </row>
      </sheetData>
      <sheetData sheetId="2199">
        <row r="8">
          <cell r="D8" t="str">
            <v>Paramaz Avedisian Building</v>
          </cell>
        </row>
      </sheetData>
      <sheetData sheetId="2200">
        <row r="8">
          <cell r="D8" t="str">
            <v>Paramaz Avedisian Building</v>
          </cell>
        </row>
      </sheetData>
      <sheetData sheetId="2201">
        <row r="8">
          <cell r="D8" t="str">
            <v>Paramaz Avedisian Building</v>
          </cell>
        </row>
      </sheetData>
      <sheetData sheetId="2202">
        <row r="8">
          <cell r="D8" t="str">
            <v>Paramaz Avedisian Building</v>
          </cell>
        </row>
      </sheetData>
      <sheetData sheetId="2203">
        <row r="8">
          <cell r="D8" t="str">
            <v>Paramaz Avedisian Building</v>
          </cell>
        </row>
      </sheetData>
      <sheetData sheetId="2204">
        <row r="8">
          <cell r="D8" t="str">
            <v>Paramaz Avedisian Building</v>
          </cell>
        </row>
      </sheetData>
      <sheetData sheetId="2205">
        <row r="8">
          <cell r="D8" t="str">
            <v>Paramaz Avedisian Building</v>
          </cell>
        </row>
      </sheetData>
      <sheetData sheetId="2206">
        <row r="8">
          <cell r="D8" t="str">
            <v>Paramaz Avedisian Building</v>
          </cell>
        </row>
      </sheetData>
      <sheetData sheetId="2207">
        <row r="8">
          <cell r="D8" t="str">
            <v>Paramaz Avedisian Building</v>
          </cell>
        </row>
      </sheetData>
      <sheetData sheetId="2208">
        <row r="8">
          <cell r="D8" t="str">
            <v>Paramaz Avedisian Building</v>
          </cell>
        </row>
      </sheetData>
      <sheetData sheetId="2209">
        <row r="8">
          <cell r="D8" t="str">
            <v>Paramaz Avedisian Building</v>
          </cell>
        </row>
      </sheetData>
      <sheetData sheetId="2210">
        <row r="8">
          <cell r="D8" t="str">
            <v>Paramaz Avedisian Building</v>
          </cell>
        </row>
      </sheetData>
      <sheetData sheetId="2211">
        <row r="8">
          <cell r="D8" t="str">
            <v>Paramaz Avedisian Building</v>
          </cell>
        </row>
      </sheetData>
      <sheetData sheetId="2212">
        <row r="8">
          <cell r="D8" t="str">
            <v>Paramaz Avedisian Building</v>
          </cell>
        </row>
      </sheetData>
      <sheetData sheetId="2213">
        <row r="8">
          <cell r="D8" t="str">
            <v>Paramaz Avedisian Building</v>
          </cell>
        </row>
      </sheetData>
      <sheetData sheetId="2214">
        <row r="8">
          <cell r="D8" t="str">
            <v>Paramaz Avedisian Building</v>
          </cell>
        </row>
      </sheetData>
      <sheetData sheetId="2215">
        <row r="8">
          <cell r="D8" t="str">
            <v>Paramaz Avedisian Building</v>
          </cell>
        </row>
      </sheetData>
      <sheetData sheetId="2216">
        <row r="8">
          <cell r="D8" t="str">
            <v>Paramaz Avedisian Building</v>
          </cell>
        </row>
      </sheetData>
      <sheetData sheetId="2217">
        <row r="8">
          <cell r="D8" t="str">
            <v>Paramaz Avedisian Building</v>
          </cell>
        </row>
      </sheetData>
      <sheetData sheetId="2218">
        <row r="8">
          <cell r="D8" t="str">
            <v>Paramaz Avedisian Building</v>
          </cell>
        </row>
      </sheetData>
      <sheetData sheetId="2219">
        <row r="8">
          <cell r="D8" t="str">
            <v>Paramaz Avedisian Building</v>
          </cell>
        </row>
      </sheetData>
      <sheetData sheetId="2220">
        <row r="8">
          <cell r="D8" t="str">
            <v>Paramaz Avedisian Building</v>
          </cell>
        </row>
      </sheetData>
      <sheetData sheetId="2221">
        <row r="8">
          <cell r="D8" t="str">
            <v>Paramaz Avedisian Building</v>
          </cell>
        </row>
      </sheetData>
      <sheetData sheetId="2222">
        <row r="8">
          <cell r="D8" t="str">
            <v>Paramaz Avedisian Building</v>
          </cell>
        </row>
      </sheetData>
      <sheetData sheetId="2223">
        <row r="8">
          <cell r="D8" t="str">
            <v>Paramaz Avedisian Building</v>
          </cell>
        </row>
      </sheetData>
      <sheetData sheetId="2224">
        <row r="8">
          <cell r="D8" t="str">
            <v>Paramaz Avedisian Building</v>
          </cell>
        </row>
      </sheetData>
      <sheetData sheetId="2225">
        <row r="8">
          <cell r="D8" t="str">
            <v>Paramaz Avedisian Building</v>
          </cell>
        </row>
      </sheetData>
      <sheetData sheetId="2226">
        <row r="8">
          <cell r="D8" t="str">
            <v>Paramaz Avedisian Building</v>
          </cell>
        </row>
      </sheetData>
      <sheetData sheetId="2227">
        <row r="8">
          <cell r="D8" t="str">
            <v>Paramaz Avedisian Building</v>
          </cell>
        </row>
      </sheetData>
      <sheetData sheetId="2228">
        <row r="8">
          <cell r="D8" t="str">
            <v>Paramaz Avedisian Building</v>
          </cell>
        </row>
      </sheetData>
      <sheetData sheetId="2229">
        <row r="8">
          <cell r="D8" t="str">
            <v>Paramaz Avedisian Building</v>
          </cell>
        </row>
      </sheetData>
      <sheetData sheetId="2230">
        <row r="8">
          <cell r="D8" t="str">
            <v>Paramaz Avedisian Building</v>
          </cell>
        </row>
      </sheetData>
      <sheetData sheetId="2231">
        <row r="8">
          <cell r="D8" t="str">
            <v>Paramaz Avedisian Building</v>
          </cell>
        </row>
      </sheetData>
      <sheetData sheetId="2232">
        <row r="8">
          <cell r="D8" t="str">
            <v>Paramaz Avedisian Building</v>
          </cell>
        </row>
      </sheetData>
      <sheetData sheetId="2233">
        <row r="8">
          <cell r="D8" t="str">
            <v>Paramaz Avedisian Building</v>
          </cell>
        </row>
      </sheetData>
      <sheetData sheetId="2234">
        <row r="8">
          <cell r="D8" t="str">
            <v>Paramaz Avedisian Building</v>
          </cell>
        </row>
      </sheetData>
      <sheetData sheetId="2235">
        <row r="8">
          <cell r="D8" t="str">
            <v>Paramaz Avedisian Building</v>
          </cell>
        </row>
      </sheetData>
      <sheetData sheetId="2236">
        <row r="8">
          <cell r="D8" t="str">
            <v>Paramaz Avedisian Building</v>
          </cell>
        </row>
      </sheetData>
      <sheetData sheetId="2237">
        <row r="8">
          <cell r="D8" t="str">
            <v>Paramaz Avedisian Building</v>
          </cell>
        </row>
      </sheetData>
      <sheetData sheetId="2238">
        <row r="8">
          <cell r="D8" t="str">
            <v>Paramaz Avedisian Building</v>
          </cell>
        </row>
      </sheetData>
      <sheetData sheetId="2239">
        <row r="8">
          <cell r="D8" t="str">
            <v>Paramaz Avedisian Building</v>
          </cell>
        </row>
      </sheetData>
      <sheetData sheetId="2240">
        <row r="8">
          <cell r="D8" t="str">
            <v>Paramaz Avedisian Building</v>
          </cell>
        </row>
      </sheetData>
      <sheetData sheetId="2241">
        <row r="8">
          <cell r="D8" t="str">
            <v>Paramaz Avedisian Building</v>
          </cell>
        </row>
      </sheetData>
      <sheetData sheetId="2242">
        <row r="8">
          <cell r="D8" t="str">
            <v>Paramaz Avedisian Building</v>
          </cell>
        </row>
      </sheetData>
      <sheetData sheetId="2243">
        <row r="8">
          <cell r="D8" t="str">
            <v>Paramaz Avedisian Building</v>
          </cell>
        </row>
      </sheetData>
      <sheetData sheetId="2244">
        <row r="8">
          <cell r="D8" t="str">
            <v>Paramaz Avedisian Building</v>
          </cell>
        </row>
      </sheetData>
      <sheetData sheetId="2245">
        <row r="8">
          <cell r="D8" t="str">
            <v>Paramaz Avedisian Building</v>
          </cell>
        </row>
      </sheetData>
      <sheetData sheetId="2246">
        <row r="8">
          <cell r="D8" t="str">
            <v>Paramaz Avedisian Building</v>
          </cell>
        </row>
      </sheetData>
      <sheetData sheetId="2247">
        <row r="8">
          <cell r="D8" t="str">
            <v>Paramaz Avedisian Building</v>
          </cell>
        </row>
      </sheetData>
      <sheetData sheetId="2248">
        <row r="8">
          <cell r="D8" t="str">
            <v>Paramaz Avedisian Building</v>
          </cell>
        </row>
      </sheetData>
      <sheetData sheetId="2249">
        <row r="8">
          <cell r="D8" t="str">
            <v>Paramaz Avedisian Building</v>
          </cell>
        </row>
      </sheetData>
      <sheetData sheetId="2250">
        <row r="8">
          <cell r="D8" t="str">
            <v>Paramaz Avedisian Building</v>
          </cell>
        </row>
      </sheetData>
      <sheetData sheetId="2251">
        <row r="8">
          <cell r="D8" t="str">
            <v>Paramaz Avedisian Building</v>
          </cell>
        </row>
      </sheetData>
      <sheetData sheetId="2252">
        <row r="8">
          <cell r="D8" t="str">
            <v>Paramaz Avedisian Building</v>
          </cell>
        </row>
      </sheetData>
      <sheetData sheetId="2253">
        <row r="8">
          <cell r="D8" t="str">
            <v>Paramaz Avedisian Building</v>
          </cell>
        </row>
      </sheetData>
      <sheetData sheetId="2254">
        <row r="8">
          <cell r="D8" t="str">
            <v>Paramaz Avedisian Building</v>
          </cell>
        </row>
      </sheetData>
      <sheetData sheetId="2255">
        <row r="8">
          <cell r="D8" t="str">
            <v>Paramaz Avedisian Building</v>
          </cell>
        </row>
      </sheetData>
      <sheetData sheetId="2256">
        <row r="8">
          <cell r="D8" t="str">
            <v>Paramaz Avedisian Building</v>
          </cell>
        </row>
      </sheetData>
      <sheetData sheetId="2257">
        <row r="8">
          <cell r="D8" t="str">
            <v>Paramaz Avedisian Building</v>
          </cell>
        </row>
      </sheetData>
      <sheetData sheetId="2258">
        <row r="8">
          <cell r="D8" t="str">
            <v>Paramaz Avedisian Building</v>
          </cell>
        </row>
      </sheetData>
      <sheetData sheetId="2259">
        <row r="8">
          <cell r="D8" t="str">
            <v>Paramaz Avedisian Building</v>
          </cell>
        </row>
      </sheetData>
      <sheetData sheetId="2260">
        <row r="8">
          <cell r="D8" t="str">
            <v>Paramaz Avedisian Building</v>
          </cell>
        </row>
      </sheetData>
      <sheetData sheetId="2261">
        <row r="8">
          <cell r="D8" t="str">
            <v>Paramaz Avedisian Building</v>
          </cell>
        </row>
      </sheetData>
      <sheetData sheetId="2262">
        <row r="8">
          <cell r="D8" t="str">
            <v>Paramaz Avedisian Building</v>
          </cell>
        </row>
      </sheetData>
      <sheetData sheetId="2263">
        <row r="8">
          <cell r="D8" t="str">
            <v>Paramaz Avedisian Building</v>
          </cell>
        </row>
      </sheetData>
      <sheetData sheetId="2264">
        <row r="8">
          <cell r="D8" t="str">
            <v>Paramaz Avedisian Building</v>
          </cell>
        </row>
      </sheetData>
      <sheetData sheetId="2265">
        <row r="8">
          <cell r="D8" t="str">
            <v>Paramaz Avedisian Building</v>
          </cell>
        </row>
      </sheetData>
      <sheetData sheetId="2266">
        <row r="8">
          <cell r="D8" t="str">
            <v>Paramaz Avedisian Building</v>
          </cell>
        </row>
      </sheetData>
      <sheetData sheetId="2267">
        <row r="8">
          <cell r="D8" t="str">
            <v>Paramaz Avedisian Building</v>
          </cell>
        </row>
      </sheetData>
      <sheetData sheetId="2268">
        <row r="8">
          <cell r="D8" t="str">
            <v>Paramaz Avedisian Building</v>
          </cell>
        </row>
      </sheetData>
      <sheetData sheetId="2269">
        <row r="8">
          <cell r="D8" t="str">
            <v>Paramaz Avedisian Building</v>
          </cell>
        </row>
      </sheetData>
      <sheetData sheetId="2270">
        <row r="8">
          <cell r="D8" t="str">
            <v>Paramaz Avedisian Building</v>
          </cell>
        </row>
      </sheetData>
      <sheetData sheetId="2271">
        <row r="8">
          <cell r="D8" t="str">
            <v>Paramaz Avedisian Building</v>
          </cell>
        </row>
      </sheetData>
      <sheetData sheetId="2272">
        <row r="8">
          <cell r="D8" t="str">
            <v>Paramaz Avedisian Building</v>
          </cell>
        </row>
      </sheetData>
      <sheetData sheetId="2273">
        <row r="8">
          <cell r="D8" t="str">
            <v>Paramaz Avedisian Building</v>
          </cell>
        </row>
      </sheetData>
      <sheetData sheetId="2274">
        <row r="8">
          <cell r="D8" t="str">
            <v>Paramaz Avedisian Building</v>
          </cell>
        </row>
      </sheetData>
      <sheetData sheetId="2275">
        <row r="8">
          <cell r="D8" t="str">
            <v>Paramaz Avedisian Building</v>
          </cell>
        </row>
      </sheetData>
      <sheetData sheetId="2276">
        <row r="8">
          <cell r="D8" t="str">
            <v>Paramaz Avedisian Building</v>
          </cell>
        </row>
      </sheetData>
      <sheetData sheetId="2277">
        <row r="8">
          <cell r="D8" t="str">
            <v>Paramaz Avedisian Building</v>
          </cell>
        </row>
      </sheetData>
      <sheetData sheetId="2278">
        <row r="8">
          <cell r="D8" t="str">
            <v>Paramaz Avedisian Building</v>
          </cell>
        </row>
      </sheetData>
      <sheetData sheetId="2279">
        <row r="8">
          <cell r="D8" t="str">
            <v>Paramaz Avedisian Building</v>
          </cell>
        </row>
      </sheetData>
      <sheetData sheetId="2280">
        <row r="8">
          <cell r="D8" t="str">
            <v>Paramaz Avedisian Building</v>
          </cell>
        </row>
      </sheetData>
      <sheetData sheetId="2281">
        <row r="8">
          <cell r="D8" t="str">
            <v>Paramaz Avedisian Building</v>
          </cell>
        </row>
      </sheetData>
      <sheetData sheetId="2282">
        <row r="8">
          <cell r="D8" t="str">
            <v>Paramaz Avedisian Building</v>
          </cell>
        </row>
      </sheetData>
      <sheetData sheetId="2283">
        <row r="8">
          <cell r="D8" t="str">
            <v>Paramaz Avedisian Building</v>
          </cell>
        </row>
      </sheetData>
      <sheetData sheetId="2284">
        <row r="8">
          <cell r="D8" t="str">
            <v>Paramaz Avedisian Building</v>
          </cell>
        </row>
      </sheetData>
      <sheetData sheetId="2285">
        <row r="8">
          <cell r="D8" t="str">
            <v>Paramaz Avedisian Building</v>
          </cell>
        </row>
      </sheetData>
      <sheetData sheetId="2286">
        <row r="8">
          <cell r="D8" t="str">
            <v>Paramaz Avedisian Building</v>
          </cell>
        </row>
      </sheetData>
      <sheetData sheetId="2287">
        <row r="8">
          <cell r="D8" t="str">
            <v>Paramaz Avedisian Building</v>
          </cell>
        </row>
      </sheetData>
      <sheetData sheetId="2288">
        <row r="8">
          <cell r="D8" t="str">
            <v>Paramaz Avedisian Building</v>
          </cell>
        </row>
      </sheetData>
      <sheetData sheetId="2289">
        <row r="8">
          <cell r="D8" t="str">
            <v>Paramaz Avedisian Building</v>
          </cell>
        </row>
      </sheetData>
      <sheetData sheetId="2290">
        <row r="8">
          <cell r="D8" t="str">
            <v>Paramaz Avedisian Building</v>
          </cell>
        </row>
      </sheetData>
      <sheetData sheetId="2291">
        <row r="8">
          <cell r="D8" t="str">
            <v>Paramaz Avedisian Building</v>
          </cell>
        </row>
      </sheetData>
      <sheetData sheetId="2292">
        <row r="8">
          <cell r="D8" t="str">
            <v>Paramaz Avedisian Building</v>
          </cell>
        </row>
      </sheetData>
      <sheetData sheetId="2293">
        <row r="8">
          <cell r="D8" t="str">
            <v>Paramaz Avedisian Building</v>
          </cell>
        </row>
      </sheetData>
      <sheetData sheetId="2294">
        <row r="8">
          <cell r="D8" t="str">
            <v>Paramaz Avedisian Building</v>
          </cell>
        </row>
      </sheetData>
      <sheetData sheetId="2295">
        <row r="8">
          <cell r="D8" t="str">
            <v>Paramaz Avedisian Building</v>
          </cell>
        </row>
      </sheetData>
      <sheetData sheetId="2296">
        <row r="8">
          <cell r="D8" t="str">
            <v>Paramaz Avedisian Building</v>
          </cell>
        </row>
      </sheetData>
      <sheetData sheetId="2297">
        <row r="8">
          <cell r="D8" t="str">
            <v>Paramaz Avedisian Building</v>
          </cell>
        </row>
      </sheetData>
      <sheetData sheetId="2298">
        <row r="8">
          <cell r="D8" t="str">
            <v>Paramaz Avedisian Building</v>
          </cell>
        </row>
      </sheetData>
      <sheetData sheetId="2299">
        <row r="8">
          <cell r="D8" t="str">
            <v>Paramaz Avedisian Building</v>
          </cell>
        </row>
      </sheetData>
      <sheetData sheetId="2300">
        <row r="8">
          <cell r="D8" t="str">
            <v>Paramaz Avedisian Building</v>
          </cell>
        </row>
      </sheetData>
      <sheetData sheetId="2301">
        <row r="8">
          <cell r="D8" t="str">
            <v>Paramaz Avedisian Building</v>
          </cell>
        </row>
      </sheetData>
      <sheetData sheetId="2302">
        <row r="8">
          <cell r="D8" t="str">
            <v>Paramaz Avedisian Building</v>
          </cell>
        </row>
      </sheetData>
      <sheetData sheetId="2303">
        <row r="8">
          <cell r="D8" t="str">
            <v>Paramaz Avedisian Building</v>
          </cell>
        </row>
      </sheetData>
      <sheetData sheetId="2304">
        <row r="8">
          <cell r="D8" t="str">
            <v>Paramaz Avedisian Building</v>
          </cell>
        </row>
      </sheetData>
      <sheetData sheetId="2305">
        <row r="8">
          <cell r="D8" t="str">
            <v>Paramaz Avedisian Building</v>
          </cell>
        </row>
      </sheetData>
      <sheetData sheetId="2306">
        <row r="8">
          <cell r="D8" t="str">
            <v>Paramaz Avedisian Building</v>
          </cell>
        </row>
      </sheetData>
      <sheetData sheetId="2307">
        <row r="8">
          <cell r="D8" t="str">
            <v>Paramaz Avedisian Building</v>
          </cell>
        </row>
      </sheetData>
      <sheetData sheetId="2308">
        <row r="8">
          <cell r="D8" t="str">
            <v>Paramaz Avedisian Building</v>
          </cell>
        </row>
      </sheetData>
      <sheetData sheetId="2309">
        <row r="8">
          <cell r="D8" t="str">
            <v>Paramaz Avedisian Building</v>
          </cell>
        </row>
      </sheetData>
      <sheetData sheetId="2310">
        <row r="8">
          <cell r="D8" t="str">
            <v>Paramaz Avedisian Building</v>
          </cell>
        </row>
      </sheetData>
      <sheetData sheetId="2311">
        <row r="8">
          <cell r="D8" t="str">
            <v>Paramaz Avedisian Building</v>
          </cell>
        </row>
      </sheetData>
      <sheetData sheetId="2312">
        <row r="8">
          <cell r="D8" t="str">
            <v>Paramaz Avedisian Building</v>
          </cell>
        </row>
      </sheetData>
      <sheetData sheetId="2313">
        <row r="8">
          <cell r="D8" t="str">
            <v>Paramaz Avedisian Building</v>
          </cell>
        </row>
      </sheetData>
      <sheetData sheetId="2314">
        <row r="8">
          <cell r="D8" t="str">
            <v>Paramaz Avedisian Building</v>
          </cell>
        </row>
      </sheetData>
      <sheetData sheetId="2315">
        <row r="8">
          <cell r="D8" t="str">
            <v>Paramaz Avedisian Building</v>
          </cell>
        </row>
      </sheetData>
      <sheetData sheetId="2316">
        <row r="8">
          <cell r="D8" t="str">
            <v>Paramaz Avedisian Building</v>
          </cell>
        </row>
      </sheetData>
      <sheetData sheetId="2317">
        <row r="8">
          <cell r="D8" t="str">
            <v>Paramaz Avedisian Building</v>
          </cell>
        </row>
      </sheetData>
      <sheetData sheetId="2318">
        <row r="8">
          <cell r="D8" t="str">
            <v>Paramaz Avedisian Building</v>
          </cell>
        </row>
      </sheetData>
      <sheetData sheetId="2319">
        <row r="8">
          <cell r="D8" t="str">
            <v>Paramaz Avedisian Building</v>
          </cell>
        </row>
      </sheetData>
      <sheetData sheetId="2320">
        <row r="8">
          <cell r="D8" t="str">
            <v>Paramaz Avedisian Building</v>
          </cell>
        </row>
      </sheetData>
      <sheetData sheetId="2321">
        <row r="8">
          <cell r="D8" t="str">
            <v>Paramaz Avedisian Building</v>
          </cell>
        </row>
      </sheetData>
      <sheetData sheetId="2322">
        <row r="8">
          <cell r="D8" t="str">
            <v>Paramaz Avedisian Building</v>
          </cell>
        </row>
      </sheetData>
      <sheetData sheetId="2323">
        <row r="8">
          <cell r="D8" t="str">
            <v>Paramaz Avedisian Building</v>
          </cell>
        </row>
      </sheetData>
      <sheetData sheetId="2324">
        <row r="8">
          <cell r="D8" t="str">
            <v>Paramaz Avedisian Building</v>
          </cell>
        </row>
      </sheetData>
      <sheetData sheetId="2325">
        <row r="8">
          <cell r="D8" t="str">
            <v>Paramaz Avedisian Building</v>
          </cell>
        </row>
      </sheetData>
      <sheetData sheetId="2326">
        <row r="8">
          <cell r="D8" t="str">
            <v>Paramaz Avedisian Building</v>
          </cell>
        </row>
      </sheetData>
      <sheetData sheetId="2327">
        <row r="8">
          <cell r="D8" t="str">
            <v>Paramaz Avedisian Building</v>
          </cell>
        </row>
      </sheetData>
      <sheetData sheetId="2328">
        <row r="8">
          <cell r="D8" t="str">
            <v>Paramaz Avedisian Building</v>
          </cell>
        </row>
      </sheetData>
      <sheetData sheetId="2329">
        <row r="8">
          <cell r="D8" t="str">
            <v>Paramaz Avedisian Building</v>
          </cell>
        </row>
      </sheetData>
      <sheetData sheetId="2330">
        <row r="8">
          <cell r="D8" t="str">
            <v>Paramaz Avedisian Building</v>
          </cell>
        </row>
      </sheetData>
      <sheetData sheetId="2331">
        <row r="8">
          <cell r="D8" t="str">
            <v>Paramaz Avedisian Building</v>
          </cell>
        </row>
      </sheetData>
      <sheetData sheetId="2332">
        <row r="8">
          <cell r="D8" t="str">
            <v>Paramaz Avedisian Building</v>
          </cell>
        </row>
      </sheetData>
      <sheetData sheetId="2333">
        <row r="8">
          <cell r="D8" t="str">
            <v>Paramaz Avedisian Building</v>
          </cell>
        </row>
      </sheetData>
      <sheetData sheetId="2334">
        <row r="8">
          <cell r="D8" t="str">
            <v>Paramaz Avedisian Building</v>
          </cell>
        </row>
      </sheetData>
      <sheetData sheetId="2335">
        <row r="8">
          <cell r="D8" t="str">
            <v>Paramaz Avedisian Building</v>
          </cell>
        </row>
      </sheetData>
      <sheetData sheetId="2336">
        <row r="8">
          <cell r="D8" t="str">
            <v>Paramaz Avedisian Building</v>
          </cell>
        </row>
      </sheetData>
      <sheetData sheetId="2337">
        <row r="8">
          <cell r="D8" t="str">
            <v>Paramaz Avedisian Building</v>
          </cell>
        </row>
      </sheetData>
      <sheetData sheetId="2338">
        <row r="8">
          <cell r="D8" t="str">
            <v>Paramaz Avedisian Building</v>
          </cell>
        </row>
      </sheetData>
      <sheetData sheetId="2339">
        <row r="8">
          <cell r="D8" t="str">
            <v>Paramaz Avedisian Building</v>
          </cell>
        </row>
      </sheetData>
      <sheetData sheetId="2340">
        <row r="8">
          <cell r="D8" t="str">
            <v>Paramaz Avedisian Building</v>
          </cell>
        </row>
      </sheetData>
      <sheetData sheetId="2341">
        <row r="8">
          <cell r="D8" t="str">
            <v>Paramaz Avedisian Building</v>
          </cell>
        </row>
      </sheetData>
      <sheetData sheetId="2342">
        <row r="8">
          <cell r="D8" t="str">
            <v>Paramaz Avedisian Building</v>
          </cell>
        </row>
      </sheetData>
      <sheetData sheetId="2343">
        <row r="8">
          <cell r="D8" t="str">
            <v>Paramaz Avedisian Building</v>
          </cell>
        </row>
      </sheetData>
      <sheetData sheetId="2344">
        <row r="8">
          <cell r="D8" t="str">
            <v>Paramaz Avedisian Building</v>
          </cell>
        </row>
      </sheetData>
      <sheetData sheetId="2345">
        <row r="8">
          <cell r="D8" t="str">
            <v>Paramaz Avedisian Building</v>
          </cell>
        </row>
      </sheetData>
      <sheetData sheetId="2346">
        <row r="8">
          <cell r="D8" t="str">
            <v>Paramaz Avedisian Building</v>
          </cell>
        </row>
      </sheetData>
      <sheetData sheetId="2347">
        <row r="8">
          <cell r="D8" t="str">
            <v>Paramaz Avedisian Building</v>
          </cell>
        </row>
      </sheetData>
      <sheetData sheetId="2348">
        <row r="8">
          <cell r="D8" t="str">
            <v>Paramaz Avedisian Building</v>
          </cell>
        </row>
      </sheetData>
      <sheetData sheetId="2349">
        <row r="8">
          <cell r="D8" t="str">
            <v>Paramaz Avedisian Building</v>
          </cell>
        </row>
      </sheetData>
      <sheetData sheetId="2350">
        <row r="8">
          <cell r="D8" t="str">
            <v>Paramaz Avedisian Building</v>
          </cell>
        </row>
      </sheetData>
      <sheetData sheetId="2351">
        <row r="8">
          <cell r="D8" t="str">
            <v>Paramaz Avedisian Building</v>
          </cell>
        </row>
      </sheetData>
      <sheetData sheetId="2352">
        <row r="8">
          <cell r="D8" t="str">
            <v>Paramaz Avedisian Building</v>
          </cell>
        </row>
      </sheetData>
      <sheetData sheetId="2353">
        <row r="8">
          <cell r="D8" t="str">
            <v>Paramaz Avedisian Building</v>
          </cell>
        </row>
      </sheetData>
      <sheetData sheetId="2354">
        <row r="8">
          <cell r="D8" t="str">
            <v>Paramaz Avedisian Building</v>
          </cell>
        </row>
      </sheetData>
      <sheetData sheetId="2355">
        <row r="8">
          <cell r="D8" t="str">
            <v>Paramaz Avedisian Building</v>
          </cell>
        </row>
      </sheetData>
      <sheetData sheetId="2356">
        <row r="8">
          <cell r="D8" t="str">
            <v>Paramaz Avedisian Building</v>
          </cell>
        </row>
      </sheetData>
      <sheetData sheetId="2357">
        <row r="8">
          <cell r="D8" t="str">
            <v>Paramaz Avedisian Building</v>
          </cell>
        </row>
      </sheetData>
      <sheetData sheetId="2358">
        <row r="8">
          <cell r="D8" t="str">
            <v>Paramaz Avedisian Building</v>
          </cell>
        </row>
      </sheetData>
      <sheetData sheetId="2359">
        <row r="8">
          <cell r="D8" t="str">
            <v>Paramaz Avedisian Building</v>
          </cell>
        </row>
      </sheetData>
      <sheetData sheetId="2360">
        <row r="8">
          <cell r="D8" t="str">
            <v>Paramaz Avedisian Building</v>
          </cell>
        </row>
      </sheetData>
      <sheetData sheetId="2361">
        <row r="8">
          <cell r="D8" t="str">
            <v>Paramaz Avedisian Building</v>
          </cell>
        </row>
      </sheetData>
      <sheetData sheetId="2362">
        <row r="8">
          <cell r="D8" t="str">
            <v>Paramaz Avedisian Building</v>
          </cell>
        </row>
      </sheetData>
      <sheetData sheetId="2363">
        <row r="8">
          <cell r="D8" t="str">
            <v>Paramaz Avedisian Building</v>
          </cell>
        </row>
      </sheetData>
      <sheetData sheetId="2364">
        <row r="8">
          <cell r="D8" t="str">
            <v>Paramaz Avedisian Building</v>
          </cell>
        </row>
      </sheetData>
      <sheetData sheetId="2365">
        <row r="8">
          <cell r="D8" t="str">
            <v>Paramaz Avedisian Building</v>
          </cell>
        </row>
      </sheetData>
      <sheetData sheetId="2366">
        <row r="8">
          <cell r="D8" t="str">
            <v>Paramaz Avedisian Building</v>
          </cell>
        </row>
      </sheetData>
      <sheetData sheetId="2367">
        <row r="8">
          <cell r="D8" t="str">
            <v>Paramaz Avedisian Building</v>
          </cell>
        </row>
      </sheetData>
      <sheetData sheetId="2368">
        <row r="8">
          <cell r="D8" t="str">
            <v>Paramaz Avedisian Building</v>
          </cell>
        </row>
      </sheetData>
      <sheetData sheetId="2369">
        <row r="8">
          <cell r="D8" t="str">
            <v>Paramaz Avedisian Building</v>
          </cell>
        </row>
      </sheetData>
      <sheetData sheetId="2370">
        <row r="8">
          <cell r="D8" t="str">
            <v>Paramaz Avedisian Building</v>
          </cell>
        </row>
      </sheetData>
      <sheetData sheetId="2371">
        <row r="8">
          <cell r="D8" t="str">
            <v>Paramaz Avedisian Building</v>
          </cell>
        </row>
      </sheetData>
      <sheetData sheetId="2372">
        <row r="8">
          <cell r="D8" t="str">
            <v>Paramaz Avedisian Building</v>
          </cell>
        </row>
      </sheetData>
      <sheetData sheetId="2373">
        <row r="8">
          <cell r="D8" t="str">
            <v>Paramaz Avedisian Building</v>
          </cell>
        </row>
      </sheetData>
      <sheetData sheetId="2374">
        <row r="8">
          <cell r="D8" t="str">
            <v>Paramaz Avedisian Building</v>
          </cell>
        </row>
      </sheetData>
      <sheetData sheetId="2375">
        <row r="8">
          <cell r="D8" t="str">
            <v>Paramaz Avedisian Building</v>
          </cell>
        </row>
      </sheetData>
      <sheetData sheetId="2376">
        <row r="8">
          <cell r="D8" t="str">
            <v>Paramaz Avedisian Building</v>
          </cell>
        </row>
      </sheetData>
      <sheetData sheetId="2377">
        <row r="8">
          <cell r="D8" t="str">
            <v>Paramaz Avedisian Building</v>
          </cell>
        </row>
      </sheetData>
      <sheetData sheetId="2378">
        <row r="8">
          <cell r="D8" t="str">
            <v>Paramaz Avedisian Building</v>
          </cell>
        </row>
      </sheetData>
      <sheetData sheetId="2379">
        <row r="8">
          <cell r="D8" t="str">
            <v>Paramaz Avedisian Building</v>
          </cell>
        </row>
      </sheetData>
      <sheetData sheetId="2380">
        <row r="8">
          <cell r="D8" t="str">
            <v>Paramaz Avedisian Building</v>
          </cell>
        </row>
      </sheetData>
      <sheetData sheetId="2381">
        <row r="8">
          <cell r="D8" t="str">
            <v>Paramaz Avedisian Building</v>
          </cell>
        </row>
      </sheetData>
      <sheetData sheetId="2382">
        <row r="8">
          <cell r="D8" t="str">
            <v>Paramaz Avedisian Building</v>
          </cell>
        </row>
      </sheetData>
      <sheetData sheetId="2383">
        <row r="8">
          <cell r="D8" t="str">
            <v>Paramaz Avedisian Building</v>
          </cell>
        </row>
      </sheetData>
      <sheetData sheetId="2384">
        <row r="8">
          <cell r="D8" t="str">
            <v>Paramaz Avedisian Building</v>
          </cell>
        </row>
      </sheetData>
      <sheetData sheetId="2385">
        <row r="8">
          <cell r="D8" t="str">
            <v>Paramaz Avedisian Building</v>
          </cell>
        </row>
      </sheetData>
      <sheetData sheetId="2386">
        <row r="8">
          <cell r="D8" t="str">
            <v>Paramaz Avedisian Building</v>
          </cell>
        </row>
      </sheetData>
      <sheetData sheetId="2387">
        <row r="8">
          <cell r="D8" t="str">
            <v>Paramaz Avedisian Building</v>
          </cell>
        </row>
      </sheetData>
      <sheetData sheetId="2388">
        <row r="8">
          <cell r="D8" t="str">
            <v>Paramaz Avedisian Building</v>
          </cell>
        </row>
      </sheetData>
      <sheetData sheetId="2389">
        <row r="8">
          <cell r="D8" t="str">
            <v>Paramaz Avedisian Building</v>
          </cell>
        </row>
      </sheetData>
      <sheetData sheetId="2390">
        <row r="8">
          <cell r="D8" t="str">
            <v>Paramaz Avedisian Building</v>
          </cell>
        </row>
      </sheetData>
      <sheetData sheetId="2391">
        <row r="8">
          <cell r="D8" t="str">
            <v>Paramaz Avedisian Building</v>
          </cell>
        </row>
      </sheetData>
      <sheetData sheetId="2392">
        <row r="8">
          <cell r="D8" t="str">
            <v>Paramaz Avedisian Building</v>
          </cell>
        </row>
      </sheetData>
      <sheetData sheetId="2393">
        <row r="8">
          <cell r="D8" t="str">
            <v>Paramaz Avedisian Building</v>
          </cell>
        </row>
      </sheetData>
      <sheetData sheetId="2394">
        <row r="8">
          <cell r="D8" t="str">
            <v>Paramaz Avedisian Building</v>
          </cell>
        </row>
      </sheetData>
      <sheetData sheetId="2395">
        <row r="8">
          <cell r="D8" t="str">
            <v>Paramaz Avedisian Building</v>
          </cell>
        </row>
      </sheetData>
      <sheetData sheetId="2396">
        <row r="8">
          <cell r="D8" t="str">
            <v>Paramaz Avedisian Building</v>
          </cell>
        </row>
      </sheetData>
      <sheetData sheetId="2397">
        <row r="8">
          <cell r="D8" t="str">
            <v>Paramaz Avedisian Building</v>
          </cell>
        </row>
      </sheetData>
      <sheetData sheetId="2398">
        <row r="8">
          <cell r="D8" t="str">
            <v>Paramaz Avedisian Building</v>
          </cell>
        </row>
      </sheetData>
      <sheetData sheetId="2399">
        <row r="8">
          <cell r="D8" t="str">
            <v>Paramaz Avedisian Building</v>
          </cell>
        </row>
      </sheetData>
      <sheetData sheetId="2400">
        <row r="8">
          <cell r="D8" t="str">
            <v>Paramaz Avedisian Building</v>
          </cell>
        </row>
      </sheetData>
      <sheetData sheetId="2401">
        <row r="8">
          <cell r="D8" t="str">
            <v>Paramaz Avedisian Building</v>
          </cell>
        </row>
      </sheetData>
      <sheetData sheetId="2402">
        <row r="8">
          <cell r="D8" t="str">
            <v>Paramaz Avedisian Building</v>
          </cell>
        </row>
      </sheetData>
      <sheetData sheetId="2403">
        <row r="8">
          <cell r="D8" t="str">
            <v>Paramaz Avedisian Building</v>
          </cell>
        </row>
      </sheetData>
      <sheetData sheetId="2404">
        <row r="8">
          <cell r="D8" t="str">
            <v>Paramaz Avedisian Building</v>
          </cell>
        </row>
      </sheetData>
      <sheetData sheetId="2405">
        <row r="8">
          <cell r="D8" t="str">
            <v>Paramaz Avedisian Building</v>
          </cell>
        </row>
      </sheetData>
      <sheetData sheetId="2406">
        <row r="8">
          <cell r="D8" t="str">
            <v>Paramaz Avedisian Building</v>
          </cell>
        </row>
      </sheetData>
      <sheetData sheetId="2407">
        <row r="8">
          <cell r="D8" t="str">
            <v>Paramaz Avedisian Building</v>
          </cell>
        </row>
      </sheetData>
      <sheetData sheetId="2408">
        <row r="8">
          <cell r="D8" t="str">
            <v>Paramaz Avedisian Building</v>
          </cell>
        </row>
      </sheetData>
      <sheetData sheetId="2409">
        <row r="8">
          <cell r="D8" t="str">
            <v>Paramaz Avedisian Building</v>
          </cell>
        </row>
      </sheetData>
      <sheetData sheetId="2410">
        <row r="8">
          <cell r="D8" t="str">
            <v>Paramaz Avedisian Building</v>
          </cell>
        </row>
      </sheetData>
      <sheetData sheetId="2411">
        <row r="8">
          <cell r="D8" t="str">
            <v>Paramaz Avedisian Building</v>
          </cell>
        </row>
      </sheetData>
      <sheetData sheetId="2412">
        <row r="8">
          <cell r="D8" t="str">
            <v>Paramaz Avedisian Building</v>
          </cell>
        </row>
      </sheetData>
      <sheetData sheetId="2413">
        <row r="8">
          <cell r="D8" t="str">
            <v>Paramaz Avedisian Building</v>
          </cell>
        </row>
      </sheetData>
      <sheetData sheetId="2414">
        <row r="8">
          <cell r="D8" t="str">
            <v>Paramaz Avedisian Building</v>
          </cell>
        </row>
      </sheetData>
      <sheetData sheetId="2415">
        <row r="8">
          <cell r="D8" t="str">
            <v>Paramaz Avedisian Building</v>
          </cell>
        </row>
      </sheetData>
      <sheetData sheetId="2416">
        <row r="8">
          <cell r="D8" t="str">
            <v>Paramaz Avedisian Building</v>
          </cell>
        </row>
      </sheetData>
      <sheetData sheetId="2417">
        <row r="8">
          <cell r="D8" t="str">
            <v>Paramaz Avedisian Building</v>
          </cell>
        </row>
      </sheetData>
      <sheetData sheetId="2418">
        <row r="8">
          <cell r="D8" t="str">
            <v>Paramaz Avedisian Building</v>
          </cell>
        </row>
      </sheetData>
      <sheetData sheetId="2419">
        <row r="8">
          <cell r="D8" t="str">
            <v>Paramaz Avedisian Building</v>
          </cell>
        </row>
      </sheetData>
      <sheetData sheetId="2420">
        <row r="8">
          <cell r="D8" t="str">
            <v>Paramaz Avedisian Building</v>
          </cell>
        </row>
      </sheetData>
      <sheetData sheetId="2421">
        <row r="8">
          <cell r="D8" t="str">
            <v>Paramaz Avedisian Building</v>
          </cell>
        </row>
      </sheetData>
      <sheetData sheetId="2422">
        <row r="8">
          <cell r="D8" t="str">
            <v>Paramaz Avedisian Building</v>
          </cell>
        </row>
      </sheetData>
      <sheetData sheetId="2423">
        <row r="8">
          <cell r="D8" t="str">
            <v>Paramaz Avedisian Building</v>
          </cell>
        </row>
      </sheetData>
      <sheetData sheetId="2424">
        <row r="8">
          <cell r="D8" t="str">
            <v>Paramaz Avedisian Building</v>
          </cell>
        </row>
      </sheetData>
      <sheetData sheetId="2425">
        <row r="8">
          <cell r="D8" t="str">
            <v>Paramaz Avedisian Building</v>
          </cell>
        </row>
      </sheetData>
      <sheetData sheetId="2426">
        <row r="8">
          <cell r="D8" t="str">
            <v>Paramaz Avedisian Building</v>
          </cell>
        </row>
      </sheetData>
      <sheetData sheetId="2427">
        <row r="8">
          <cell r="D8" t="str">
            <v>Paramaz Avedisian Building</v>
          </cell>
        </row>
      </sheetData>
      <sheetData sheetId="2428">
        <row r="8">
          <cell r="D8" t="str">
            <v>Paramaz Avedisian Building</v>
          </cell>
        </row>
      </sheetData>
      <sheetData sheetId="2429">
        <row r="8">
          <cell r="D8" t="str">
            <v>Paramaz Avedisian Building</v>
          </cell>
        </row>
      </sheetData>
      <sheetData sheetId="2430">
        <row r="8">
          <cell r="D8" t="str">
            <v>Paramaz Avedisian Building</v>
          </cell>
        </row>
      </sheetData>
      <sheetData sheetId="2431">
        <row r="8">
          <cell r="D8" t="str">
            <v>Paramaz Avedisian Building</v>
          </cell>
        </row>
      </sheetData>
      <sheetData sheetId="2432">
        <row r="8">
          <cell r="D8" t="str">
            <v>Paramaz Avedisian Building</v>
          </cell>
        </row>
      </sheetData>
      <sheetData sheetId="2433">
        <row r="8">
          <cell r="D8" t="str">
            <v>Paramaz Avedisian Building</v>
          </cell>
        </row>
      </sheetData>
      <sheetData sheetId="2434">
        <row r="8">
          <cell r="D8" t="str">
            <v>Paramaz Avedisian Building</v>
          </cell>
        </row>
      </sheetData>
      <sheetData sheetId="2435">
        <row r="8">
          <cell r="D8" t="str">
            <v>Paramaz Avedisian Building</v>
          </cell>
        </row>
      </sheetData>
      <sheetData sheetId="2436">
        <row r="8">
          <cell r="D8" t="str">
            <v>Paramaz Avedisian Building</v>
          </cell>
        </row>
      </sheetData>
      <sheetData sheetId="2437">
        <row r="8">
          <cell r="D8" t="str">
            <v>Paramaz Avedisian Building</v>
          </cell>
        </row>
      </sheetData>
      <sheetData sheetId="2438">
        <row r="8">
          <cell r="D8" t="str">
            <v>Paramaz Avedisian Building</v>
          </cell>
        </row>
      </sheetData>
      <sheetData sheetId="2439">
        <row r="8">
          <cell r="D8" t="str">
            <v>Paramaz Avedisian Building</v>
          </cell>
        </row>
      </sheetData>
      <sheetData sheetId="2440">
        <row r="8">
          <cell r="D8" t="str">
            <v>Paramaz Avedisian Building</v>
          </cell>
        </row>
      </sheetData>
      <sheetData sheetId="2441">
        <row r="8">
          <cell r="D8" t="str">
            <v>Paramaz Avedisian Building</v>
          </cell>
        </row>
      </sheetData>
      <sheetData sheetId="2442">
        <row r="8">
          <cell r="D8" t="str">
            <v>Paramaz Avedisian Building</v>
          </cell>
        </row>
      </sheetData>
      <sheetData sheetId="2443">
        <row r="8">
          <cell r="D8" t="str">
            <v>Paramaz Avedisian Building</v>
          </cell>
        </row>
      </sheetData>
      <sheetData sheetId="2444">
        <row r="8">
          <cell r="D8" t="str">
            <v>Paramaz Avedisian Building</v>
          </cell>
        </row>
      </sheetData>
      <sheetData sheetId="2445">
        <row r="8">
          <cell r="D8" t="str">
            <v>Paramaz Avedisian Building</v>
          </cell>
        </row>
      </sheetData>
      <sheetData sheetId="2446">
        <row r="8">
          <cell r="D8" t="str">
            <v>Paramaz Avedisian Building</v>
          </cell>
        </row>
      </sheetData>
      <sheetData sheetId="2447">
        <row r="8">
          <cell r="D8" t="str">
            <v>Paramaz Avedisian Building</v>
          </cell>
        </row>
      </sheetData>
      <sheetData sheetId="2448">
        <row r="8">
          <cell r="D8" t="str">
            <v>Paramaz Avedisian Building</v>
          </cell>
        </row>
      </sheetData>
      <sheetData sheetId="2449">
        <row r="8">
          <cell r="D8" t="str">
            <v>Paramaz Avedisian Building</v>
          </cell>
        </row>
      </sheetData>
      <sheetData sheetId="2450">
        <row r="8">
          <cell r="D8" t="str">
            <v>Paramaz Avedisian Building</v>
          </cell>
        </row>
      </sheetData>
      <sheetData sheetId="2451">
        <row r="8">
          <cell r="D8" t="str">
            <v>Paramaz Avedisian Building</v>
          </cell>
        </row>
      </sheetData>
      <sheetData sheetId="2452">
        <row r="8">
          <cell r="D8" t="str">
            <v>Paramaz Avedisian Building</v>
          </cell>
        </row>
      </sheetData>
      <sheetData sheetId="2453">
        <row r="8">
          <cell r="D8" t="str">
            <v>Paramaz Avedisian Building</v>
          </cell>
        </row>
      </sheetData>
      <sheetData sheetId="2454">
        <row r="8">
          <cell r="D8" t="str">
            <v>Paramaz Avedisian Building</v>
          </cell>
        </row>
      </sheetData>
      <sheetData sheetId="2455">
        <row r="8">
          <cell r="D8" t="str">
            <v>Paramaz Avedisian Building</v>
          </cell>
        </row>
      </sheetData>
      <sheetData sheetId="2456">
        <row r="8">
          <cell r="D8" t="str">
            <v>Paramaz Avedisian Building</v>
          </cell>
        </row>
      </sheetData>
      <sheetData sheetId="2457">
        <row r="8">
          <cell r="D8" t="str">
            <v>Paramaz Avedisian Building</v>
          </cell>
        </row>
      </sheetData>
      <sheetData sheetId="2458">
        <row r="8">
          <cell r="D8" t="str">
            <v>Paramaz Avedisian Building</v>
          </cell>
        </row>
      </sheetData>
      <sheetData sheetId="2459">
        <row r="8">
          <cell r="D8" t="str">
            <v>Paramaz Avedisian Building</v>
          </cell>
        </row>
      </sheetData>
      <sheetData sheetId="2460">
        <row r="8">
          <cell r="D8" t="str">
            <v>Paramaz Avedisian Building</v>
          </cell>
        </row>
      </sheetData>
      <sheetData sheetId="2461">
        <row r="8">
          <cell r="D8" t="str">
            <v>Paramaz Avedisian Building</v>
          </cell>
        </row>
      </sheetData>
      <sheetData sheetId="2462">
        <row r="8">
          <cell r="D8" t="str">
            <v>Paramaz Avedisian Building</v>
          </cell>
        </row>
      </sheetData>
      <sheetData sheetId="2463">
        <row r="8">
          <cell r="D8" t="str">
            <v>Paramaz Avedisian Building</v>
          </cell>
        </row>
      </sheetData>
      <sheetData sheetId="2464">
        <row r="8">
          <cell r="D8" t="str">
            <v>Paramaz Avedisian Building</v>
          </cell>
        </row>
      </sheetData>
      <sheetData sheetId="2465">
        <row r="8">
          <cell r="D8" t="str">
            <v>Paramaz Avedisian Building</v>
          </cell>
        </row>
      </sheetData>
      <sheetData sheetId="2466">
        <row r="8">
          <cell r="D8" t="str">
            <v>Paramaz Avedisian Building</v>
          </cell>
        </row>
      </sheetData>
      <sheetData sheetId="2467">
        <row r="8">
          <cell r="D8" t="str">
            <v>Paramaz Avedisian Building</v>
          </cell>
        </row>
      </sheetData>
      <sheetData sheetId="2468">
        <row r="8">
          <cell r="D8" t="str">
            <v>Paramaz Avedisian Building</v>
          </cell>
        </row>
      </sheetData>
      <sheetData sheetId="2469">
        <row r="8">
          <cell r="D8" t="str">
            <v>Paramaz Avedisian Building</v>
          </cell>
        </row>
      </sheetData>
      <sheetData sheetId="2470">
        <row r="8">
          <cell r="D8" t="str">
            <v>Paramaz Avedisian Building</v>
          </cell>
        </row>
      </sheetData>
      <sheetData sheetId="2471">
        <row r="8">
          <cell r="D8" t="str">
            <v>Paramaz Avedisian Building</v>
          </cell>
        </row>
      </sheetData>
      <sheetData sheetId="2472">
        <row r="8">
          <cell r="D8" t="str">
            <v>Paramaz Avedisian Building</v>
          </cell>
        </row>
      </sheetData>
      <sheetData sheetId="2473">
        <row r="8">
          <cell r="D8" t="str">
            <v>Paramaz Avedisian Building</v>
          </cell>
        </row>
      </sheetData>
      <sheetData sheetId="2474">
        <row r="8">
          <cell r="D8" t="str">
            <v>Paramaz Avedisian Building</v>
          </cell>
        </row>
      </sheetData>
      <sheetData sheetId="2475">
        <row r="8">
          <cell r="D8" t="str">
            <v>Paramaz Avedisian Building</v>
          </cell>
        </row>
      </sheetData>
      <sheetData sheetId="2476">
        <row r="8">
          <cell r="D8" t="str">
            <v>Paramaz Avedisian Building</v>
          </cell>
        </row>
      </sheetData>
      <sheetData sheetId="2477">
        <row r="8">
          <cell r="D8" t="str">
            <v>Paramaz Avedisian Building</v>
          </cell>
        </row>
      </sheetData>
      <sheetData sheetId="2478">
        <row r="8">
          <cell r="D8" t="str">
            <v>Paramaz Avedisian Building</v>
          </cell>
        </row>
      </sheetData>
      <sheetData sheetId="2479">
        <row r="8">
          <cell r="D8" t="str">
            <v>Paramaz Avedisian Building</v>
          </cell>
        </row>
      </sheetData>
      <sheetData sheetId="2480">
        <row r="8">
          <cell r="D8" t="str">
            <v>Paramaz Avedisian Building</v>
          </cell>
        </row>
      </sheetData>
      <sheetData sheetId="2481">
        <row r="8">
          <cell r="D8" t="str">
            <v>Paramaz Avedisian Building</v>
          </cell>
        </row>
      </sheetData>
      <sheetData sheetId="2482">
        <row r="8">
          <cell r="D8" t="str">
            <v>Paramaz Avedisian Building</v>
          </cell>
        </row>
      </sheetData>
      <sheetData sheetId="2483">
        <row r="8">
          <cell r="D8" t="str">
            <v>Paramaz Avedisian Building</v>
          </cell>
        </row>
      </sheetData>
      <sheetData sheetId="2484">
        <row r="8">
          <cell r="D8" t="str">
            <v>Paramaz Avedisian Building</v>
          </cell>
        </row>
      </sheetData>
      <sheetData sheetId="2485">
        <row r="8">
          <cell r="D8" t="str">
            <v>Paramaz Avedisian Building</v>
          </cell>
        </row>
      </sheetData>
      <sheetData sheetId="2486">
        <row r="8">
          <cell r="D8" t="str">
            <v>Paramaz Avedisian Building</v>
          </cell>
        </row>
      </sheetData>
      <sheetData sheetId="2487">
        <row r="8">
          <cell r="D8" t="str">
            <v>Paramaz Avedisian Building</v>
          </cell>
        </row>
      </sheetData>
      <sheetData sheetId="2488">
        <row r="8">
          <cell r="D8" t="str">
            <v>Paramaz Avedisian Building</v>
          </cell>
        </row>
      </sheetData>
      <sheetData sheetId="2489">
        <row r="8">
          <cell r="D8" t="str">
            <v>Paramaz Avedisian Building</v>
          </cell>
        </row>
      </sheetData>
      <sheetData sheetId="2490">
        <row r="8">
          <cell r="D8" t="str">
            <v>Paramaz Avedisian Building</v>
          </cell>
        </row>
      </sheetData>
      <sheetData sheetId="2491">
        <row r="8">
          <cell r="D8" t="str">
            <v>Paramaz Avedisian Building</v>
          </cell>
        </row>
      </sheetData>
      <sheetData sheetId="2492">
        <row r="8">
          <cell r="D8" t="str">
            <v>Paramaz Avedisian Building</v>
          </cell>
        </row>
      </sheetData>
      <sheetData sheetId="2493">
        <row r="8">
          <cell r="D8" t="str">
            <v>Paramaz Avedisian Building</v>
          </cell>
        </row>
      </sheetData>
      <sheetData sheetId="2494">
        <row r="8">
          <cell r="D8" t="str">
            <v>Paramaz Avedisian Building</v>
          </cell>
        </row>
      </sheetData>
      <sheetData sheetId="2495">
        <row r="8">
          <cell r="D8" t="str">
            <v>Paramaz Avedisian Building</v>
          </cell>
        </row>
      </sheetData>
      <sheetData sheetId="2496">
        <row r="8">
          <cell r="D8" t="str">
            <v>Paramaz Avedisian Building</v>
          </cell>
        </row>
      </sheetData>
      <sheetData sheetId="2497">
        <row r="8">
          <cell r="D8" t="str">
            <v>Paramaz Avedisian Building</v>
          </cell>
        </row>
      </sheetData>
      <sheetData sheetId="2498">
        <row r="8">
          <cell r="D8" t="str">
            <v>Paramaz Avedisian Building</v>
          </cell>
        </row>
      </sheetData>
      <sheetData sheetId="2499">
        <row r="8">
          <cell r="D8" t="str">
            <v>Paramaz Avedisian Building</v>
          </cell>
        </row>
      </sheetData>
      <sheetData sheetId="2500">
        <row r="8">
          <cell r="D8" t="str">
            <v>Paramaz Avedisian Building</v>
          </cell>
        </row>
      </sheetData>
      <sheetData sheetId="2501">
        <row r="8">
          <cell r="D8" t="str">
            <v>Paramaz Avedisian Building</v>
          </cell>
        </row>
      </sheetData>
      <sheetData sheetId="2502">
        <row r="8">
          <cell r="D8" t="str">
            <v>Paramaz Avedisian Building</v>
          </cell>
        </row>
      </sheetData>
      <sheetData sheetId="2503">
        <row r="8">
          <cell r="D8" t="str">
            <v>Paramaz Avedisian Building</v>
          </cell>
        </row>
      </sheetData>
      <sheetData sheetId="2504">
        <row r="8">
          <cell r="D8" t="str">
            <v>Paramaz Avedisian Building</v>
          </cell>
        </row>
      </sheetData>
      <sheetData sheetId="2505">
        <row r="8">
          <cell r="D8" t="str">
            <v>Paramaz Avedisian Building</v>
          </cell>
        </row>
      </sheetData>
      <sheetData sheetId="2506">
        <row r="8">
          <cell r="D8" t="str">
            <v>Paramaz Avedisian Building</v>
          </cell>
        </row>
      </sheetData>
      <sheetData sheetId="2507">
        <row r="8">
          <cell r="D8" t="str">
            <v>Paramaz Avedisian Building</v>
          </cell>
        </row>
      </sheetData>
      <sheetData sheetId="2508">
        <row r="8">
          <cell r="D8" t="str">
            <v>Paramaz Avedisian Building</v>
          </cell>
        </row>
      </sheetData>
      <sheetData sheetId="2509">
        <row r="8">
          <cell r="D8" t="str">
            <v>Paramaz Avedisian Building</v>
          </cell>
        </row>
      </sheetData>
      <sheetData sheetId="2510">
        <row r="8">
          <cell r="D8" t="str">
            <v>Paramaz Avedisian Building</v>
          </cell>
        </row>
      </sheetData>
      <sheetData sheetId="2511">
        <row r="8">
          <cell r="D8" t="str">
            <v>Paramaz Avedisian Building</v>
          </cell>
        </row>
      </sheetData>
      <sheetData sheetId="2512">
        <row r="8">
          <cell r="D8" t="str">
            <v>Paramaz Avedisian Building</v>
          </cell>
        </row>
      </sheetData>
      <sheetData sheetId="2513">
        <row r="8">
          <cell r="D8" t="str">
            <v>Paramaz Avedisian Building</v>
          </cell>
        </row>
      </sheetData>
      <sheetData sheetId="2514">
        <row r="8">
          <cell r="D8" t="str">
            <v>Paramaz Avedisian Building</v>
          </cell>
        </row>
      </sheetData>
      <sheetData sheetId="2515">
        <row r="8">
          <cell r="D8" t="str">
            <v>Paramaz Avedisian Building</v>
          </cell>
        </row>
      </sheetData>
      <sheetData sheetId="2516">
        <row r="8">
          <cell r="D8" t="str">
            <v>Paramaz Avedisian Building</v>
          </cell>
        </row>
      </sheetData>
      <sheetData sheetId="2517">
        <row r="8">
          <cell r="D8" t="str">
            <v>Paramaz Avedisian Building</v>
          </cell>
        </row>
      </sheetData>
      <sheetData sheetId="2518">
        <row r="8">
          <cell r="D8" t="str">
            <v>Paramaz Avedisian Building</v>
          </cell>
        </row>
      </sheetData>
      <sheetData sheetId="2519">
        <row r="8">
          <cell r="D8" t="str">
            <v>Paramaz Avedisian Building</v>
          </cell>
        </row>
      </sheetData>
      <sheetData sheetId="2520">
        <row r="8">
          <cell r="D8" t="str">
            <v>Paramaz Avedisian Building</v>
          </cell>
        </row>
      </sheetData>
      <sheetData sheetId="2521">
        <row r="8">
          <cell r="D8" t="str">
            <v>Paramaz Avedisian Building</v>
          </cell>
        </row>
      </sheetData>
      <sheetData sheetId="2522">
        <row r="8">
          <cell r="D8" t="str">
            <v>Paramaz Avedisian Building</v>
          </cell>
        </row>
      </sheetData>
      <sheetData sheetId="2523">
        <row r="8">
          <cell r="D8" t="str">
            <v>Paramaz Avedisian Building</v>
          </cell>
        </row>
      </sheetData>
      <sheetData sheetId="2524">
        <row r="8">
          <cell r="D8" t="str">
            <v>Paramaz Avedisian Building</v>
          </cell>
        </row>
      </sheetData>
      <sheetData sheetId="2525">
        <row r="8">
          <cell r="D8" t="str">
            <v>Paramaz Avedisian Building</v>
          </cell>
        </row>
      </sheetData>
      <sheetData sheetId="2526">
        <row r="8">
          <cell r="D8" t="str">
            <v>Paramaz Avedisian Building</v>
          </cell>
        </row>
      </sheetData>
      <sheetData sheetId="2527">
        <row r="8">
          <cell r="D8" t="str">
            <v>Paramaz Avedisian Building</v>
          </cell>
        </row>
      </sheetData>
      <sheetData sheetId="2528">
        <row r="8">
          <cell r="D8" t="str">
            <v>Paramaz Avedisian Building</v>
          </cell>
        </row>
      </sheetData>
      <sheetData sheetId="2529">
        <row r="8">
          <cell r="D8" t="str">
            <v>Paramaz Avedisian Building</v>
          </cell>
        </row>
      </sheetData>
      <sheetData sheetId="2530">
        <row r="8">
          <cell r="D8" t="str">
            <v>Paramaz Avedisian Building</v>
          </cell>
        </row>
      </sheetData>
      <sheetData sheetId="2531">
        <row r="8">
          <cell r="D8" t="str">
            <v>Paramaz Avedisian Building</v>
          </cell>
        </row>
      </sheetData>
      <sheetData sheetId="2532">
        <row r="8">
          <cell r="D8" t="str">
            <v>Paramaz Avedisian Building</v>
          </cell>
        </row>
      </sheetData>
      <sheetData sheetId="2533">
        <row r="8">
          <cell r="D8" t="str">
            <v>Paramaz Avedisian Building</v>
          </cell>
        </row>
      </sheetData>
      <sheetData sheetId="2534">
        <row r="8">
          <cell r="D8" t="str">
            <v>Paramaz Avedisian Building</v>
          </cell>
        </row>
      </sheetData>
      <sheetData sheetId="2535">
        <row r="8">
          <cell r="D8" t="str">
            <v>Paramaz Avedisian Building</v>
          </cell>
        </row>
      </sheetData>
      <sheetData sheetId="2536">
        <row r="8">
          <cell r="D8" t="str">
            <v>Paramaz Avedisian Building</v>
          </cell>
        </row>
      </sheetData>
      <sheetData sheetId="2537">
        <row r="8">
          <cell r="D8" t="str">
            <v>Paramaz Avedisian Building</v>
          </cell>
        </row>
      </sheetData>
      <sheetData sheetId="2538">
        <row r="8">
          <cell r="D8" t="str">
            <v>Paramaz Avedisian Building</v>
          </cell>
        </row>
      </sheetData>
      <sheetData sheetId="2539">
        <row r="8">
          <cell r="D8" t="str">
            <v>Paramaz Avedisian Building</v>
          </cell>
        </row>
      </sheetData>
      <sheetData sheetId="2540">
        <row r="8">
          <cell r="D8" t="str">
            <v>Paramaz Avedisian Building</v>
          </cell>
        </row>
      </sheetData>
      <sheetData sheetId="2541">
        <row r="8">
          <cell r="D8" t="str">
            <v>Paramaz Avedisian Building</v>
          </cell>
        </row>
      </sheetData>
      <sheetData sheetId="2542">
        <row r="8">
          <cell r="D8" t="str">
            <v>Paramaz Avedisian Building</v>
          </cell>
        </row>
      </sheetData>
      <sheetData sheetId="2543">
        <row r="8">
          <cell r="D8" t="str">
            <v>Paramaz Avedisian Building</v>
          </cell>
        </row>
      </sheetData>
      <sheetData sheetId="2544">
        <row r="8">
          <cell r="D8" t="str">
            <v>Paramaz Avedisian Building</v>
          </cell>
        </row>
      </sheetData>
      <sheetData sheetId="2545">
        <row r="8">
          <cell r="D8" t="str">
            <v>Paramaz Avedisian Building</v>
          </cell>
        </row>
      </sheetData>
      <sheetData sheetId="2546">
        <row r="8">
          <cell r="D8" t="str">
            <v>Paramaz Avedisian Building</v>
          </cell>
        </row>
      </sheetData>
      <sheetData sheetId="2547">
        <row r="8">
          <cell r="D8" t="str">
            <v>Paramaz Avedisian Building</v>
          </cell>
        </row>
      </sheetData>
      <sheetData sheetId="2548">
        <row r="8">
          <cell r="D8" t="str">
            <v>Paramaz Avedisian Building</v>
          </cell>
        </row>
      </sheetData>
      <sheetData sheetId="2549">
        <row r="8">
          <cell r="D8" t="str">
            <v>Paramaz Avedisian Building</v>
          </cell>
        </row>
      </sheetData>
      <sheetData sheetId="2550">
        <row r="8">
          <cell r="D8" t="str">
            <v>Paramaz Avedisian Building</v>
          </cell>
        </row>
      </sheetData>
      <sheetData sheetId="2551">
        <row r="8">
          <cell r="D8" t="str">
            <v>Paramaz Avedisian Building</v>
          </cell>
        </row>
      </sheetData>
      <sheetData sheetId="2552">
        <row r="8">
          <cell r="D8" t="str">
            <v>Paramaz Avedisian Building</v>
          </cell>
        </row>
      </sheetData>
      <sheetData sheetId="2553">
        <row r="8">
          <cell r="D8" t="str">
            <v>Paramaz Avedisian Building</v>
          </cell>
        </row>
      </sheetData>
      <sheetData sheetId="2554">
        <row r="8">
          <cell r="D8" t="str">
            <v>Paramaz Avedisian Building</v>
          </cell>
        </row>
      </sheetData>
      <sheetData sheetId="2555">
        <row r="8">
          <cell r="D8" t="str">
            <v>Paramaz Avedisian Building</v>
          </cell>
        </row>
      </sheetData>
      <sheetData sheetId="2556">
        <row r="8">
          <cell r="D8" t="str">
            <v>Paramaz Avedisian Building</v>
          </cell>
        </row>
      </sheetData>
      <sheetData sheetId="2557">
        <row r="8">
          <cell r="D8" t="str">
            <v>Paramaz Avedisian Building</v>
          </cell>
        </row>
      </sheetData>
      <sheetData sheetId="2558">
        <row r="8">
          <cell r="D8" t="str">
            <v>Paramaz Avedisian Building</v>
          </cell>
        </row>
      </sheetData>
      <sheetData sheetId="2559">
        <row r="8">
          <cell r="D8" t="str">
            <v>Paramaz Avedisian Building</v>
          </cell>
        </row>
      </sheetData>
      <sheetData sheetId="2560">
        <row r="8">
          <cell r="D8" t="str">
            <v>Paramaz Avedisian Building</v>
          </cell>
        </row>
      </sheetData>
      <sheetData sheetId="2561">
        <row r="8">
          <cell r="D8" t="str">
            <v>Paramaz Avedisian Building</v>
          </cell>
        </row>
      </sheetData>
      <sheetData sheetId="2562">
        <row r="8">
          <cell r="D8" t="str">
            <v>Paramaz Avedisian Building</v>
          </cell>
        </row>
      </sheetData>
      <sheetData sheetId="2563">
        <row r="8">
          <cell r="D8" t="str">
            <v>Paramaz Avedisian Building</v>
          </cell>
        </row>
      </sheetData>
      <sheetData sheetId="2564">
        <row r="8">
          <cell r="D8" t="str">
            <v>Paramaz Avedisian Building</v>
          </cell>
        </row>
      </sheetData>
      <sheetData sheetId="2565">
        <row r="8">
          <cell r="D8" t="str">
            <v>Paramaz Avedisian Building</v>
          </cell>
        </row>
      </sheetData>
      <sheetData sheetId="2566">
        <row r="8">
          <cell r="D8" t="str">
            <v>Paramaz Avedisian Building</v>
          </cell>
        </row>
      </sheetData>
      <sheetData sheetId="2567">
        <row r="8">
          <cell r="D8" t="str">
            <v>Paramaz Avedisian Building</v>
          </cell>
        </row>
      </sheetData>
      <sheetData sheetId="2568">
        <row r="8">
          <cell r="D8" t="str">
            <v>Paramaz Avedisian Building</v>
          </cell>
        </row>
      </sheetData>
      <sheetData sheetId="2569">
        <row r="8">
          <cell r="D8" t="str">
            <v>Paramaz Avedisian Building</v>
          </cell>
        </row>
      </sheetData>
      <sheetData sheetId="2570">
        <row r="8">
          <cell r="D8" t="str">
            <v>Paramaz Avedisian Building</v>
          </cell>
        </row>
      </sheetData>
      <sheetData sheetId="2571">
        <row r="8">
          <cell r="D8" t="str">
            <v>Paramaz Avedisian Building</v>
          </cell>
        </row>
      </sheetData>
      <sheetData sheetId="2572">
        <row r="8">
          <cell r="D8" t="str">
            <v>Paramaz Avedisian Building</v>
          </cell>
        </row>
      </sheetData>
      <sheetData sheetId="2573">
        <row r="8">
          <cell r="D8" t="str">
            <v>Paramaz Avedisian Building</v>
          </cell>
        </row>
      </sheetData>
      <sheetData sheetId="2574">
        <row r="8">
          <cell r="D8" t="str">
            <v>Paramaz Avedisian Building</v>
          </cell>
        </row>
      </sheetData>
      <sheetData sheetId="2575">
        <row r="8">
          <cell r="D8" t="str">
            <v>Paramaz Avedisian Building</v>
          </cell>
        </row>
      </sheetData>
      <sheetData sheetId="2576">
        <row r="8">
          <cell r="D8" t="str">
            <v>Paramaz Avedisian Building</v>
          </cell>
        </row>
      </sheetData>
      <sheetData sheetId="2577">
        <row r="8">
          <cell r="D8" t="str">
            <v>Paramaz Avedisian Building</v>
          </cell>
        </row>
      </sheetData>
      <sheetData sheetId="2578">
        <row r="8">
          <cell r="D8" t="str">
            <v>Paramaz Avedisian Building</v>
          </cell>
        </row>
      </sheetData>
      <sheetData sheetId="2579">
        <row r="8">
          <cell r="D8" t="str">
            <v>Paramaz Avedisian Building</v>
          </cell>
        </row>
      </sheetData>
      <sheetData sheetId="2580">
        <row r="8">
          <cell r="D8" t="str">
            <v>Paramaz Avedisian Building</v>
          </cell>
        </row>
      </sheetData>
      <sheetData sheetId="2581">
        <row r="8">
          <cell r="D8" t="str">
            <v>Paramaz Avedisian Building</v>
          </cell>
        </row>
      </sheetData>
      <sheetData sheetId="2582">
        <row r="8">
          <cell r="D8" t="str">
            <v>Paramaz Avedisian Building</v>
          </cell>
        </row>
      </sheetData>
      <sheetData sheetId="2583">
        <row r="8">
          <cell r="D8" t="str">
            <v>Paramaz Avedisian Building</v>
          </cell>
        </row>
      </sheetData>
      <sheetData sheetId="2584">
        <row r="8">
          <cell r="D8" t="str">
            <v>Paramaz Avedisian Building</v>
          </cell>
        </row>
      </sheetData>
      <sheetData sheetId="2585">
        <row r="8">
          <cell r="D8" t="str">
            <v>Paramaz Avedisian Building</v>
          </cell>
        </row>
      </sheetData>
      <sheetData sheetId="2586">
        <row r="8">
          <cell r="D8" t="str">
            <v>Paramaz Avedisian Building</v>
          </cell>
        </row>
      </sheetData>
      <sheetData sheetId="2587">
        <row r="8">
          <cell r="D8" t="str">
            <v>Paramaz Avedisian Building</v>
          </cell>
        </row>
      </sheetData>
      <sheetData sheetId="2588">
        <row r="8">
          <cell r="D8" t="str">
            <v>Paramaz Avedisian Building</v>
          </cell>
        </row>
      </sheetData>
      <sheetData sheetId="2589">
        <row r="8">
          <cell r="D8" t="str">
            <v>Paramaz Avedisian Building</v>
          </cell>
        </row>
      </sheetData>
      <sheetData sheetId="2590">
        <row r="8">
          <cell r="D8" t="str">
            <v>Paramaz Avedisian Building</v>
          </cell>
        </row>
      </sheetData>
      <sheetData sheetId="2591">
        <row r="8">
          <cell r="D8" t="str">
            <v>Paramaz Avedisian Building</v>
          </cell>
        </row>
      </sheetData>
      <sheetData sheetId="2592">
        <row r="8">
          <cell r="D8" t="str">
            <v>Paramaz Avedisian Building</v>
          </cell>
        </row>
      </sheetData>
      <sheetData sheetId="2593">
        <row r="8">
          <cell r="D8" t="str">
            <v>Paramaz Avedisian Building</v>
          </cell>
        </row>
      </sheetData>
      <sheetData sheetId="2594">
        <row r="8">
          <cell r="D8" t="str">
            <v>Paramaz Avedisian Building</v>
          </cell>
        </row>
      </sheetData>
      <sheetData sheetId="2595">
        <row r="8">
          <cell r="D8" t="str">
            <v>Paramaz Avedisian Building</v>
          </cell>
        </row>
      </sheetData>
      <sheetData sheetId="2596">
        <row r="8">
          <cell r="D8" t="str">
            <v>Paramaz Avedisian Building</v>
          </cell>
        </row>
      </sheetData>
      <sheetData sheetId="2597">
        <row r="8">
          <cell r="D8" t="str">
            <v>Paramaz Avedisian Building</v>
          </cell>
        </row>
      </sheetData>
      <sheetData sheetId="2598">
        <row r="8">
          <cell r="D8" t="str">
            <v>Paramaz Avedisian Building</v>
          </cell>
        </row>
      </sheetData>
      <sheetData sheetId="2599">
        <row r="8">
          <cell r="D8" t="str">
            <v>Paramaz Avedisian Building</v>
          </cell>
        </row>
      </sheetData>
      <sheetData sheetId="2600">
        <row r="8">
          <cell r="D8" t="str">
            <v>Paramaz Avedisian Building</v>
          </cell>
        </row>
      </sheetData>
      <sheetData sheetId="2601">
        <row r="8">
          <cell r="D8" t="str">
            <v>Paramaz Avedisian Building</v>
          </cell>
        </row>
      </sheetData>
      <sheetData sheetId="2602">
        <row r="8">
          <cell r="D8" t="str">
            <v>Paramaz Avedisian Building</v>
          </cell>
        </row>
      </sheetData>
      <sheetData sheetId="2603">
        <row r="8">
          <cell r="D8" t="str">
            <v>Paramaz Avedisian Building</v>
          </cell>
        </row>
      </sheetData>
      <sheetData sheetId="2604">
        <row r="8">
          <cell r="D8" t="str">
            <v>Paramaz Avedisian Building</v>
          </cell>
        </row>
      </sheetData>
      <sheetData sheetId="2605">
        <row r="8">
          <cell r="D8" t="str">
            <v>Paramaz Avedisian Building</v>
          </cell>
        </row>
      </sheetData>
      <sheetData sheetId="2606">
        <row r="8">
          <cell r="D8" t="str">
            <v>Paramaz Avedisian Building</v>
          </cell>
        </row>
      </sheetData>
      <sheetData sheetId="2607">
        <row r="8">
          <cell r="D8" t="str">
            <v>Paramaz Avedisian Building</v>
          </cell>
        </row>
      </sheetData>
      <sheetData sheetId="2608">
        <row r="8">
          <cell r="D8" t="str">
            <v>Paramaz Avedisian Building</v>
          </cell>
        </row>
      </sheetData>
      <sheetData sheetId="2609">
        <row r="8">
          <cell r="D8" t="str">
            <v>Paramaz Avedisian Building</v>
          </cell>
        </row>
      </sheetData>
      <sheetData sheetId="2610">
        <row r="8">
          <cell r="D8" t="str">
            <v>Paramaz Avedisian Building</v>
          </cell>
        </row>
      </sheetData>
      <sheetData sheetId="2611">
        <row r="8">
          <cell r="D8" t="str">
            <v>Paramaz Avedisian Building</v>
          </cell>
        </row>
      </sheetData>
      <sheetData sheetId="2612">
        <row r="8">
          <cell r="D8" t="str">
            <v>Paramaz Avedisian Building</v>
          </cell>
        </row>
      </sheetData>
      <sheetData sheetId="2613">
        <row r="8">
          <cell r="D8" t="str">
            <v>Paramaz Avedisian Building</v>
          </cell>
        </row>
      </sheetData>
      <sheetData sheetId="2614">
        <row r="8">
          <cell r="D8" t="str">
            <v>Paramaz Avedisian Building</v>
          </cell>
        </row>
      </sheetData>
      <sheetData sheetId="2615">
        <row r="8">
          <cell r="D8" t="str">
            <v>Paramaz Avedisian Building</v>
          </cell>
        </row>
      </sheetData>
      <sheetData sheetId="2616">
        <row r="8">
          <cell r="D8" t="str">
            <v>Paramaz Avedisian Building</v>
          </cell>
        </row>
      </sheetData>
      <sheetData sheetId="2617">
        <row r="8">
          <cell r="D8" t="str">
            <v>Paramaz Avedisian Building</v>
          </cell>
        </row>
      </sheetData>
      <sheetData sheetId="2618">
        <row r="8">
          <cell r="D8" t="str">
            <v>Paramaz Avedisian Building</v>
          </cell>
        </row>
      </sheetData>
      <sheetData sheetId="2619">
        <row r="8">
          <cell r="D8" t="str">
            <v>Paramaz Avedisian Building</v>
          </cell>
        </row>
      </sheetData>
      <sheetData sheetId="2620">
        <row r="8">
          <cell r="D8" t="str">
            <v>Paramaz Avedisian Building</v>
          </cell>
        </row>
      </sheetData>
      <sheetData sheetId="2621">
        <row r="8">
          <cell r="D8" t="str">
            <v>Paramaz Avedisian Building</v>
          </cell>
        </row>
      </sheetData>
      <sheetData sheetId="2622">
        <row r="8">
          <cell r="D8" t="str">
            <v>Paramaz Avedisian Building</v>
          </cell>
        </row>
      </sheetData>
      <sheetData sheetId="2623">
        <row r="8">
          <cell r="D8" t="str">
            <v>Paramaz Avedisian Building</v>
          </cell>
        </row>
      </sheetData>
      <sheetData sheetId="2624">
        <row r="8">
          <cell r="D8" t="str">
            <v>Paramaz Avedisian Building</v>
          </cell>
        </row>
      </sheetData>
      <sheetData sheetId="2625">
        <row r="8">
          <cell r="D8" t="str">
            <v>Paramaz Avedisian Building</v>
          </cell>
        </row>
      </sheetData>
      <sheetData sheetId="2626">
        <row r="8">
          <cell r="D8" t="str">
            <v>Paramaz Avedisian Building</v>
          </cell>
        </row>
      </sheetData>
      <sheetData sheetId="2627">
        <row r="8">
          <cell r="D8" t="str">
            <v>Paramaz Avedisian Building</v>
          </cell>
        </row>
      </sheetData>
      <sheetData sheetId="2628">
        <row r="8">
          <cell r="D8" t="str">
            <v>Paramaz Avedisian Building</v>
          </cell>
        </row>
      </sheetData>
      <sheetData sheetId="2629">
        <row r="8">
          <cell r="D8" t="str">
            <v>Paramaz Avedisian Building</v>
          </cell>
        </row>
      </sheetData>
      <sheetData sheetId="2630">
        <row r="8">
          <cell r="D8" t="str">
            <v>Paramaz Avedisian Building</v>
          </cell>
        </row>
      </sheetData>
      <sheetData sheetId="2631">
        <row r="8">
          <cell r="D8" t="str">
            <v>Paramaz Avedisian Building</v>
          </cell>
        </row>
      </sheetData>
      <sheetData sheetId="2632">
        <row r="8">
          <cell r="D8" t="str">
            <v>Paramaz Avedisian Building</v>
          </cell>
        </row>
      </sheetData>
      <sheetData sheetId="2633">
        <row r="8">
          <cell r="D8" t="str">
            <v>Paramaz Avedisian Building</v>
          </cell>
        </row>
      </sheetData>
      <sheetData sheetId="2634">
        <row r="8">
          <cell r="D8" t="str">
            <v>Paramaz Avedisian Building</v>
          </cell>
        </row>
      </sheetData>
      <sheetData sheetId="2635">
        <row r="8">
          <cell r="D8" t="str">
            <v>Paramaz Avedisian Building</v>
          </cell>
        </row>
      </sheetData>
      <sheetData sheetId="2636">
        <row r="8">
          <cell r="D8" t="str">
            <v>Paramaz Avedisian Building</v>
          </cell>
        </row>
      </sheetData>
      <sheetData sheetId="2637">
        <row r="8">
          <cell r="D8" t="str">
            <v>Paramaz Avedisian Building</v>
          </cell>
        </row>
      </sheetData>
      <sheetData sheetId="2638">
        <row r="8">
          <cell r="D8" t="str">
            <v>Paramaz Avedisian Building</v>
          </cell>
        </row>
      </sheetData>
      <sheetData sheetId="2639">
        <row r="8">
          <cell r="D8" t="str">
            <v>Paramaz Avedisian Building</v>
          </cell>
        </row>
      </sheetData>
      <sheetData sheetId="2640">
        <row r="8">
          <cell r="D8" t="str">
            <v>Paramaz Avedisian Building</v>
          </cell>
        </row>
      </sheetData>
      <sheetData sheetId="2641">
        <row r="8">
          <cell r="D8" t="str">
            <v>Paramaz Avedisian Building</v>
          </cell>
        </row>
      </sheetData>
      <sheetData sheetId="2642">
        <row r="8">
          <cell r="D8" t="str">
            <v>Paramaz Avedisian Building</v>
          </cell>
        </row>
      </sheetData>
      <sheetData sheetId="2643">
        <row r="8">
          <cell r="D8" t="str">
            <v>Paramaz Avedisian Building</v>
          </cell>
        </row>
      </sheetData>
      <sheetData sheetId="2644">
        <row r="8">
          <cell r="D8" t="str">
            <v>Paramaz Avedisian Building</v>
          </cell>
        </row>
      </sheetData>
      <sheetData sheetId="2645">
        <row r="8">
          <cell r="D8" t="str">
            <v>Paramaz Avedisian Building</v>
          </cell>
        </row>
      </sheetData>
      <sheetData sheetId="2646">
        <row r="8">
          <cell r="D8" t="str">
            <v>Paramaz Avedisian Building</v>
          </cell>
        </row>
      </sheetData>
      <sheetData sheetId="2647">
        <row r="8">
          <cell r="D8" t="str">
            <v>Paramaz Avedisian Building</v>
          </cell>
        </row>
      </sheetData>
      <sheetData sheetId="2648">
        <row r="8">
          <cell r="D8" t="str">
            <v>Paramaz Avedisian Building</v>
          </cell>
        </row>
      </sheetData>
      <sheetData sheetId="2649">
        <row r="8">
          <cell r="D8" t="str">
            <v>Paramaz Avedisian Building</v>
          </cell>
        </row>
      </sheetData>
      <sheetData sheetId="2650">
        <row r="8">
          <cell r="D8" t="str">
            <v>Paramaz Avedisian Building</v>
          </cell>
        </row>
      </sheetData>
      <sheetData sheetId="2651">
        <row r="8">
          <cell r="D8" t="str">
            <v>Paramaz Avedisian Building</v>
          </cell>
        </row>
      </sheetData>
      <sheetData sheetId="2652">
        <row r="8">
          <cell r="D8" t="str">
            <v>Paramaz Avedisian Building</v>
          </cell>
        </row>
      </sheetData>
      <sheetData sheetId="2653">
        <row r="8">
          <cell r="D8" t="str">
            <v>Paramaz Avedisian Building</v>
          </cell>
        </row>
      </sheetData>
      <sheetData sheetId="2654">
        <row r="8">
          <cell r="D8" t="str">
            <v>Paramaz Avedisian Building</v>
          </cell>
        </row>
      </sheetData>
      <sheetData sheetId="2655">
        <row r="8">
          <cell r="D8" t="str">
            <v>Paramaz Avedisian Building</v>
          </cell>
        </row>
      </sheetData>
      <sheetData sheetId="2656">
        <row r="8">
          <cell r="D8" t="str">
            <v>Paramaz Avedisian Building</v>
          </cell>
        </row>
      </sheetData>
      <sheetData sheetId="2657">
        <row r="8">
          <cell r="D8" t="str">
            <v>Paramaz Avedisian Building</v>
          </cell>
        </row>
      </sheetData>
      <sheetData sheetId="2658">
        <row r="8">
          <cell r="D8" t="str">
            <v>Paramaz Avedisian Building</v>
          </cell>
        </row>
      </sheetData>
      <sheetData sheetId="2659">
        <row r="8">
          <cell r="D8" t="str">
            <v>Paramaz Avedisian Building</v>
          </cell>
        </row>
      </sheetData>
      <sheetData sheetId="2660">
        <row r="8">
          <cell r="D8" t="str">
            <v>Paramaz Avedisian Building</v>
          </cell>
        </row>
      </sheetData>
      <sheetData sheetId="2661">
        <row r="8">
          <cell r="D8" t="str">
            <v>Paramaz Avedisian Building</v>
          </cell>
        </row>
      </sheetData>
      <sheetData sheetId="2662">
        <row r="8">
          <cell r="D8" t="str">
            <v>Paramaz Avedisian Building</v>
          </cell>
        </row>
      </sheetData>
      <sheetData sheetId="2663">
        <row r="8">
          <cell r="D8" t="str">
            <v>Paramaz Avedisian Building</v>
          </cell>
        </row>
      </sheetData>
      <sheetData sheetId="2664">
        <row r="8">
          <cell r="D8" t="str">
            <v>Paramaz Avedisian Building</v>
          </cell>
        </row>
      </sheetData>
      <sheetData sheetId="2665">
        <row r="8">
          <cell r="D8" t="str">
            <v>Paramaz Avedisian Building</v>
          </cell>
        </row>
      </sheetData>
      <sheetData sheetId="2666">
        <row r="8">
          <cell r="D8" t="str">
            <v>Paramaz Avedisian Building</v>
          </cell>
        </row>
      </sheetData>
      <sheetData sheetId="2667">
        <row r="8">
          <cell r="D8" t="str">
            <v>Paramaz Avedisian Building</v>
          </cell>
        </row>
      </sheetData>
      <sheetData sheetId="2668">
        <row r="8">
          <cell r="D8" t="str">
            <v>Paramaz Avedisian Building</v>
          </cell>
        </row>
      </sheetData>
      <sheetData sheetId="2669">
        <row r="8">
          <cell r="D8" t="str">
            <v>Paramaz Avedisian Building</v>
          </cell>
        </row>
      </sheetData>
      <sheetData sheetId="2670">
        <row r="8">
          <cell r="D8" t="str">
            <v>Paramaz Avedisian Building</v>
          </cell>
        </row>
      </sheetData>
      <sheetData sheetId="2671">
        <row r="8">
          <cell r="D8" t="str">
            <v>Paramaz Avedisian Building</v>
          </cell>
        </row>
      </sheetData>
      <sheetData sheetId="2672">
        <row r="8">
          <cell r="D8" t="str">
            <v>Paramaz Avedisian Building</v>
          </cell>
        </row>
      </sheetData>
      <sheetData sheetId="2673">
        <row r="8">
          <cell r="D8" t="str">
            <v>Paramaz Avedisian Building</v>
          </cell>
        </row>
      </sheetData>
      <sheetData sheetId="2674">
        <row r="8">
          <cell r="D8" t="str">
            <v>Paramaz Avedisian Building</v>
          </cell>
        </row>
      </sheetData>
      <sheetData sheetId="2675">
        <row r="8">
          <cell r="D8" t="str">
            <v>Paramaz Avedisian Building</v>
          </cell>
        </row>
      </sheetData>
      <sheetData sheetId="2676">
        <row r="8">
          <cell r="D8" t="str">
            <v>Paramaz Avedisian Building</v>
          </cell>
        </row>
      </sheetData>
      <sheetData sheetId="2677">
        <row r="8">
          <cell r="D8" t="str">
            <v>Paramaz Avedisian Building</v>
          </cell>
        </row>
      </sheetData>
      <sheetData sheetId="2678">
        <row r="8">
          <cell r="D8" t="str">
            <v>Paramaz Avedisian Building</v>
          </cell>
        </row>
      </sheetData>
      <sheetData sheetId="2679">
        <row r="8">
          <cell r="D8" t="str">
            <v>Paramaz Avedisian Building</v>
          </cell>
        </row>
      </sheetData>
      <sheetData sheetId="2680">
        <row r="8">
          <cell r="D8" t="str">
            <v>Paramaz Avedisian Building</v>
          </cell>
        </row>
      </sheetData>
      <sheetData sheetId="2681">
        <row r="8">
          <cell r="D8" t="str">
            <v>Paramaz Avedisian Building</v>
          </cell>
        </row>
      </sheetData>
      <sheetData sheetId="2682">
        <row r="8">
          <cell r="D8" t="str">
            <v>Paramaz Avedisian Building</v>
          </cell>
        </row>
      </sheetData>
      <sheetData sheetId="2683">
        <row r="8">
          <cell r="D8" t="str">
            <v>Paramaz Avedisian Building</v>
          </cell>
        </row>
      </sheetData>
      <sheetData sheetId="2684">
        <row r="8">
          <cell r="D8" t="str">
            <v>Paramaz Avedisian Building</v>
          </cell>
        </row>
      </sheetData>
      <sheetData sheetId="2685">
        <row r="8">
          <cell r="D8" t="str">
            <v>Paramaz Avedisian Building</v>
          </cell>
        </row>
      </sheetData>
      <sheetData sheetId="2686">
        <row r="8">
          <cell r="D8" t="str">
            <v>Paramaz Avedisian Building</v>
          </cell>
        </row>
      </sheetData>
      <sheetData sheetId="2687">
        <row r="8">
          <cell r="D8" t="str">
            <v>Paramaz Avedisian Building</v>
          </cell>
        </row>
      </sheetData>
      <sheetData sheetId="2688">
        <row r="8">
          <cell r="D8" t="str">
            <v>Paramaz Avedisian Building</v>
          </cell>
        </row>
      </sheetData>
      <sheetData sheetId="2689">
        <row r="8">
          <cell r="D8" t="str">
            <v>Paramaz Avedisian Building</v>
          </cell>
        </row>
      </sheetData>
      <sheetData sheetId="2690">
        <row r="8">
          <cell r="D8" t="str">
            <v>Paramaz Avedisian Building</v>
          </cell>
        </row>
      </sheetData>
      <sheetData sheetId="2691">
        <row r="8">
          <cell r="D8" t="str">
            <v>Paramaz Avedisian Building</v>
          </cell>
        </row>
      </sheetData>
      <sheetData sheetId="2692">
        <row r="8">
          <cell r="D8" t="str">
            <v>Paramaz Avedisian Building</v>
          </cell>
        </row>
      </sheetData>
      <sheetData sheetId="2693">
        <row r="8">
          <cell r="D8" t="str">
            <v>Paramaz Avedisian Building</v>
          </cell>
        </row>
      </sheetData>
      <sheetData sheetId="2694">
        <row r="8">
          <cell r="D8" t="str">
            <v>Paramaz Avedisian Building</v>
          </cell>
        </row>
      </sheetData>
      <sheetData sheetId="2695">
        <row r="8">
          <cell r="D8" t="str">
            <v>Paramaz Avedisian Building</v>
          </cell>
        </row>
      </sheetData>
      <sheetData sheetId="2696">
        <row r="8">
          <cell r="D8" t="str">
            <v>Paramaz Avedisian Building</v>
          </cell>
        </row>
      </sheetData>
      <sheetData sheetId="2697">
        <row r="8">
          <cell r="D8" t="str">
            <v>Paramaz Avedisian Building</v>
          </cell>
        </row>
      </sheetData>
      <sheetData sheetId="2698">
        <row r="8">
          <cell r="D8" t="str">
            <v>Paramaz Avedisian Building</v>
          </cell>
        </row>
      </sheetData>
      <sheetData sheetId="2699">
        <row r="8">
          <cell r="D8" t="str">
            <v>Paramaz Avedisian Building</v>
          </cell>
        </row>
      </sheetData>
      <sheetData sheetId="2700">
        <row r="8">
          <cell r="D8" t="str">
            <v>Paramaz Avedisian Building</v>
          </cell>
        </row>
      </sheetData>
      <sheetData sheetId="2701">
        <row r="8">
          <cell r="D8" t="str">
            <v>Paramaz Avedisian Building</v>
          </cell>
        </row>
      </sheetData>
      <sheetData sheetId="2702">
        <row r="8">
          <cell r="D8" t="str">
            <v>Paramaz Avedisian Building</v>
          </cell>
        </row>
      </sheetData>
      <sheetData sheetId="2703">
        <row r="8">
          <cell r="D8" t="str">
            <v>Paramaz Avedisian Building</v>
          </cell>
        </row>
      </sheetData>
      <sheetData sheetId="2704">
        <row r="8">
          <cell r="D8" t="str">
            <v>Paramaz Avedisian Building</v>
          </cell>
        </row>
      </sheetData>
      <sheetData sheetId="2705">
        <row r="8">
          <cell r="D8" t="str">
            <v>Paramaz Avedisian Building</v>
          </cell>
        </row>
      </sheetData>
      <sheetData sheetId="2706">
        <row r="8">
          <cell r="D8" t="str">
            <v>Paramaz Avedisian Building</v>
          </cell>
        </row>
      </sheetData>
      <sheetData sheetId="2707">
        <row r="8">
          <cell r="D8" t="str">
            <v>Paramaz Avedisian Building</v>
          </cell>
        </row>
      </sheetData>
      <sheetData sheetId="2708">
        <row r="8">
          <cell r="D8" t="str">
            <v>Paramaz Avedisian Building</v>
          </cell>
        </row>
      </sheetData>
      <sheetData sheetId="2709">
        <row r="8">
          <cell r="D8" t="str">
            <v>Paramaz Avedisian Building</v>
          </cell>
        </row>
      </sheetData>
      <sheetData sheetId="2710">
        <row r="8">
          <cell r="D8" t="str">
            <v>Paramaz Avedisian Building</v>
          </cell>
        </row>
      </sheetData>
      <sheetData sheetId="2711">
        <row r="8">
          <cell r="D8" t="str">
            <v>Paramaz Avedisian Building</v>
          </cell>
        </row>
      </sheetData>
      <sheetData sheetId="2712">
        <row r="8">
          <cell r="D8" t="str">
            <v>Paramaz Avedisian Building</v>
          </cell>
        </row>
      </sheetData>
      <sheetData sheetId="2713">
        <row r="8">
          <cell r="D8" t="str">
            <v>Paramaz Avedisian Building</v>
          </cell>
        </row>
      </sheetData>
      <sheetData sheetId="2714">
        <row r="8">
          <cell r="D8" t="str">
            <v>Paramaz Avedisian Building</v>
          </cell>
        </row>
      </sheetData>
      <sheetData sheetId="2715">
        <row r="8">
          <cell r="D8" t="str">
            <v>Paramaz Avedisian Building</v>
          </cell>
        </row>
      </sheetData>
      <sheetData sheetId="2716">
        <row r="8">
          <cell r="D8" t="str">
            <v>Paramaz Avedisian Building</v>
          </cell>
        </row>
      </sheetData>
      <sheetData sheetId="2717">
        <row r="8">
          <cell r="D8" t="str">
            <v>Paramaz Avedisian Building</v>
          </cell>
        </row>
      </sheetData>
      <sheetData sheetId="2718">
        <row r="8">
          <cell r="D8" t="str">
            <v>Paramaz Avedisian Building</v>
          </cell>
        </row>
      </sheetData>
      <sheetData sheetId="2719">
        <row r="8">
          <cell r="D8" t="str">
            <v>Paramaz Avedisian Building</v>
          </cell>
        </row>
      </sheetData>
      <sheetData sheetId="2720">
        <row r="8">
          <cell r="D8" t="str">
            <v>Paramaz Avedisian Building</v>
          </cell>
        </row>
      </sheetData>
      <sheetData sheetId="2721">
        <row r="8">
          <cell r="D8" t="str">
            <v>Paramaz Avedisian Building</v>
          </cell>
        </row>
      </sheetData>
      <sheetData sheetId="2722">
        <row r="8">
          <cell r="D8" t="str">
            <v>Paramaz Avedisian Building</v>
          </cell>
        </row>
      </sheetData>
      <sheetData sheetId="2723">
        <row r="8">
          <cell r="D8" t="str">
            <v>Paramaz Avedisian Building</v>
          </cell>
        </row>
      </sheetData>
      <sheetData sheetId="2724">
        <row r="8">
          <cell r="D8" t="str">
            <v>Paramaz Avedisian Building</v>
          </cell>
        </row>
      </sheetData>
      <sheetData sheetId="2725">
        <row r="8">
          <cell r="D8" t="str">
            <v>Paramaz Avedisian Building</v>
          </cell>
        </row>
      </sheetData>
      <sheetData sheetId="2726">
        <row r="8">
          <cell r="D8" t="str">
            <v>Paramaz Avedisian Building</v>
          </cell>
        </row>
      </sheetData>
      <sheetData sheetId="2727">
        <row r="8">
          <cell r="D8" t="str">
            <v>Paramaz Avedisian Building</v>
          </cell>
        </row>
      </sheetData>
      <sheetData sheetId="2728">
        <row r="8">
          <cell r="D8" t="str">
            <v>Paramaz Avedisian Building</v>
          </cell>
        </row>
      </sheetData>
      <sheetData sheetId="2729">
        <row r="8">
          <cell r="D8" t="str">
            <v>Paramaz Avedisian Building</v>
          </cell>
        </row>
      </sheetData>
      <sheetData sheetId="2730">
        <row r="8">
          <cell r="D8" t="str">
            <v>Paramaz Avedisian Building</v>
          </cell>
        </row>
      </sheetData>
      <sheetData sheetId="2731">
        <row r="8">
          <cell r="D8" t="str">
            <v>Paramaz Avedisian Building</v>
          </cell>
        </row>
      </sheetData>
      <sheetData sheetId="2732">
        <row r="8">
          <cell r="D8" t="str">
            <v>Paramaz Avedisian Building</v>
          </cell>
        </row>
      </sheetData>
      <sheetData sheetId="2733">
        <row r="8">
          <cell r="D8" t="str">
            <v>Paramaz Avedisian Building</v>
          </cell>
        </row>
      </sheetData>
      <sheetData sheetId="2734">
        <row r="8">
          <cell r="D8" t="str">
            <v>Paramaz Avedisian Building</v>
          </cell>
        </row>
      </sheetData>
      <sheetData sheetId="2735">
        <row r="8">
          <cell r="D8" t="str">
            <v>Paramaz Avedisian Building</v>
          </cell>
        </row>
      </sheetData>
      <sheetData sheetId="2736">
        <row r="8">
          <cell r="D8" t="str">
            <v>Paramaz Avedisian Building</v>
          </cell>
        </row>
      </sheetData>
      <sheetData sheetId="2737">
        <row r="8">
          <cell r="D8" t="str">
            <v>Paramaz Avedisian Building</v>
          </cell>
        </row>
      </sheetData>
      <sheetData sheetId="2738">
        <row r="8">
          <cell r="D8" t="str">
            <v>Paramaz Avedisian Building</v>
          </cell>
        </row>
      </sheetData>
      <sheetData sheetId="2739">
        <row r="8">
          <cell r="D8" t="str">
            <v>Paramaz Avedisian Building</v>
          </cell>
        </row>
      </sheetData>
      <sheetData sheetId="2740">
        <row r="8">
          <cell r="D8" t="str">
            <v>Paramaz Avedisian Building</v>
          </cell>
        </row>
      </sheetData>
      <sheetData sheetId="2741">
        <row r="8">
          <cell r="D8" t="str">
            <v>Paramaz Avedisian Building</v>
          </cell>
        </row>
      </sheetData>
      <sheetData sheetId="2742">
        <row r="8">
          <cell r="D8" t="str">
            <v>Paramaz Avedisian Building</v>
          </cell>
        </row>
      </sheetData>
      <sheetData sheetId="2743">
        <row r="8">
          <cell r="D8" t="str">
            <v>Paramaz Avedisian Building</v>
          </cell>
        </row>
      </sheetData>
      <sheetData sheetId="2744">
        <row r="8">
          <cell r="D8" t="str">
            <v>Paramaz Avedisian Building</v>
          </cell>
        </row>
      </sheetData>
      <sheetData sheetId="2745">
        <row r="8">
          <cell r="D8" t="str">
            <v>Paramaz Avedisian Building</v>
          </cell>
        </row>
      </sheetData>
      <sheetData sheetId="2746">
        <row r="8">
          <cell r="D8" t="str">
            <v>Paramaz Avedisian Building</v>
          </cell>
        </row>
      </sheetData>
      <sheetData sheetId="2747">
        <row r="8">
          <cell r="D8" t="str">
            <v>Paramaz Avedisian Building</v>
          </cell>
        </row>
      </sheetData>
      <sheetData sheetId="2748">
        <row r="8">
          <cell r="D8" t="str">
            <v>Paramaz Avedisian Building</v>
          </cell>
        </row>
      </sheetData>
      <sheetData sheetId="2749">
        <row r="8">
          <cell r="D8" t="str">
            <v>Paramaz Avedisian Building</v>
          </cell>
        </row>
      </sheetData>
      <sheetData sheetId="2750">
        <row r="8">
          <cell r="D8" t="str">
            <v>Paramaz Avedisian Building</v>
          </cell>
        </row>
      </sheetData>
      <sheetData sheetId="2751">
        <row r="8">
          <cell r="D8" t="str">
            <v>Paramaz Avedisian Building</v>
          </cell>
        </row>
      </sheetData>
      <sheetData sheetId="2752">
        <row r="8">
          <cell r="D8" t="str">
            <v>Paramaz Avedisian Building</v>
          </cell>
        </row>
      </sheetData>
      <sheetData sheetId="2753">
        <row r="8">
          <cell r="D8" t="str">
            <v>Paramaz Avedisian Building</v>
          </cell>
        </row>
      </sheetData>
      <sheetData sheetId="2754">
        <row r="8">
          <cell r="D8" t="str">
            <v>Paramaz Avedisian Building</v>
          </cell>
        </row>
      </sheetData>
      <sheetData sheetId="2755">
        <row r="8">
          <cell r="D8" t="str">
            <v>Paramaz Avedisian Building</v>
          </cell>
        </row>
      </sheetData>
      <sheetData sheetId="2756">
        <row r="8">
          <cell r="D8" t="str">
            <v>Paramaz Avedisian Building</v>
          </cell>
        </row>
      </sheetData>
      <sheetData sheetId="2757">
        <row r="8">
          <cell r="D8" t="str">
            <v>Paramaz Avedisian Building</v>
          </cell>
        </row>
      </sheetData>
      <sheetData sheetId="2758">
        <row r="8">
          <cell r="D8" t="str">
            <v>Paramaz Avedisian Building</v>
          </cell>
        </row>
      </sheetData>
      <sheetData sheetId="2759">
        <row r="8">
          <cell r="D8" t="str">
            <v>Paramaz Avedisian Building</v>
          </cell>
        </row>
      </sheetData>
      <sheetData sheetId="2760">
        <row r="8">
          <cell r="D8" t="str">
            <v>Paramaz Avedisian Building</v>
          </cell>
        </row>
      </sheetData>
      <sheetData sheetId="2761">
        <row r="8">
          <cell r="D8" t="str">
            <v>Paramaz Avedisian Building</v>
          </cell>
        </row>
      </sheetData>
      <sheetData sheetId="2762">
        <row r="8">
          <cell r="D8" t="str">
            <v>Paramaz Avedisian Building</v>
          </cell>
        </row>
      </sheetData>
      <sheetData sheetId="2763">
        <row r="8">
          <cell r="D8" t="str">
            <v>Paramaz Avedisian Building</v>
          </cell>
        </row>
      </sheetData>
      <sheetData sheetId="2764">
        <row r="8">
          <cell r="D8" t="str">
            <v>Paramaz Avedisian Building</v>
          </cell>
        </row>
      </sheetData>
      <sheetData sheetId="2765">
        <row r="8">
          <cell r="D8" t="str">
            <v>Paramaz Avedisian Building</v>
          </cell>
        </row>
      </sheetData>
      <sheetData sheetId="2766">
        <row r="8">
          <cell r="D8" t="str">
            <v>Paramaz Avedisian Building</v>
          </cell>
        </row>
      </sheetData>
      <sheetData sheetId="2767">
        <row r="8">
          <cell r="D8" t="str">
            <v>Paramaz Avedisian Building</v>
          </cell>
        </row>
      </sheetData>
      <sheetData sheetId="2768">
        <row r="8">
          <cell r="D8" t="str">
            <v>Paramaz Avedisian Building</v>
          </cell>
        </row>
      </sheetData>
      <sheetData sheetId="2769">
        <row r="8">
          <cell r="D8" t="str">
            <v>Paramaz Avedisian Building</v>
          </cell>
        </row>
      </sheetData>
      <sheetData sheetId="2770">
        <row r="8">
          <cell r="D8" t="str">
            <v>Paramaz Avedisian Building</v>
          </cell>
        </row>
      </sheetData>
      <sheetData sheetId="2771">
        <row r="8">
          <cell r="D8" t="str">
            <v>Paramaz Avedisian Building</v>
          </cell>
        </row>
      </sheetData>
      <sheetData sheetId="2772">
        <row r="8">
          <cell r="D8" t="str">
            <v>Paramaz Avedisian Building</v>
          </cell>
        </row>
      </sheetData>
      <sheetData sheetId="2773">
        <row r="8">
          <cell r="D8" t="str">
            <v>Paramaz Avedisian Building</v>
          </cell>
        </row>
      </sheetData>
      <sheetData sheetId="2774">
        <row r="8">
          <cell r="D8" t="str">
            <v>Paramaz Avedisian Building</v>
          </cell>
        </row>
      </sheetData>
      <sheetData sheetId="2775">
        <row r="8">
          <cell r="D8" t="str">
            <v>Paramaz Avedisian Building</v>
          </cell>
        </row>
      </sheetData>
      <sheetData sheetId="2776">
        <row r="8">
          <cell r="D8" t="str">
            <v>Paramaz Avedisian Building</v>
          </cell>
        </row>
      </sheetData>
      <sheetData sheetId="2777">
        <row r="8">
          <cell r="D8" t="str">
            <v>Paramaz Avedisian Building</v>
          </cell>
        </row>
      </sheetData>
      <sheetData sheetId="2778">
        <row r="8">
          <cell r="D8" t="str">
            <v>Paramaz Avedisian Building</v>
          </cell>
        </row>
      </sheetData>
      <sheetData sheetId="2779">
        <row r="8">
          <cell r="D8" t="str">
            <v>Paramaz Avedisian Building</v>
          </cell>
        </row>
      </sheetData>
      <sheetData sheetId="2780">
        <row r="8">
          <cell r="D8" t="str">
            <v>Paramaz Avedisian Building</v>
          </cell>
        </row>
      </sheetData>
      <sheetData sheetId="2781">
        <row r="8">
          <cell r="D8" t="str">
            <v>Paramaz Avedisian Building</v>
          </cell>
        </row>
      </sheetData>
      <sheetData sheetId="2782">
        <row r="8">
          <cell r="D8" t="str">
            <v>Paramaz Avedisian Building</v>
          </cell>
        </row>
      </sheetData>
      <sheetData sheetId="2783">
        <row r="8">
          <cell r="D8" t="str">
            <v>Paramaz Avedisian Building</v>
          </cell>
        </row>
      </sheetData>
      <sheetData sheetId="2784">
        <row r="8">
          <cell r="D8" t="str">
            <v>Paramaz Avedisian Building</v>
          </cell>
        </row>
      </sheetData>
      <sheetData sheetId="2785">
        <row r="8">
          <cell r="D8" t="str">
            <v>Paramaz Avedisian Building</v>
          </cell>
        </row>
      </sheetData>
      <sheetData sheetId="2786">
        <row r="8">
          <cell r="D8" t="str">
            <v>Paramaz Avedisian Building</v>
          </cell>
        </row>
      </sheetData>
      <sheetData sheetId="2787">
        <row r="8">
          <cell r="D8" t="str">
            <v>Paramaz Avedisian Building</v>
          </cell>
        </row>
      </sheetData>
      <sheetData sheetId="2788">
        <row r="8">
          <cell r="D8" t="str">
            <v>Paramaz Avedisian Building</v>
          </cell>
        </row>
      </sheetData>
      <sheetData sheetId="2789">
        <row r="8">
          <cell r="D8" t="str">
            <v>Paramaz Avedisian Building</v>
          </cell>
        </row>
      </sheetData>
      <sheetData sheetId="2790">
        <row r="8">
          <cell r="D8" t="str">
            <v>Paramaz Avedisian Building</v>
          </cell>
        </row>
      </sheetData>
      <sheetData sheetId="2791">
        <row r="8">
          <cell r="D8" t="str">
            <v>Paramaz Avedisian Building</v>
          </cell>
        </row>
      </sheetData>
      <sheetData sheetId="2792">
        <row r="8">
          <cell r="D8" t="str">
            <v>Paramaz Avedisian Building</v>
          </cell>
        </row>
      </sheetData>
      <sheetData sheetId="2793">
        <row r="8">
          <cell r="D8" t="str">
            <v>Paramaz Avedisian Building</v>
          </cell>
        </row>
      </sheetData>
      <sheetData sheetId="2794">
        <row r="8">
          <cell r="D8" t="str">
            <v>Paramaz Avedisian Building</v>
          </cell>
        </row>
      </sheetData>
      <sheetData sheetId="2795">
        <row r="8">
          <cell r="D8" t="str">
            <v>Paramaz Avedisian Building</v>
          </cell>
        </row>
      </sheetData>
      <sheetData sheetId="2796">
        <row r="8">
          <cell r="D8" t="str">
            <v>Paramaz Avedisian Building</v>
          </cell>
        </row>
      </sheetData>
      <sheetData sheetId="2797">
        <row r="8">
          <cell r="D8" t="str">
            <v>Paramaz Avedisian Building</v>
          </cell>
        </row>
      </sheetData>
      <sheetData sheetId="2798">
        <row r="8">
          <cell r="D8" t="str">
            <v>Paramaz Avedisian Building</v>
          </cell>
        </row>
      </sheetData>
      <sheetData sheetId="2799">
        <row r="8">
          <cell r="D8" t="str">
            <v>Paramaz Avedisian Building</v>
          </cell>
        </row>
      </sheetData>
      <sheetData sheetId="2800">
        <row r="8">
          <cell r="D8" t="str">
            <v>Paramaz Avedisian Building</v>
          </cell>
        </row>
      </sheetData>
      <sheetData sheetId="2801">
        <row r="8">
          <cell r="D8" t="str">
            <v>Paramaz Avedisian Building</v>
          </cell>
        </row>
      </sheetData>
      <sheetData sheetId="2802">
        <row r="8">
          <cell r="D8" t="str">
            <v>Paramaz Avedisian Building</v>
          </cell>
        </row>
      </sheetData>
      <sheetData sheetId="2803">
        <row r="8">
          <cell r="D8" t="str">
            <v>Paramaz Avedisian Building</v>
          </cell>
        </row>
      </sheetData>
      <sheetData sheetId="2804">
        <row r="8">
          <cell r="D8" t="str">
            <v>Paramaz Avedisian Building</v>
          </cell>
        </row>
      </sheetData>
      <sheetData sheetId="2805">
        <row r="8">
          <cell r="D8" t="str">
            <v>Paramaz Avedisian Building</v>
          </cell>
        </row>
      </sheetData>
      <sheetData sheetId="2806">
        <row r="8">
          <cell r="D8" t="str">
            <v>Paramaz Avedisian Building</v>
          </cell>
        </row>
      </sheetData>
      <sheetData sheetId="2807">
        <row r="8">
          <cell r="D8" t="str">
            <v>Paramaz Avedisian Building</v>
          </cell>
        </row>
      </sheetData>
      <sheetData sheetId="2808">
        <row r="8">
          <cell r="D8" t="str">
            <v>Paramaz Avedisian Building</v>
          </cell>
        </row>
      </sheetData>
      <sheetData sheetId="2809">
        <row r="8">
          <cell r="D8" t="str">
            <v>Paramaz Avedisian Building</v>
          </cell>
        </row>
      </sheetData>
      <sheetData sheetId="2810">
        <row r="8">
          <cell r="D8" t="str">
            <v>Paramaz Avedisian Building</v>
          </cell>
        </row>
      </sheetData>
      <sheetData sheetId="2811">
        <row r="8">
          <cell r="D8" t="str">
            <v>Paramaz Avedisian Building</v>
          </cell>
        </row>
      </sheetData>
      <sheetData sheetId="2812"/>
      <sheetData sheetId="2813">
        <row r="8">
          <cell r="D8" t="str">
            <v>Paramaz Avedisian Building</v>
          </cell>
        </row>
      </sheetData>
      <sheetData sheetId="2814">
        <row r="8">
          <cell r="D8" t="str">
            <v>Paramaz Avedisian Building</v>
          </cell>
        </row>
      </sheetData>
      <sheetData sheetId="2815">
        <row r="8">
          <cell r="D8" t="str">
            <v>Paramaz Avedisian Building</v>
          </cell>
        </row>
      </sheetData>
      <sheetData sheetId="2816">
        <row r="8">
          <cell r="D8" t="str">
            <v>Paramaz Avedisian Building</v>
          </cell>
        </row>
      </sheetData>
      <sheetData sheetId="2817">
        <row r="8">
          <cell r="D8" t="str">
            <v>Paramaz Avedisian Building</v>
          </cell>
        </row>
      </sheetData>
      <sheetData sheetId="2818">
        <row r="8">
          <cell r="D8" t="str">
            <v>Paramaz Avedisian Building</v>
          </cell>
        </row>
      </sheetData>
      <sheetData sheetId="2819">
        <row r="8">
          <cell r="D8" t="str">
            <v>Paramaz Avedisian Building</v>
          </cell>
        </row>
      </sheetData>
      <sheetData sheetId="2820">
        <row r="8">
          <cell r="D8" t="str">
            <v>Paramaz Avedisian Building</v>
          </cell>
        </row>
      </sheetData>
      <sheetData sheetId="2821">
        <row r="8">
          <cell r="D8" t="str">
            <v>Paramaz Avedisian Building</v>
          </cell>
        </row>
      </sheetData>
      <sheetData sheetId="2822">
        <row r="8">
          <cell r="D8" t="str">
            <v>Paramaz Avedisian Building</v>
          </cell>
        </row>
      </sheetData>
      <sheetData sheetId="2823">
        <row r="8">
          <cell r="D8" t="str">
            <v>Paramaz Avedisian Building</v>
          </cell>
        </row>
      </sheetData>
      <sheetData sheetId="2824">
        <row r="8">
          <cell r="D8" t="str">
            <v>Paramaz Avedisian Building</v>
          </cell>
        </row>
      </sheetData>
      <sheetData sheetId="2825">
        <row r="8">
          <cell r="D8" t="str">
            <v>Paramaz Avedisian Building</v>
          </cell>
        </row>
      </sheetData>
      <sheetData sheetId="2826">
        <row r="8">
          <cell r="D8" t="str">
            <v>Paramaz Avedisian Building</v>
          </cell>
        </row>
      </sheetData>
      <sheetData sheetId="2827">
        <row r="8">
          <cell r="D8" t="str">
            <v>Paramaz Avedisian Building</v>
          </cell>
        </row>
      </sheetData>
      <sheetData sheetId="2828">
        <row r="8">
          <cell r="D8" t="str">
            <v>Paramaz Avedisian Building</v>
          </cell>
        </row>
      </sheetData>
      <sheetData sheetId="2829">
        <row r="8">
          <cell r="D8" t="str">
            <v>Paramaz Avedisian Building</v>
          </cell>
        </row>
      </sheetData>
      <sheetData sheetId="2830">
        <row r="8">
          <cell r="D8" t="str">
            <v>Paramaz Avedisian Building</v>
          </cell>
        </row>
      </sheetData>
      <sheetData sheetId="2831">
        <row r="8">
          <cell r="D8" t="str">
            <v>Paramaz Avedisian Building</v>
          </cell>
        </row>
      </sheetData>
      <sheetData sheetId="2832">
        <row r="8">
          <cell r="D8" t="str">
            <v>Paramaz Avedisian Building</v>
          </cell>
        </row>
      </sheetData>
      <sheetData sheetId="2833">
        <row r="8">
          <cell r="D8" t="str">
            <v>Paramaz Avedisian Building</v>
          </cell>
        </row>
      </sheetData>
      <sheetData sheetId="2834">
        <row r="8">
          <cell r="D8" t="str">
            <v>Paramaz Avedisian Building</v>
          </cell>
        </row>
      </sheetData>
      <sheetData sheetId="2835">
        <row r="8">
          <cell r="D8" t="str">
            <v>Paramaz Avedisian Building</v>
          </cell>
        </row>
      </sheetData>
      <sheetData sheetId="2836">
        <row r="8">
          <cell r="D8" t="str">
            <v>Paramaz Avedisian Building</v>
          </cell>
        </row>
      </sheetData>
      <sheetData sheetId="2837">
        <row r="8">
          <cell r="D8" t="str">
            <v>Paramaz Avedisian Building</v>
          </cell>
        </row>
      </sheetData>
      <sheetData sheetId="2838">
        <row r="8">
          <cell r="D8" t="str">
            <v>Paramaz Avedisian Building</v>
          </cell>
        </row>
      </sheetData>
      <sheetData sheetId="2839">
        <row r="8">
          <cell r="D8" t="str">
            <v>Paramaz Avedisian Building</v>
          </cell>
        </row>
      </sheetData>
      <sheetData sheetId="2840">
        <row r="8">
          <cell r="D8" t="str">
            <v>Paramaz Avedisian Building</v>
          </cell>
        </row>
      </sheetData>
      <sheetData sheetId="2841">
        <row r="8">
          <cell r="D8" t="str">
            <v>Paramaz Avedisian Building</v>
          </cell>
        </row>
      </sheetData>
      <sheetData sheetId="2842">
        <row r="8">
          <cell r="D8" t="str">
            <v>Paramaz Avedisian Building</v>
          </cell>
        </row>
      </sheetData>
      <sheetData sheetId="2843">
        <row r="8">
          <cell r="D8" t="str">
            <v>Paramaz Avedisian Building</v>
          </cell>
        </row>
      </sheetData>
      <sheetData sheetId="2844">
        <row r="8">
          <cell r="D8" t="str">
            <v>Paramaz Avedisian Building</v>
          </cell>
        </row>
      </sheetData>
      <sheetData sheetId="2845">
        <row r="8">
          <cell r="D8" t="str">
            <v>Paramaz Avedisian Building</v>
          </cell>
        </row>
      </sheetData>
      <sheetData sheetId="2846">
        <row r="8">
          <cell r="D8" t="str">
            <v>Paramaz Avedisian Building</v>
          </cell>
        </row>
      </sheetData>
      <sheetData sheetId="2847">
        <row r="8">
          <cell r="D8" t="str">
            <v>Paramaz Avedisian Building</v>
          </cell>
        </row>
      </sheetData>
      <sheetData sheetId="2848">
        <row r="8">
          <cell r="D8" t="str">
            <v>Paramaz Avedisian Building</v>
          </cell>
        </row>
      </sheetData>
      <sheetData sheetId="2849">
        <row r="8">
          <cell r="D8" t="str">
            <v>Paramaz Avedisian Building</v>
          </cell>
        </row>
      </sheetData>
      <sheetData sheetId="2850">
        <row r="8">
          <cell r="D8" t="str">
            <v>Paramaz Avedisian Building</v>
          </cell>
        </row>
      </sheetData>
      <sheetData sheetId="2851">
        <row r="8">
          <cell r="D8" t="str">
            <v>Paramaz Avedisian Building</v>
          </cell>
        </row>
      </sheetData>
      <sheetData sheetId="2852">
        <row r="8">
          <cell r="D8" t="str">
            <v>Paramaz Avedisian Building</v>
          </cell>
        </row>
      </sheetData>
      <sheetData sheetId="2853">
        <row r="8">
          <cell r="D8" t="str">
            <v>Paramaz Avedisian Building</v>
          </cell>
        </row>
      </sheetData>
      <sheetData sheetId="2854">
        <row r="8">
          <cell r="D8" t="str">
            <v>Paramaz Avedisian Building</v>
          </cell>
        </row>
      </sheetData>
      <sheetData sheetId="2855">
        <row r="8">
          <cell r="D8" t="str">
            <v>Paramaz Avedisian Building</v>
          </cell>
        </row>
      </sheetData>
      <sheetData sheetId="2856">
        <row r="8">
          <cell r="D8" t="str">
            <v>Paramaz Avedisian Building</v>
          </cell>
        </row>
      </sheetData>
      <sheetData sheetId="2857">
        <row r="8">
          <cell r="D8" t="str">
            <v>Paramaz Avedisian Building</v>
          </cell>
        </row>
      </sheetData>
      <sheetData sheetId="2858">
        <row r="8">
          <cell r="D8" t="str">
            <v>Paramaz Avedisian Building</v>
          </cell>
        </row>
      </sheetData>
      <sheetData sheetId="2859">
        <row r="8">
          <cell r="D8" t="str">
            <v>Paramaz Avedisian Building</v>
          </cell>
        </row>
      </sheetData>
      <sheetData sheetId="2860">
        <row r="8">
          <cell r="D8" t="str">
            <v>Paramaz Avedisian Building</v>
          </cell>
        </row>
      </sheetData>
      <sheetData sheetId="2861">
        <row r="8">
          <cell r="D8" t="str">
            <v>Paramaz Avedisian Building</v>
          </cell>
        </row>
      </sheetData>
      <sheetData sheetId="2862">
        <row r="8">
          <cell r="D8" t="str">
            <v>Paramaz Avedisian Building</v>
          </cell>
        </row>
      </sheetData>
      <sheetData sheetId="2863">
        <row r="8">
          <cell r="D8" t="str">
            <v>Paramaz Avedisian Building</v>
          </cell>
        </row>
      </sheetData>
      <sheetData sheetId="2864">
        <row r="8">
          <cell r="D8" t="str">
            <v>Paramaz Avedisian Building</v>
          </cell>
        </row>
      </sheetData>
      <sheetData sheetId="2865">
        <row r="8">
          <cell r="D8" t="str">
            <v>Paramaz Avedisian Building</v>
          </cell>
        </row>
      </sheetData>
      <sheetData sheetId="2866">
        <row r="8">
          <cell r="D8" t="str">
            <v>Paramaz Avedisian Building</v>
          </cell>
        </row>
      </sheetData>
      <sheetData sheetId="2867">
        <row r="8">
          <cell r="D8" t="str">
            <v>Paramaz Avedisian Building</v>
          </cell>
        </row>
      </sheetData>
      <sheetData sheetId="2868">
        <row r="8">
          <cell r="D8" t="str">
            <v>Paramaz Avedisian Building</v>
          </cell>
        </row>
      </sheetData>
      <sheetData sheetId="2869">
        <row r="8">
          <cell r="D8" t="str">
            <v>Paramaz Avedisian Building</v>
          </cell>
        </row>
      </sheetData>
      <sheetData sheetId="2870">
        <row r="8">
          <cell r="D8" t="str">
            <v>Paramaz Avedisian Building</v>
          </cell>
        </row>
      </sheetData>
      <sheetData sheetId="2871">
        <row r="8">
          <cell r="D8" t="str">
            <v>Paramaz Avedisian Building</v>
          </cell>
        </row>
      </sheetData>
      <sheetData sheetId="2872">
        <row r="8">
          <cell r="D8" t="str">
            <v>Paramaz Avedisian Building</v>
          </cell>
        </row>
      </sheetData>
      <sheetData sheetId="2873">
        <row r="8">
          <cell r="D8" t="str">
            <v>Paramaz Avedisian Building</v>
          </cell>
        </row>
      </sheetData>
      <sheetData sheetId="2874">
        <row r="8">
          <cell r="D8" t="str">
            <v>Paramaz Avedisian Building</v>
          </cell>
        </row>
      </sheetData>
      <sheetData sheetId="2875">
        <row r="8">
          <cell r="D8" t="str">
            <v>Paramaz Avedisian Building</v>
          </cell>
        </row>
      </sheetData>
      <sheetData sheetId="2876">
        <row r="8">
          <cell r="D8" t="str">
            <v>Paramaz Avedisian Building</v>
          </cell>
        </row>
      </sheetData>
      <sheetData sheetId="2877">
        <row r="8">
          <cell r="D8" t="str">
            <v>Paramaz Avedisian Building</v>
          </cell>
        </row>
      </sheetData>
      <sheetData sheetId="2878">
        <row r="8">
          <cell r="D8" t="str">
            <v>Paramaz Avedisian Building</v>
          </cell>
        </row>
      </sheetData>
      <sheetData sheetId="2879">
        <row r="8">
          <cell r="D8" t="str">
            <v>Paramaz Avedisian Building</v>
          </cell>
        </row>
      </sheetData>
      <sheetData sheetId="2880">
        <row r="8">
          <cell r="D8" t="str">
            <v>Paramaz Avedisian Building</v>
          </cell>
        </row>
      </sheetData>
      <sheetData sheetId="2881">
        <row r="8">
          <cell r="D8" t="str">
            <v>Paramaz Avedisian Building</v>
          </cell>
        </row>
      </sheetData>
      <sheetData sheetId="2882">
        <row r="8">
          <cell r="D8" t="str">
            <v>Paramaz Avedisian Building</v>
          </cell>
        </row>
      </sheetData>
      <sheetData sheetId="2883">
        <row r="8">
          <cell r="D8" t="str">
            <v>Paramaz Avedisian Building</v>
          </cell>
        </row>
      </sheetData>
      <sheetData sheetId="2884">
        <row r="8">
          <cell r="D8" t="str">
            <v>Paramaz Avedisian Building</v>
          </cell>
        </row>
      </sheetData>
      <sheetData sheetId="2885">
        <row r="8">
          <cell r="D8" t="str">
            <v>Paramaz Avedisian Building</v>
          </cell>
        </row>
      </sheetData>
      <sheetData sheetId="2886">
        <row r="8">
          <cell r="D8" t="str">
            <v>Paramaz Avedisian Building</v>
          </cell>
        </row>
      </sheetData>
      <sheetData sheetId="2887">
        <row r="8">
          <cell r="D8" t="str">
            <v>Paramaz Avedisian Building</v>
          </cell>
        </row>
      </sheetData>
      <sheetData sheetId="2888">
        <row r="8">
          <cell r="D8" t="str">
            <v>Paramaz Avedisian Building</v>
          </cell>
        </row>
      </sheetData>
      <sheetData sheetId="2889">
        <row r="8">
          <cell r="D8" t="str">
            <v>Paramaz Avedisian Building</v>
          </cell>
        </row>
      </sheetData>
      <sheetData sheetId="2890">
        <row r="8">
          <cell r="D8" t="str">
            <v>Paramaz Avedisian Building</v>
          </cell>
        </row>
      </sheetData>
      <sheetData sheetId="2891">
        <row r="8">
          <cell r="D8" t="str">
            <v>Paramaz Avedisian Building</v>
          </cell>
        </row>
      </sheetData>
      <sheetData sheetId="2892">
        <row r="8">
          <cell r="D8" t="str">
            <v>Paramaz Avedisian Building</v>
          </cell>
        </row>
      </sheetData>
      <sheetData sheetId="2893">
        <row r="8">
          <cell r="D8" t="str">
            <v>Paramaz Avedisian Building</v>
          </cell>
        </row>
      </sheetData>
      <sheetData sheetId="2894">
        <row r="8">
          <cell r="D8" t="str">
            <v>Paramaz Avedisian Building</v>
          </cell>
        </row>
      </sheetData>
      <sheetData sheetId="2895">
        <row r="8">
          <cell r="D8" t="str">
            <v>Paramaz Avedisian Building</v>
          </cell>
        </row>
      </sheetData>
      <sheetData sheetId="2896">
        <row r="8">
          <cell r="D8" t="str">
            <v>Paramaz Avedisian Building</v>
          </cell>
        </row>
      </sheetData>
      <sheetData sheetId="2897">
        <row r="8">
          <cell r="D8" t="str">
            <v>Paramaz Avedisian Building</v>
          </cell>
        </row>
      </sheetData>
      <sheetData sheetId="2898">
        <row r="8">
          <cell r="D8" t="str">
            <v>Paramaz Avedisian Building</v>
          </cell>
        </row>
      </sheetData>
      <sheetData sheetId="2899">
        <row r="8">
          <cell r="D8" t="str">
            <v>Paramaz Avedisian Building</v>
          </cell>
        </row>
      </sheetData>
      <sheetData sheetId="2900">
        <row r="8">
          <cell r="D8" t="str">
            <v>Paramaz Avedisian Building</v>
          </cell>
        </row>
      </sheetData>
      <sheetData sheetId="2901">
        <row r="8">
          <cell r="D8" t="str">
            <v>Paramaz Avedisian Building</v>
          </cell>
        </row>
      </sheetData>
      <sheetData sheetId="2902">
        <row r="8">
          <cell r="D8" t="str">
            <v>Paramaz Avedisian Building</v>
          </cell>
        </row>
      </sheetData>
      <sheetData sheetId="2903">
        <row r="8">
          <cell r="D8" t="str">
            <v>Paramaz Avedisian Building</v>
          </cell>
        </row>
      </sheetData>
      <sheetData sheetId="2904">
        <row r="8">
          <cell r="D8" t="str">
            <v>Paramaz Avedisian Building</v>
          </cell>
        </row>
      </sheetData>
      <sheetData sheetId="2905">
        <row r="8">
          <cell r="D8" t="str">
            <v>Paramaz Avedisian Building</v>
          </cell>
        </row>
      </sheetData>
      <sheetData sheetId="2906">
        <row r="8">
          <cell r="D8" t="str">
            <v>Paramaz Avedisian Building</v>
          </cell>
        </row>
      </sheetData>
      <sheetData sheetId="2907">
        <row r="8">
          <cell r="D8" t="str">
            <v>Paramaz Avedisian Building</v>
          </cell>
        </row>
      </sheetData>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row r="8">
          <cell r="D8" t="str">
            <v>Paramaz Avedisian Building</v>
          </cell>
        </row>
      </sheetData>
      <sheetData sheetId="2960">
        <row r="8">
          <cell r="D8" t="str">
            <v>Paramaz Avedisian Building</v>
          </cell>
        </row>
      </sheetData>
      <sheetData sheetId="2961">
        <row r="8">
          <cell r="D8" t="str">
            <v>Paramaz Avedisian Building</v>
          </cell>
        </row>
      </sheetData>
      <sheetData sheetId="2962">
        <row r="8">
          <cell r="D8" t="str">
            <v>Paramaz Avedisian Building</v>
          </cell>
        </row>
      </sheetData>
      <sheetData sheetId="2963">
        <row r="8">
          <cell r="D8" t="str">
            <v>Paramaz Avedisian Building</v>
          </cell>
        </row>
      </sheetData>
      <sheetData sheetId="2964">
        <row r="8">
          <cell r="D8" t="str">
            <v>Paramaz Avedisian Building</v>
          </cell>
        </row>
      </sheetData>
      <sheetData sheetId="2965">
        <row r="8">
          <cell r="D8" t="str">
            <v>Paramaz Avedisian Building</v>
          </cell>
        </row>
      </sheetData>
      <sheetData sheetId="2966">
        <row r="8">
          <cell r="D8" t="str">
            <v>Paramaz Avedisian Building</v>
          </cell>
        </row>
      </sheetData>
      <sheetData sheetId="2967">
        <row r="8">
          <cell r="D8" t="str">
            <v>Paramaz Avedisian Building</v>
          </cell>
        </row>
      </sheetData>
      <sheetData sheetId="2968">
        <row r="8">
          <cell r="D8" t="str">
            <v>Paramaz Avedisian Building</v>
          </cell>
        </row>
      </sheetData>
      <sheetData sheetId="2969">
        <row r="8">
          <cell r="D8" t="str">
            <v>Paramaz Avedisian Building</v>
          </cell>
        </row>
      </sheetData>
      <sheetData sheetId="2970">
        <row r="8">
          <cell r="D8" t="str">
            <v>Paramaz Avedisian Building</v>
          </cell>
        </row>
      </sheetData>
      <sheetData sheetId="2971">
        <row r="8">
          <cell r="D8" t="str">
            <v>Paramaz Avedisian Building</v>
          </cell>
        </row>
      </sheetData>
      <sheetData sheetId="2972">
        <row r="8">
          <cell r="D8" t="str">
            <v>Paramaz Avedisian Building</v>
          </cell>
        </row>
      </sheetData>
      <sheetData sheetId="2973">
        <row r="8">
          <cell r="D8" t="str">
            <v>Paramaz Avedisian Building</v>
          </cell>
        </row>
      </sheetData>
      <sheetData sheetId="2974">
        <row r="8">
          <cell r="D8" t="str">
            <v>Paramaz Avedisian Building</v>
          </cell>
        </row>
      </sheetData>
      <sheetData sheetId="2975">
        <row r="8">
          <cell r="D8" t="str">
            <v>Paramaz Avedisian Building</v>
          </cell>
        </row>
      </sheetData>
      <sheetData sheetId="2976">
        <row r="8">
          <cell r="D8" t="str">
            <v>Paramaz Avedisian Building</v>
          </cell>
        </row>
      </sheetData>
      <sheetData sheetId="2977">
        <row r="8">
          <cell r="D8" t="str">
            <v>Paramaz Avedisian Building</v>
          </cell>
        </row>
      </sheetData>
      <sheetData sheetId="2978">
        <row r="8">
          <cell r="D8" t="str">
            <v>Paramaz Avedisian Building</v>
          </cell>
        </row>
      </sheetData>
      <sheetData sheetId="2979">
        <row r="8">
          <cell r="D8" t="str">
            <v>Paramaz Avedisian Building</v>
          </cell>
        </row>
      </sheetData>
      <sheetData sheetId="2980">
        <row r="8">
          <cell r="D8" t="str">
            <v>Paramaz Avedisian Building</v>
          </cell>
        </row>
      </sheetData>
      <sheetData sheetId="2981">
        <row r="8">
          <cell r="D8" t="str">
            <v>Paramaz Avedisian Building</v>
          </cell>
        </row>
      </sheetData>
      <sheetData sheetId="2982">
        <row r="8">
          <cell r="D8" t="str">
            <v>Paramaz Avedisian Building</v>
          </cell>
        </row>
      </sheetData>
      <sheetData sheetId="2983">
        <row r="8">
          <cell r="D8" t="str">
            <v>Paramaz Avedisian Building</v>
          </cell>
        </row>
      </sheetData>
      <sheetData sheetId="2984">
        <row r="8">
          <cell r="D8" t="str">
            <v>Paramaz Avedisian Building</v>
          </cell>
        </row>
      </sheetData>
      <sheetData sheetId="2985">
        <row r="8">
          <cell r="D8" t="str">
            <v>Paramaz Avedisian Building</v>
          </cell>
        </row>
      </sheetData>
      <sheetData sheetId="2986">
        <row r="8">
          <cell r="D8" t="str">
            <v>Paramaz Avedisian Building</v>
          </cell>
        </row>
      </sheetData>
      <sheetData sheetId="2987">
        <row r="8">
          <cell r="D8" t="str">
            <v>Paramaz Avedisian Building</v>
          </cell>
        </row>
      </sheetData>
      <sheetData sheetId="2988">
        <row r="8">
          <cell r="D8" t="str">
            <v>Paramaz Avedisian Building</v>
          </cell>
        </row>
      </sheetData>
      <sheetData sheetId="2989">
        <row r="8">
          <cell r="D8" t="str">
            <v>Paramaz Avedisian Building</v>
          </cell>
        </row>
      </sheetData>
      <sheetData sheetId="2990">
        <row r="8">
          <cell r="D8" t="str">
            <v>Paramaz Avedisian Building</v>
          </cell>
        </row>
      </sheetData>
      <sheetData sheetId="2991">
        <row r="8">
          <cell r="D8" t="str">
            <v>Paramaz Avedisian Building</v>
          </cell>
        </row>
      </sheetData>
      <sheetData sheetId="2992">
        <row r="8">
          <cell r="D8" t="str">
            <v>Paramaz Avedisian Building</v>
          </cell>
        </row>
      </sheetData>
      <sheetData sheetId="2993">
        <row r="8">
          <cell r="D8" t="str">
            <v>Paramaz Avedisian Building</v>
          </cell>
        </row>
      </sheetData>
      <sheetData sheetId="2994">
        <row r="8">
          <cell r="D8" t="str">
            <v>Paramaz Avedisian Building</v>
          </cell>
        </row>
      </sheetData>
      <sheetData sheetId="2995">
        <row r="8">
          <cell r="D8" t="str">
            <v>Paramaz Avedisian Building</v>
          </cell>
        </row>
      </sheetData>
      <sheetData sheetId="2996">
        <row r="8">
          <cell r="D8" t="str">
            <v>Paramaz Avedisian Building</v>
          </cell>
        </row>
      </sheetData>
      <sheetData sheetId="2997">
        <row r="8">
          <cell r="D8" t="str">
            <v>Paramaz Avedisian Building</v>
          </cell>
        </row>
      </sheetData>
      <sheetData sheetId="2998">
        <row r="8">
          <cell r="D8" t="str">
            <v>Paramaz Avedisian Building</v>
          </cell>
        </row>
      </sheetData>
      <sheetData sheetId="2999">
        <row r="8">
          <cell r="D8" t="str">
            <v>Paramaz Avedisian Building</v>
          </cell>
        </row>
      </sheetData>
      <sheetData sheetId="3000">
        <row r="8">
          <cell r="D8" t="str">
            <v>Paramaz Avedisian Building</v>
          </cell>
        </row>
      </sheetData>
      <sheetData sheetId="3001">
        <row r="8">
          <cell r="D8" t="str">
            <v>Paramaz Avedisian Building</v>
          </cell>
        </row>
      </sheetData>
      <sheetData sheetId="3002">
        <row r="8">
          <cell r="D8" t="str">
            <v>Paramaz Avedisian Building</v>
          </cell>
        </row>
      </sheetData>
      <sheetData sheetId="3003">
        <row r="8">
          <cell r="D8" t="str">
            <v>Paramaz Avedisian Building</v>
          </cell>
        </row>
      </sheetData>
      <sheetData sheetId="3004">
        <row r="8">
          <cell r="D8" t="str">
            <v>Paramaz Avedisian Building</v>
          </cell>
        </row>
      </sheetData>
      <sheetData sheetId="3005">
        <row r="8">
          <cell r="D8" t="str">
            <v>Paramaz Avedisian Building</v>
          </cell>
        </row>
      </sheetData>
      <sheetData sheetId="3006">
        <row r="8">
          <cell r="D8" t="str">
            <v>Paramaz Avedisian Building</v>
          </cell>
        </row>
      </sheetData>
      <sheetData sheetId="3007">
        <row r="8">
          <cell r="D8" t="str">
            <v>Paramaz Avedisian Building</v>
          </cell>
        </row>
      </sheetData>
      <sheetData sheetId="3008">
        <row r="8">
          <cell r="D8" t="str">
            <v>Paramaz Avedisian Building</v>
          </cell>
        </row>
      </sheetData>
      <sheetData sheetId="3009">
        <row r="8">
          <cell r="D8" t="str">
            <v>Paramaz Avedisian Building</v>
          </cell>
        </row>
      </sheetData>
      <sheetData sheetId="3010">
        <row r="8">
          <cell r="D8" t="str">
            <v>Paramaz Avedisian Building</v>
          </cell>
        </row>
      </sheetData>
      <sheetData sheetId="3011">
        <row r="8">
          <cell r="D8" t="str">
            <v>Paramaz Avedisian Building</v>
          </cell>
        </row>
      </sheetData>
      <sheetData sheetId="3012">
        <row r="8">
          <cell r="D8" t="str">
            <v>Paramaz Avedisian Building</v>
          </cell>
        </row>
      </sheetData>
      <sheetData sheetId="3013">
        <row r="8">
          <cell r="D8" t="str">
            <v>Paramaz Avedisian Building</v>
          </cell>
        </row>
      </sheetData>
      <sheetData sheetId="3014">
        <row r="8">
          <cell r="D8" t="str">
            <v>Paramaz Avedisian Building</v>
          </cell>
        </row>
      </sheetData>
      <sheetData sheetId="3015">
        <row r="8">
          <cell r="D8" t="str">
            <v>Paramaz Avedisian Building</v>
          </cell>
        </row>
      </sheetData>
      <sheetData sheetId="3016">
        <row r="8">
          <cell r="D8" t="str">
            <v>Paramaz Avedisian Building</v>
          </cell>
        </row>
      </sheetData>
      <sheetData sheetId="3017">
        <row r="8">
          <cell r="D8" t="str">
            <v>Paramaz Avedisian Building</v>
          </cell>
        </row>
      </sheetData>
      <sheetData sheetId="3018">
        <row r="8">
          <cell r="D8" t="str">
            <v>Paramaz Avedisian Building</v>
          </cell>
        </row>
      </sheetData>
      <sheetData sheetId="3019">
        <row r="8">
          <cell r="D8" t="str">
            <v>Paramaz Avedisian Building</v>
          </cell>
        </row>
      </sheetData>
      <sheetData sheetId="3020">
        <row r="8">
          <cell r="D8" t="str">
            <v>Paramaz Avedisian Building</v>
          </cell>
        </row>
      </sheetData>
      <sheetData sheetId="3021">
        <row r="8">
          <cell r="D8" t="str">
            <v>Paramaz Avedisian Building</v>
          </cell>
        </row>
      </sheetData>
      <sheetData sheetId="3022">
        <row r="8">
          <cell r="D8" t="str">
            <v>Paramaz Avedisian Building</v>
          </cell>
        </row>
      </sheetData>
      <sheetData sheetId="3023">
        <row r="8">
          <cell r="D8" t="str">
            <v>Paramaz Avedisian Building</v>
          </cell>
        </row>
      </sheetData>
      <sheetData sheetId="3024">
        <row r="8">
          <cell r="D8" t="str">
            <v>Paramaz Avedisian Building</v>
          </cell>
        </row>
      </sheetData>
      <sheetData sheetId="3025">
        <row r="8">
          <cell r="D8" t="str">
            <v>Paramaz Avedisian Building</v>
          </cell>
        </row>
      </sheetData>
      <sheetData sheetId="3026">
        <row r="8">
          <cell r="D8" t="str">
            <v>Paramaz Avedisian Building</v>
          </cell>
        </row>
      </sheetData>
      <sheetData sheetId="3027">
        <row r="8">
          <cell r="D8" t="str">
            <v>Paramaz Avedisian Building</v>
          </cell>
        </row>
      </sheetData>
      <sheetData sheetId="3028">
        <row r="8">
          <cell r="D8" t="str">
            <v>Paramaz Avedisian Building</v>
          </cell>
        </row>
      </sheetData>
      <sheetData sheetId="3029">
        <row r="8">
          <cell r="D8" t="str">
            <v>Paramaz Avedisian Building</v>
          </cell>
        </row>
      </sheetData>
      <sheetData sheetId="3030">
        <row r="8">
          <cell r="D8" t="str">
            <v>Paramaz Avedisian Building</v>
          </cell>
        </row>
      </sheetData>
      <sheetData sheetId="3031">
        <row r="8">
          <cell r="D8" t="str">
            <v>Paramaz Avedisian Building</v>
          </cell>
        </row>
      </sheetData>
      <sheetData sheetId="3032">
        <row r="8">
          <cell r="D8" t="str">
            <v>Paramaz Avedisian Building</v>
          </cell>
        </row>
      </sheetData>
      <sheetData sheetId="3033">
        <row r="8">
          <cell r="D8" t="str">
            <v>Paramaz Avedisian Building</v>
          </cell>
        </row>
      </sheetData>
      <sheetData sheetId="3034">
        <row r="8">
          <cell r="D8" t="str">
            <v>Paramaz Avedisian Building</v>
          </cell>
        </row>
      </sheetData>
      <sheetData sheetId="3035">
        <row r="8">
          <cell r="D8" t="str">
            <v>Paramaz Avedisian Building</v>
          </cell>
        </row>
      </sheetData>
      <sheetData sheetId="3036">
        <row r="8">
          <cell r="D8" t="str">
            <v>Paramaz Avedisian Building</v>
          </cell>
        </row>
      </sheetData>
      <sheetData sheetId="3037">
        <row r="8">
          <cell r="D8" t="str">
            <v>Paramaz Avedisian Building</v>
          </cell>
        </row>
      </sheetData>
      <sheetData sheetId="3038">
        <row r="8">
          <cell r="D8" t="str">
            <v>Paramaz Avedisian Building</v>
          </cell>
        </row>
      </sheetData>
      <sheetData sheetId="3039">
        <row r="8">
          <cell r="D8" t="str">
            <v>Paramaz Avedisian Building</v>
          </cell>
        </row>
      </sheetData>
      <sheetData sheetId="3040">
        <row r="8">
          <cell r="D8" t="str">
            <v>Paramaz Avedisian Building</v>
          </cell>
        </row>
      </sheetData>
      <sheetData sheetId="3041">
        <row r="8">
          <cell r="D8" t="str">
            <v>Paramaz Avedisian Building</v>
          </cell>
        </row>
      </sheetData>
      <sheetData sheetId="3042">
        <row r="8">
          <cell r="D8" t="str">
            <v>Paramaz Avedisian Building</v>
          </cell>
        </row>
      </sheetData>
      <sheetData sheetId="3043">
        <row r="8">
          <cell r="D8" t="str">
            <v>Paramaz Avedisian Building</v>
          </cell>
        </row>
      </sheetData>
      <sheetData sheetId="3044">
        <row r="8">
          <cell r="D8" t="str">
            <v>Paramaz Avedisian Building</v>
          </cell>
        </row>
      </sheetData>
      <sheetData sheetId="3045">
        <row r="8">
          <cell r="D8" t="str">
            <v>Paramaz Avedisian Building</v>
          </cell>
        </row>
      </sheetData>
      <sheetData sheetId="3046">
        <row r="8">
          <cell r="D8" t="str">
            <v>Paramaz Avedisian Building</v>
          </cell>
        </row>
      </sheetData>
      <sheetData sheetId="3047">
        <row r="8">
          <cell r="D8" t="str">
            <v>Paramaz Avedisian Building</v>
          </cell>
        </row>
      </sheetData>
      <sheetData sheetId="3048">
        <row r="8">
          <cell r="D8" t="str">
            <v>Paramaz Avedisian Building</v>
          </cell>
        </row>
      </sheetData>
      <sheetData sheetId="3049">
        <row r="8">
          <cell r="D8" t="str">
            <v>Paramaz Avedisian Building</v>
          </cell>
        </row>
      </sheetData>
      <sheetData sheetId="3050">
        <row r="8">
          <cell r="D8" t="str">
            <v>Paramaz Avedisian Building</v>
          </cell>
        </row>
      </sheetData>
      <sheetData sheetId="3051">
        <row r="8">
          <cell r="D8" t="str">
            <v>Paramaz Avedisian Building</v>
          </cell>
        </row>
      </sheetData>
      <sheetData sheetId="3052">
        <row r="8">
          <cell r="D8" t="str">
            <v>Paramaz Avedisian Building</v>
          </cell>
        </row>
      </sheetData>
      <sheetData sheetId="3053">
        <row r="8">
          <cell r="D8" t="str">
            <v>Paramaz Avedisian Building</v>
          </cell>
        </row>
      </sheetData>
      <sheetData sheetId="3054">
        <row r="8">
          <cell r="D8" t="str">
            <v>Paramaz Avedisian Building</v>
          </cell>
        </row>
      </sheetData>
      <sheetData sheetId="3055">
        <row r="8">
          <cell r="D8" t="str">
            <v>Paramaz Avedisian Building</v>
          </cell>
        </row>
      </sheetData>
      <sheetData sheetId="3056">
        <row r="8">
          <cell r="D8" t="str">
            <v>Paramaz Avedisian Building</v>
          </cell>
        </row>
      </sheetData>
      <sheetData sheetId="3057">
        <row r="8">
          <cell r="D8" t="str">
            <v>Paramaz Avedisian Building</v>
          </cell>
        </row>
      </sheetData>
      <sheetData sheetId="3058">
        <row r="8">
          <cell r="D8" t="str">
            <v>Paramaz Avedisian Building</v>
          </cell>
        </row>
      </sheetData>
      <sheetData sheetId="3059">
        <row r="8">
          <cell r="D8" t="str">
            <v>Paramaz Avedisian Building</v>
          </cell>
        </row>
      </sheetData>
      <sheetData sheetId="3060">
        <row r="8">
          <cell r="D8" t="str">
            <v>Paramaz Avedisian Building</v>
          </cell>
        </row>
      </sheetData>
      <sheetData sheetId="3061">
        <row r="8">
          <cell r="D8" t="str">
            <v>Paramaz Avedisian Building</v>
          </cell>
        </row>
      </sheetData>
      <sheetData sheetId="3062">
        <row r="8">
          <cell r="D8" t="str">
            <v>Paramaz Avedisian Building</v>
          </cell>
        </row>
      </sheetData>
      <sheetData sheetId="3063">
        <row r="8">
          <cell r="D8" t="str">
            <v>Paramaz Avedisian Building</v>
          </cell>
        </row>
      </sheetData>
      <sheetData sheetId="3064">
        <row r="8">
          <cell r="D8" t="str">
            <v>Paramaz Avedisian Building</v>
          </cell>
        </row>
      </sheetData>
      <sheetData sheetId="3065">
        <row r="8">
          <cell r="D8" t="str">
            <v>Paramaz Avedisian Building</v>
          </cell>
        </row>
      </sheetData>
      <sheetData sheetId="3066">
        <row r="8">
          <cell r="D8" t="str">
            <v>Paramaz Avedisian Building</v>
          </cell>
        </row>
      </sheetData>
      <sheetData sheetId="3067">
        <row r="8">
          <cell r="D8" t="str">
            <v>Paramaz Avedisian Building</v>
          </cell>
        </row>
      </sheetData>
      <sheetData sheetId="3068">
        <row r="8">
          <cell r="D8" t="str">
            <v>Paramaz Avedisian Building</v>
          </cell>
        </row>
      </sheetData>
      <sheetData sheetId="3069">
        <row r="8">
          <cell r="D8" t="str">
            <v>Paramaz Avedisian Building</v>
          </cell>
        </row>
      </sheetData>
      <sheetData sheetId="3070">
        <row r="8">
          <cell r="D8" t="str">
            <v>Paramaz Avedisian Building</v>
          </cell>
        </row>
      </sheetData>
      <sheetData sheetId="3071">
        <row r="8">
          <cell r="D8" t="str">
            <v>Paramaz Avedisian Building</v>
          </cell>
        </row>
      </sheetData>
      <sheetData sheetId="3072">
        <row r="8">
          <cell r="D8" t="str">
            <v>Paramaz Avedisian Building</v>
          </cell>
        </row>
      </sheetData>
      <sheetData sheetId="3073">
        <row r="8">
          <cell r="D8" t="str">
            <v>Paramaz Avedisian Building</v>
          </cell>
        </row>
      </sheetData>
      <sheetData sheetId="3074">
        <row r="8">
          <cell r="D8" t="str">
            <v>Paramaz Avedisian Building</v>
          </cell>
        </row>
      </sheetData>
      <sheetData sheetId="3075">
        <row r="8">
          <cell r="D8" t="str">
            <v>Paramaz Avedisian Building</v>
          </cell>
        </row>
      </sheetData>
      <sheetData sheetId="3076">
        <row r="8">
          <cell r="D8" t="str">
            <v>Paramaz Avedisian Building</v>
          </cell>
        </row>
      </sheetData>
      <sheetData sheetId="3077">
        <row r="8">
          <cell r="D8" t="str">
            <v>Paramaz Avedisian Building</v>
          </cell>
        </row>
      </sheetData>
      <sheetData sheetId="3078">
        <row r="8">
          <cell r="D8" t="str">
            <v>Paramaz Avedisian Building</v>
          </cell>
        </row>
      </sheetData>
      <sheetData sheetId="3079">
        <row r="8">
          <cell r="D8" t="str">
            <v>Paramaz Avedisian Building</v>
          </cell>
        </row>
      </sheetData>
      <sheetData sheetId="3080">
        <row r="8">
          <cell r="D8" t="str">
            <v>Paramaz Avedisian Building</v>
          </cell>
        </row>
      </sheetData>
      <sheetData sheetId="3081">
        <row r="8">
          <cell r="D8" t="str">
            <v>Paramaz Avedisian Building</v>
          </cell>
        </row>
      </sheetData>
      <sheetData sheetId="3082">
        <row r="8">
          <cell r="D8" t="str">
            <v>Paramaz Avedisian Building</v>
          </cell>
        </row>
      </sheetData>
      <sheetData sheetId="3083">
        <row r="8">
          <cell r="D8" t="str">
            <v>Paramaz Avedisian Building</v>
          </cell>
        </row>
      </sheetData>
      <sheetData sheetId="3084">
        <row r="8">
          <cell r="D8" t="str">
            <v>Paramaz Avedisian Building</v>
          </cell>
        </row>
      </sheetData>
      <sheetData sheetId="3085">
        <row r="8">
          <cell r="D8" t="str">
            <v>Paramaz Avedisian Building</v>
          </cell>
        </row>
      </sheetData>
      <sheetData sheetId="3086">
        <row r="8">
          <cell r="D8" t="str">
            <v>Paramaz Avedisian Building</v>
          </cell>
        </row>
      </sheetData>
      <sheetData sheetId="3087">
        <row r="8">
          <cell r="D8" t="str">
            <v>Paramaz Avedisian Building</v>
          </cell>
        </row>
      </sheetData>
      <sheetData sheetId="3088">
        <row r="8">
          <cell r="D8" t="str">
            <v>Paramaz Avedisian Building</v>
          </cell>
        </row>
      </sheetData>
      <sheetData sheetId="3089">
        <row r="8">
          <cell r="D8" t="str">
            <v>Paramaz Avedisian Building</v>
          </cell>
        </row>
      </sheetData>
      <sheetData sheetId="3090">
        <row r="8">
          <cell r="D8" t="str">
            <v>Paramaz Avedisian Building</v>
          </cell>
        </row>
      </sheetData>
      <sheetData sheetId="3091">
        <row r="8">
          <cell r="D8" t="str">
            <v>Paramaz Avedisian Building</v>
          </cell>
        </row>
      </sheetData>
      <sheetData sheetId="3092">
        <row r="8">
          <cell r="D8" t="str">
            <v>Paramaz Avedisian Building</v>
          </cell>
        </row>
      </sheetData>
      <sheetData sheetId="3093">
        <row r="8">
          <cell r="D8" t="str">
            <v>Paramaz Avedisian Building</v>
          </cell>
        </row>
      </sheetData>
      <sheetData sheetId="3094">
        <row r="8">
          <cell r="D8" t="str">
            <v>Paramaz Avedisian Building</v>
          </cell>
        </row>
      </sheetData>
      <sheetData sheetId="3095">
        <row r="8">
          <cell r="D8" t="str">
            <v>Paramaz Avedisian Building</v>
          </cell>
        </row>
      </sheetData>
      <sheetData sheetId="3096">
        <row r="8">
          <cell r="D8" t="str">
            <v>Paramaz Avedisian Building</v>
          </cell>
        </row>
      </sheetData>
      <sheetData sheetId="3097">
        <row r="8">
          <cell r="D8" t="str">
            <v>Paramaz Avedisian Building</v>
          </cell>
        </row>
      </sheetData>
      <sheetData sheetId="3098">
        <row r="8">
          <cell r="D8" t="str">
            <v>Paramaz Avedisian Building</v>
          </cell>
        </row>
      </sheetData>
      <sheetData sheetId="3099">
        <row r="8">
          <cell r="D8" t="str">
            <v>Paramaz Avedisian Building</v>
          </cell>
        </row>
      </sheetData>
      <sheetData sheetId="3100">
        <row r="8">
          <cell r="D8" t="str">
            <v>Paramaz Avedisian Building</v>
          </cell>
        </row>
      </sheetData>
      <sheetData sheetId="3101">
        <row r="8">
          <cell r="D8" t="str">
            <v>Paramaz Avedisian Building</v>
          </cell>
        </row>
      </sheetData>
      <sheetData sheetId="3102">
        <row r="8">
          <cell r="D8" t="str">
            <v>Paramaz Avedisian Building</v>
          </cell>
        </row>
      </sheetData>
      <sheetData sheetId="3103">
        <row r="8">
          <cell r="D8" t="str">
            <v>Paramaz Avedisian Building</v>
          </cell>
        </row>
      </sheetData>
      <sheetData sheetId="3104">
        <row r="8">
          <cell r="D8" t="str">
            <v>Paramaz Avedisian Building</v>
          </cell>
        </row>
      </sheetData>
      <sheetData sheetId="3105">
        <row r="8">
          <cell r="D8" t="str">
            <v>Paramaz Avedisian Building</v>
          </cell>
        </row>
      </sheetData>
      <sheetData sheetId="3106">
        <row r="8">
          <cell r="D8" t="str">
            <v>Paramaz Avedisian Building</v>
          </cell>
        </row>
      </sheetData>
      <sheetData sheetId="3107">
        <row r="8">
          <cell r="D8" t="str">
            <v>Paramaz Avedisian Building</v>
          </cell>
        </row>
      </sheetData>
      <sheetData sheetId="3108"/>
      <sheetData sheetId="3109"/>
      <sheetData sheetId="3110"/>
      <sheetData sheetId="3111"/>
      <sheetData sheetId="3112">
        <row r="8">
          <cell r="D8" t="str">
            <v>Paramaz Avedisian Building</v>
          </cell>
        </row>
      </sheetData>
      <sheetData sheetId="3113">
        <row r="8">
          <cell r="D8" t="str">
            <v>Paramaz Avedisian Building</v>
          </cell>
        </row>
      </sheetData>
      <sheetData sheetId="3114">
        <row r="8">
          <cell r="D8" t="str">
            <v>Paramaz Avedisian Building</v>
          </cell>
        </row>
      </sheetData>
      <sheetData sheetId="3115">
        <row r="8">
          <cell r="D8" t="str">
            <v>Paramaz Avedisian Building</v>
          </cell>
        </row>
      </sheetData>
      <sheetData sheetId="3116">
        <row r="8">
          <cell r="D8" t="str">
            <v>Paramaz Avedisian Building</v>
          </cell>
        </row>
      </sheetData>
      <sheetData sheetId="3117">
        <row r="8">
          <cell r="D8" t="str">
            <v>Paramaz Avedisian Building</v>
          </cell>
        </row>
      </sheetData>
      <sheetData sheetId="3118">
        <row r="8">
          <cell r="D8" t="str">
            <v>Paramaz Avedisian Building</v>
          </cell>
        </row>
      </sheetData>
      <sheetData sheetId="3119">
        <row r="8">
          <cell r="D8" t="str">
            <v>Paramaz Avedisian Building</v>
          </cell>
        </row>
      </sheetData>
      <sheetData sheetId="3120">
        <row r="8">
          <cell r="D8" t="str">
            <v>Paramaz Avedisian Building</v>
          </cell>
        </row>
      </sheetData>
      <sheetData sheetId="3121">
        <row r="8">
          <cell r="D8" t="str">
            <v>Paramaz Avedisian Building</v>
          </cell>
        </row>
      </sheetData>
      <sheetData sheetId="3122">
        <row r="8">
          <cell r="D8" t="str">
            <v>Paramaz Avedisian Building</v>
          </cell>
        </row>
      </sheetData>
      <sheetData sheetId="3123">
        <row r="8">
          <cell r="D8" t="str">
            <v>Paramaz Avedisian Building</v>
          </cell>
        </row>
      </sheetData>
      <sheetData sheetId="3124">
        <row r="8">
          <cell r="D8" t="str">
            <v>Paramaz Avedisian Building</v>
          </cell>
        </row>
      </sheetData>
      <sheetData sheetId="3125">
        <row r="8">
          <cell r="D8" t="str">
            <v>Paramaz Avedisian Building</v>
          </cell>
        </row>
      </sheetData>
      <sheetData sheetId="3126">
        <row r="8">
          <cell r="D8" t="str">
            <v>Paramaz Avedisian Building</v>
          </cell>
        </row>
      </sheetData>
      <sheetData sheetId="3127">
        <row r="8">
          <cell r="D8" t="str">
            <v>Paramaz Avedisian Building</v>
          </cell>
        </row>
      </sheetData>
      <sheetData sheetId="3128">
        <row r="8">
          <cell r="D8" t="str">
            <v>Paramaz Avedisian Building</v>
          </cell>
        </row>
      </sheetData>
      <sheetData sheetId="3129">
        <row r="8">
          <cell r="D8" t="str">
            <v>Paramaz Avedisian Building</v>
          </cell>
        </row>
      </sheetData>
      <sheetData sheetId="3130">
        <row r="8">
          <cell r="D8" t="str">
            <v>Paramaz Avedisian Building</v>
          </cell>
        </row>
      </sheetData>
      <sheetData sheetId="3131">
        <row r="8">
          <cell r="D8" t="str">
            <v>Paramaz Avedisian Building</v>
          </cell>
        </row>
      </sheetData>
      <sheetData sheetId="3132">
        <row r="8">
          <cell r="D8" t="str">
            <v>Paramaz Avedisian Building</v>
          </cell>
        </row>
      </sheetData>
      <sheetData sheetId="3133">
        <row r="8">
          <cell r="D8" t="str">
            <v>Paramaz Avedisian Building</v>
          </cell>
        </row>
      </sheetData>
      <sheetData sheetId="3134">
        <row r="8">
          <cell r="D8" t="str">
            <v>Paramaz Avedisian Building</v>
          </cell>
        </row>
      </sheetData>
      <sheetData sheetId="3135">
        <row r="8">
          <cell r="D8" t="str">
            <v>Paramaz Avedisian Building</v>
          </cell>
        </row>
      </sheetData>
      <sheetData sheetId="3136">
        <row r="8">
          <cell r="D8" t="str">
            <v>Paramaz Avedisian Building</v>
          </cell>
        </row>
      </sheetData>
      <sheetData sheetId="3137">
        <row r="8">
          <cell r="D8" t="str">
            <v>Paramaz Avedisian Building</v>
          </cell>
        </row>
      </sheetData>
      <sheetData sheetId="3138">
        <row r="8">
          <cell r="D8" t="str">
            <v>Paramaz Avedisian Building</v>
          </cell>
        </row>
      </sheetData>
      <sheetData sheetId="3139">
        <row r="8">
          <cell r="D8" t="str">
            <v>Paramaz Avedisian Building</v>
          </cell>
        </row>
      </sheetData>
      <sheetData sheetId="3140">
        <row r="8">
          <cell r="D8" t="str">
            <v>Paramaz Avedisian Building</v>
          </cell>
        </row>
      </sheetData>
      <sheetData sheetId="3141">
        <row r="8">
          <cell r="D8" t="str">
            <v>Paramaz Avedisian Building</v>
          </cell>
        </row>
      </sheetData>
      <sheetData sheetId="3142">
        <row r="8">
          <cell r="D8" t="str">
            <v>Paramaz Avedisian Building</v>
          </cell>
        </row>
      </sheetData>
      <sheetData sheetId="3143">
        <row r="8">
          <cell r="D8" t="str">
            <v>Paramaz Avedisian Building</v>
          </cell>
        </row>
      </sheetData>
      <sheetData sheetId="3144">
        <row r="8">
          <cell r="D8" t="str">
            <v>Paramaz Avedisian Building</v>
          </cell>
        </row>
      </sheetData>
      <sheetData sheetId="3145">
        <row r="8">
          <cell r="D8" t="str">
            <v>Paramaz Avedisian Building</v>
          </cell>
        </row>
      </sheetData>
      <sheetData sheetId="3146">
        <row r="8">
          <cell r="D8" t="str">
            <v>Paramaz Avedisian Building</v>
          </cell>
        </row>
      </sheetData>
      <sheetData sheetId="3147">
        <row r="8">
          <cell r="D8" t="str">
            <v>Paramaz Avedisian Building</v>
          </cell>
        </row>
      </sheetData>
      <sheetData sheetId="3148">
        <row r="8">
          <cell r="D8" t="str">
            <v>Paramaz Avedisian Building</v>
          </cell>
        </row>
      </sheetData>
      <sheetData sheetId="3149">
        <row r="8">
          <cell r="D8" t="str">
            <v>Paramaz Avedisian Building</v>
          </cell>
        </row>
      </sheetData>
      <sheetData sheetId="3150">
        <row r="8">
          <cell r="D8" t="str">
            <v>Paramaz Avedisian Building</v>
          </cell>
        </row>
      </sheetData>
      <sheetData sheetId="3151">
        <row r="8">
          <cell r="D8" t="str">
            <v>Paramaz Avedisian Building</v>
          </cell>
        </row>
      </sheetData>
      <sheetData sheetId="3152">
        <row r="8">
          <cell r="D8" t="str">
            <v>Paramaz Avedisian Building</v>
          </cell>
        </row>
      </sheetData>
      <sheetData sheetId="3153">
        <row r="8">
          <cell r="D8" t="str">
            <v>Paramaz Avedisian Building</v>
          </cell>
        </row>
      </sheetData>
      <sheetData sheetId="3154">
        <row r="8">
          <cell r="D8" t="str">
            <v>Paramaz Avedisian Building</v>
          </cell>
        </row>
      </sheetData>
      <sheetData sheetId="3155">
        <row r="8">
          <cell r="D8" t="str">
            <v>Paramaz Avedisian Building</v>
          </cell>
        </row>
      </sheetData>
      <sheetData sheetId="3156">
        <row r="8">
          <cell r="D8" t="str">
            <v>Paramaz Avedisian Building</v>
          </cell>
        </row>
      </sheetData>
      <sheetData sheetId="3157">
        <row r="8">
          <cell r="D8" t="str">
            <v>Paramaz Avedisian Building</v>
          </cell>
        </row>
      </sheetData>
      <sheetData sheetId="3158">
        <row r="8">
          <cell r="D8" t="str">
            <v>Paramaz Avedisian Building</v>
          </cell>
        </row>
      </sheetData>
      <sheetData sheetId="3159">
        <row r="8">
          <cell r="D8" t="str">
            <v>Paramaz Avedisian Building</v>
          </cell>
        </row>
      </sheetData>
      <sheetData sheetId="3160">
        <row r="8">
          <cell r="D8" t="str">
            <v>Paramaz Avedisian Building</v>
          </cell>
        </row>
      </sheetData>
      <sheetData sheetId="3161">
        <row r="8">
          <cell r="D8" t="str">
            <v>Paramaz Avedisian Building</v>
          </cell>
        </row>
      </sheetData>
      <sheetData sheetId="3162">
        <row r="8">
          <cell r="D8" t="str">
            <v>Paramaz Avedisian Building</v>
          </cell>
        </row>
      </sheetData>
      <sheetData sheetId="3163">
        <row r="8">
          <cell r="D8" t="str">
            <v>Paramaz Avedisian Building</v>
          </cell>
        </row>
      </sheetData>
      <sheetData sheetId="3164">
        <row r="8">
          <cell r="D8" t="str">
            <v>Paramaz Avedisian Building</v>
          </cell>
        </row>
      </sheetData>
      <sheetData sheetId="3165">
        <row r="8">
          <cell r="D8" t="str">
            <v>Paramaz Avedisian Building</v>
          </cell>
        </row>
      </sheetData>
      <sheetData sheetId="3166">
        <row r="8">
          <cell r="D8" t="str">
            <v>Paramaz Avedisian Building</v>
          </cell>
        </row>
      </sheetData>
      <sheetData sheetId="3167">
        <row r="8">
          <cell r="D8" t="str">
            <v>Paramaz Avedisian Building</v>
          </cell>
        </row>
      </sheetData>
      <sheetData sheetId="3168">
        <row r="8">
          <cell r="D8" t="str">
            <v>Paramaz Avedisian Building</v>
          </cell>
        </row>
      </sheetData>
      <sheetData sheetId="3169">
        <row r="8">
          <cell r="D8" t="str">
            <v>Paramaz Avedisian Building</v>
          </cell>
        </row>
      </sheetData>
      <sheetData sheetId="3170">
        <row r="8">
          <cell r="D8" t="str">
            <v>Paramaz Avedisian Building</v>
          </cell>
        </row>
      </sheetData>
      <sheetData sheetId="3171">
        <row r="8">
          <cell r="D8" t="str">
            <v>Paramaz Avedisian Building</v>
          </cell>
        </row>
      </sheetData>
      <sheetData sheetId="3172">
        <row r="8">
          <cell r="D8" t="str">
            <v>Paramaz Avedisian Building</v>
          </cell>
        </row>
      </sheetData>
      <sheetData sheetId="3173">
        <row r="8">
          <cell r="D8" t="str">
            <v>Paramaz Avedisian Building</v>
          </cell>
        </row>
      </sheetData>
      <sheetData sheetId="3174">
        <row r="8">
          <cell r="D8" t="str">
            <v>Paramaz Avedisian Building</v>
          </cell>
        </row>
      </sheetData>
      <sheetData sheetId="3175">
        <row r="8">
          <cell r="D8" t="str">
            <v>Paramaz Avedisian Building</v>
          </cell>
        </row>
      </sheetData>
      <sheetData sheetId="3176">
        <row r="8">
          <cell r="D8" t="str">
            <v>Paramaz Avedisian Building</v>
          </cell>
        </row>
      </sheetData>
      <sheetData sheetId="3177">
        <row r="8">
          <cell r="D8" t="str">
            <v>Paramaz Avedisian Building</v>
          </cell>
        </row>
      </sheetData>
      <sheetData sheetId="3178">
        <row r="8">
          <cell r="D8" t="str">
            <v>Paramaz Avedisian Building</v>
          </cell>
        </row>
      </sheetData>
      <sheetData sheetId="3179">
        <row r="8">
          <cell r="D8" t="str">
            <v>Paramaz Avedisian Building</v>
          </cell>
        </row>
      </sheetData>
      <sheetData sheetId="3180">
        <row r="8">
          <cell r="D8" t="str">
            <v>Paramaz Avedisian Building</v>
          </cell>
        </row>
      </sheetData>
      <sheetData sheetId="3181">
        <row r="8">
          <cell r="D8" t="str">
            <v>Paramaz Avedisian Building</v>
          </cell>
        </row>
      </sheetData>
      <sheetData sheetId="3182">
        <row r="8">
          <cell r="D8" t="str">
            <v>Paramaz Avedisian Building</v>
          </cell>
        </row>
      </sheetData>
      <sheetData sheetId="3183">
        <row r="8">
          <cell r="D8" t="str">
            <v>Paramaz Avedisian Building</v>
          </cell>
        </row>
      </sheetData>
      <sheetData sheetId="3184">
        <row r="8">
          <cell r="D8" t="str">
            <v>Paramaz Avedisian Building</v>
          </cell>
        </row>
      </sheetData>
      <sheetData sheetId="3185">
        <row r="8">
          <cell r="D8" t="str">
            <v>Paramaz Avedisian Building</v>
          </cell>
        </row>
      </sheetData>
      <sheetData sheetId="3186">
        <row r="8">
          <cell r="D8" t="str">
            <v>Paramaz Avedisian Building</v>
          </cell>
        </row>
      </sheetData>
      <sheetData sheetId="3187">
        <row r="8">
          <cell r="D8" t="str">
            <v>Paramaz Avedisian Building</v>
          </cell>
        </row>
      </sheetData>
      <sheetData sheetId="3188">
        <row r="8">
          <cell r="D8" t="str">
            <v>Paramaz Avedisian Building</v>
          </cell>
        </row>
      </sheetData>
      <sheetData sheetId="3189">
        <row r="8">
          <cell r="D8" t="str">
            <v>Paramaz Avedisian Building</v>
          </cell>
        </row>
      </sheetData>
      <sheetData sheetId="3190">
        <row r="8">
          <cell r="D8" t="str">
            <v>Paramaz Avedisian Building</v>
          </cell>
        </row>
      </sheetData>
      <sheetData sheetId="3191">
        <row r="8">
          <cell r="D8" t="str">
            <v>Paramaz Avedisian Building</v>
          </cell>
        </row>
      </sheetData>
      <sheetData sheetId="3192">
        <row r="8">
          <cell r="D8" t="str">
            <v>Paramaz Avedisian Building</v>
          </cell>
        </row>
      </sheetData>
      <sheetData sheetId="3193">
        <row r="8">
          <cell r="D8" t="str">
            <v>Paramaz Avedisian Building</v>
          </cell>
        </row>
      </sheetData>
      <sheetData sheetId="3194">
        <row r="8">
          <cell r="D8" t="str">
            <v>Paramaz Avedisian Building</v>
          </cell>
        </row>
      </sheetData>
      <sheetData sheetId="3195">
        <row r="8">
          <cell r="D8" t="str">
            <v>Paramaz Avedisian Building</v>
          </cell>
        </row>
      </sheetData>
      <sheetData sheetId="3196">
        <row r="8">
          <cell r="D8" t="str">
            <v>Paramaz Avedisian Building</v>
          </cell>
        </row>
      </sheetData>
      <sheetData sheetId="3197">
        <row r="8">
          <cell r="D8" t="str">
            <v>Paramaz Avedisian Building</v>
          </cell>
        </row>
      </sheetData>
      <sheetData sheetId="3198">
        <row r="8">
          <cell r="D8" t="str">
            <v>Paramaz Avedisian Building</v>
          </cell>
        </row>
      </sheetData>
      <sheetData sheetId="3199">
        <row r="8">
          <cell r="D8" t="str">
            <v>Paramaz Avedisian Building</v>
          </cell>
        </row>
      </sheetData>
      <sheetData sheetId="3200">
        <row r="8">
          <cell r="D8" t="str">
            <v>Paramaz Avedisian Building</v>
          </cell>
        </row>
      </sheetData>
      <sheetData sheetId="3201">
        <row r="8">
          <cell r="D8" t="str">
            <v>Paramaz Avedisian Building</v>
          </cell>
        </row>
      </sheetData>
      <sheetData sheetId="3202">
        <row r="8">
          <cell r="D8" t="str">
            <v>Paramaz Avedisian Building</v>
          </cell>
        </row>
      </sheetData>
      <sheetData sheetId="3203">
        <row r="8">
          <cell r="D8" t="str">
            <v>Paramaz Avedisian Building</v>
          </cell>
        </row>
      </sheetData>
      <sheetData sheetId="3204">
        <row r="8">
          <cell r="D8" t="str">
            <v>Paramaz Avedisian Building</v>
          </cell>
        </row>
      </sheetData>
      <sheetData sheetId="3205">
        <row r="8">
          <cell r="D8" t="str">
            <v>Paramaz Avedisian Building</v>
          </cell>
        </row>
      </sheetData>
      <sheetData sheetId="3206">
        <row r="8">
          <cell r="D8" t="str">
            <v>Paramaz Avedisian Building</v>
          </cell>
        </row>
      </sheetData>
      <sheetData sheetId="3207">
        <row r="8">
          <cell r="D8" t="str">
            <v>Paramaz Avedisian Building</v>
          </cell>
        </row>
      </sheetData>
      <sheetData sheetId="3208">
        <row r="8">
          <cell r="D8" t="str">
            <v>Paramaz Avedisian Building</v>
          </cell>
        </row>
      </sheetData>
      <sheetData sheetId="3209">
        <row r="8">
          <cell r="D8" t="str">
            <v>Paramaz Avedisian Building</v>
          </cell>
        </row>
      </sheetData>
      <sheetData sheetId="3210">
        <row r="8">
          <cell r="D8" t="str">
            <v>Paramaz Avedisian Building</v>
          </cell>
        </row>
      </sheetData>
      <sheetData sheetId="3211">
        <row r="8">
          <cell r="D8" t="str">
            <v>Paramaz Avedisian Building</v>
          </cell>
        </row>
      </sheetData>
      <sheetData sheetId="3212">
        <row r="8">
          <cell r="D8" t="str">
            <v>Paramaz Avedisian Building</v>
          </cell>
        </row>
      </sheetData>
      <sheetData sheetId="3213">
        <row r="8">
          <cell r="D8" t="str">
            <v>Paramaz Avedisian Building</v>
          </cell>
        </row>
      </sheetData>
      <sheetData sheetId="3214">
        <row r="8">
          <cell r="D8" t="str">
            <v>Paramaz Avedisian Building</v>
          </cell>
        </row>
      </sheetData>
      <sheetData sheetId="3215">
        <row r="8">
          <cell r="D8" t="str">
            <v>Paramaz Avedisian Building</v>
          </cell>
        </row>
      </sheetData>
      <sheetData sheetId="3216">
        <row r="8">
          <cell r="D8" t="str">
            <v>Paramaz Avedisian Building</v>
          </cell>
        </row>
      </sheetData>
      <sheetData sheetId="3217">
        <row r="8">
          <cell r="D8" t="str">
            <v>Paramaz Avedisian Building</v>
          </cell>
        </row>
      </sheetData>
      <sheetData sheetId="3218">
        <row r="8">
          <cell r="D8" t="str">
            <v>Paramaz Avedisian Building</v>
          </cell>
        </row>
      </sheetData>
      <sheetData sheetId="3219">
        <row r="8">
          <cell r="D8" t="str">
            <v>Paramaz Avedisian Building</v>
          </cell>
        </row>
      </sheetData>
      <sheetData sheetId="3220">
        <row r="8">
          <cell r="D8" t="str">
            <v>Paramaz Avedisian Building</v>
          </cell>
        </row>
      </sheetData>
      <sheetData sheetId="3221">
        <row r="8">
          <cell r="D8" t="str">
            <v>Paramaz Avedisian Building</v>
          </cell>
        </row>
      </sheetData>
      <sheetData sheetId="3222">
        <row r="8">
          <cell r="D8" t="str">
            <v>Paramaz Avedisian Building</v>
          </cell>
        </row>
      </sheetData>
      <sheetData sheetId="3223">
        <row r="8">
          <cell r="D8" t="str">
            <v>Paramaz Avedisian Building</v>
          </cell>
        </row>
      </sheetData>
      <sheetData sheetId="3224">
        <row r="8">
          <cell r="D8" t="str">
            <v>Paramaz Avedisian Building</v>
          </cell>
        </row>
      </sheetData>
      <sheetData sheetId="3225">
        <row r="8">
          <cell r="D8" t="str">
            <v>Paramaz Avedisian Building</v>
          </cell>
        </row>
      </sheetData>
      <sheetData sheetId="3226">
        <row r="8">
          <cell r="D8" t="str">
            <v>Paramaz Avedisian Building</v>
          </cell>
        </row>
      </sheetData>
      <sheetData sheetId="3227">
        <row r="8">
          <cell r="D8" t="str">
            <v>Paramaz Avedisian Building</v>
          </cell>
        </row>
      </sheetData>
      <sheetData sheetId="3228">
        <row r="8">
          <cell r="D8" t="str">
            <v>Paramaz Avedisian Building</v>
          </cell>
        </row>
      </sheetData>
      <sheetData sheetId="3229">
        <row r="8">
          <cell r="D8" t="str">
            <v>Paramaz Avedisian Building</v>
          </cell>
        </row>
      </sheetData>
      <sheetData sheetId="3230">
        <row r="8">
          <cell r="D8" t="str">
            <v>Paramaz Avedisian Building</v>
          </cell>
        </row>
      </sheetData>
      <sheetData sheetId="3231">
        <row r="8">
          <cell r="D8" t="str">
            <v>Paramaz Avedisian Building</v>
          </cell>
        </row>
      </sheetData>
      <sheetData sheetId="3232">
        <row r="8">
          <cell r="D8" t="str">
            <v>Paramaz Avedisian Building</v>
          </cell>
        </row>
      </sheetData>
      <sheetData sheetId="3233">
        <row r="8">
          <cell r="D8" t="str">
            <v>Paramaz Avedisian Building</v>
          </cell>
        </row>
      </sheetData>
      <sheetData sheetId="3234">
        <row r="8">
          <cell r="D8" t="str">
            <v>Paramaz Avedisian Building</v>
          </cell>
        </row>
      </sheetData>
      <sheetData sheetId="3235">
        <row r="8">
          <cell r="D8" t="str">
            <v>Paramaz Avedisian Building</v>
          </cell>
        </row>
      </sheetData>
      <sheetData sheetId="3236">
        <row r="8">
          <cell r="D8" t="str">
            <v>Paramaz Avedisian Building</v>
          </cell>
        </row>
      </sheetData>
      <sheetData sheetId="3237">
        <row r="8">
          <cell r="D8" t="str">
            <v>Paramaz Avedisian Building</v>
          </cell>
        </row>
      </sheetData>
      <sheetData sheetId="3238">
        <row r="8">
          <cell r="D8" t="str">
            <v>Paramaz Avedisian Building</v>
          </cell>
        </row>
      </sheetData>
      <sheetData sheetId="3239">
        <row r="8">
          <cell r="D8" t="str">
            <v>Paramaz Avedisian Building</v>
          </cell>
        </row>
      </sheetData>
      <sheetData sheetId="3240">
        <row r="8">
          <cell r="D8" t="str">
            <v>Paramaz Avedisian Building</v>
          </cell>
        </row>
      </sheetData>
      <sheetData sheetId="3241">
        <row r="8">
          <cell r="D8" t="str">
            <v>Paramaz Avedisian Building</v>
          </cell>
        </row>
      </sheetData>
      <sheetData sheetId="3242">
        <row r="8">
          <cell r="D8" t="str">
            <v>Paramaz Avedisian Building</v>
          </cell>
        </row>
      </sheetData>
      <sheetData sheetId="3243">
        <row r="8">
          <cell r="D8" t="str">
            <v>Paramaz Avedisian Building</v>
          </cell>
        </row>
      </sheetData>
      <sheetData sheetId="3244">
        <row r="8">
          <cell r="D8" t="str">
            <v>Paramaz Avedisian Building</v>
          </cell>
        </row>
      </sheetData>
      <sheetData sheetId="3245">
        <row r="8">
          <cell r="D8" t="str">
            <v>Paramaz Avedisian Building</v>
          </cell>
        </row>
      </sheetData>
      <sheetData sheetId="3246">
        <row r="8">
          <cell r="D8" t="str">
            <v>Paramaz Avedisian Building</v>
          </cell>
        </row>
      </sheetData>
      <sheetData sheetId="3247">
        <row r="8">
          <cell r="D8" t="str">
            <v>Paramaz Avedisian Building</v>
          </cell>
        </row>
      </sheetData>
      <sheetData sheetId="3248">
        <row r="8">
          <cell r="D8" t="str">
            <v>Paramaz Avedisian Building</v>
          </cell>
        </row>
      </sheetData>
      <sheetData sheetId="3249">
        <row r="8">
          <cell r="D8" t="str">
            <v>Paramaz Avedisian Building</v>
          </cell>
        </row>
      </sheetData>
      <sheetData sheetId="3250">
        <row r="8">
          <cell r="D8" t="str">
            <v>Paramaz Avedisian Building</v>
          </cell>
        </row>
      </sheetData>
      <sheetData sheetId="3251">
        <row r="8">
          <cell r="D8" t="str">
            <v>Paramaz Avedisian Building</v>
          </cell>
        </row>
      </sheetData>
      <sheetData sheetId="3252">
        <row r="8">
          <cell r="D8" t="str">
            <v>Paramaz Avedisian Building</v>
          </cell>
        </row>
      </sheetData>
      <sheetData sheetId="3253">
        <row r="8">
          <cell r="D8" t="str">
            <v>Paramaz Avedisian Building</v>
          </cell>
        </row>
      </sheetData>
      <sheetData sheetId="3254">
        <row r="8">
          <cell r="D8" t="str">
            <v>Paramaz Avedisian Building</v>
          </cell>
        </row>
      </sheetData>
      <sheetData sheetId="3255">
        <row r="8">
          <cell r="D8" t="str">
            <v>Paramaz Avedisian Building</v>
          </cell>
        </row>
      </sheetData>
      <sheetData sheetId="3256">
        <row r="8">
          <cell r="D8" t="str">
            <v>Paramaz Avedisian Building</v>
          </cell>
        </row>
      </sheetData>
      <sheetData sheetId="3257">
        <row r="8">
          <cell r="D8" t="str">
            <v>Paramaz Avedisian Building</v>
          </cell>
        </row>
      </sheetData>
      <sheetData sheetId="3258">
        <row r="8">
          <cell r="D8" t="str">
            <v>Paramaz Avedisian Building</v>
          </cell>
        </row>
      </sheetData>
      <sheetData sheetId="3259">
        <row r="8">
          <cell r="D8" t="str">
            <v>Paramaz Avedisian Building</v>
          </cell>
        </row>
      </sheetData>
      <sheetData sheetId="3260">
        <row r="8">
          <cell r="D8" t="str">
            <v>Paramaz Avedisian Building</v>
          </cell>
        </row>
      </sheetData>
      <sheetData sheetId="3261">
        <row r="8">
          <cell r="D8" t="str">
            <v>Paramaz Avedisian Building</v>
          </cell>
        </row>
      </sheetData>
      <sheetData sheetId="3262">
        <row r="8">
          <cell r="D8" t="str">
            <v>Paramaz Avedisian Building</v>
          </cell>
        </row>
      </sheetData>
      <sheetData sheetId="3263">
        <row r="8">
          <cell r="D8" t="str">
            <v>Paramaz Avedisian Building</v>
          </cell>
        </row>
      </sheetData>
      <sheetData sheetId="3264">
        <row r="8">
          <cell r="D8" t="str">
            <v>Paramaz Avedisian Building</v>
          </cell>
        </row>
      </sheetData>
      <sheetData sheetId="3265">
        <row r="8">
          <cell r="D8" t="str">
            <v>Paramaz Avedisian Building</v>
          </cell>
        </row>
      </sheetData>
      <sheetData sheetId="3266">
        <row r="8">
          <cell r="D8" t="str">
            <v>Paramaz Avedisian Building</v>
          </cell>
        </row>
      </sheetData>
      <sheetData sheetId="3267">
        <row r="8">
          <cell r="D8" t="str">
            <v>Paramaz Avedisian Building</v>
          </cell>
        </row>
      </sheetData>
      <sheetData sheetId="3268">
        <row r="8">
          <cell r="D8" t="str">
            <v>Paramaz Avedisian Building</v>
          </cell>
        </row>
      </sheetData>
      <sheetData sheetId="3269">
        <row r="8">
          <cell r="D8" t="str">
            <v>Paramaz Avedisian Building</v>
          </cell>
        </row>
      </sheetData>
      <sheetData sheetId="3270"/>
      <sheetData sheetId="3271"/>
      <sheetData sheetId="3272"/>
      <sheetData sheetId="3273"/>
      <sheetData sheetId="3274"/>
      <sheetData sheetId="3275"/>
      <sheetData sheetId="3276">
        <row r="8">
          <cell r="D8" t="str">
            <v>Paramaz Avedisian Building</v>
          </cell>
        </row>
      </sheetData>
      <sheetData sheetId="3277">
        <row r="8">
          <cell r="D8" t="str">
            <v>Paramaz Avedisian Building</v>
          </cell>
        </row>
      </sheetData>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row r="8">
          <cell r="D8" t="str">
            <v>Paramaz Avedisian Building</v>
          </cell>
        </row>
      </sheetData>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row r="8">
          <cell r="D8" t="str">
            <v>Paramaz Avedisian Building</v>
          </cell>
        </row>
      </sheetData>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row r="8">
          <cell r="D8" t="str">
            <v>Paramaz Avedisian Building</v>
          </cell>
        </row>
      </sheetData>
      <sheetData sheetId="3433">
        <row r="8">
          <cell r="D8" t="str">
            <v>Paramaz Avedisian Building</v>
          </cell>
        </row>
      </sheetData>
      <sheetData sheetId="3434">
        <row r="8">
          <cell r="D8" t="str">
            <v>Paramaz Avedisian Building</v>
          </cell>
        </row>
      </sheetData>
      <sheetData sheetId="3435">
        <row r="8">
          <cell r="D8" t="str">
            <v>Paramaz Avedisian Building</v>
          </cell>
        </row>
      </sheetData>
      <sheetData sheetId="3436">
        <row r="8">
          <cell r="D8" t="str">
            <v>Paramaz Avedisian Building</v>
          </cell>
        </row>
      </sheetData>
      <sheetData sheetId="3437">
        <row r="8">
          <cell r="D8" t="str">
            <v>Paramaz Avedisian Building</v>
          </cell>
        </row>
      </sheetData>
      <sheetData sheetId="3438">
        <row r="8">
          <cell r="D8" t="str">
            <v>Paramaz Avedisian Building</v>
          </cell>
        </row>
      </sheetData>
      <sheetData sheetId="3439">
        <row r="8">
          <cell r="D8" t="str">
            <v>Paramaz Avedisian Building</v>
          </cell>
        </row>
      </sheetData>
      <sheetData sheetId="3440">
        <row r="8">
          <cell r="D8" t="str">
            <v>Paramaz Avedisian Building</v>
          </cell>
        </row>
      </sheetData>
      <sheetData sheetId="3441">
        <row r="8">
          <cell r="D8" t="str">
            <v>Paramaz Avedisian Building</v>
          </cell>
        </row>
      </sheetData>
      <sheetData sheetId="3442">
        <row r="8">
          <cell r="D8" t="str">
            <v>Paramaz Avedisian Building</v>
          </cell>
        </row>
      </sheetData>
      <sheetData sheetId="3443">
        <row r="8">
          <cell r="D8" t="str">
            <v>Paramaz Avedisian Building</v>
          </cell>
        </row>
      </sheetData>
      <sheetData sheetId="3444">
        <row r="8">
          <cell r="D8" t="str">
            <v>Paramaz Avedisian Building</v>
          </cell>
        </row>
      </sheetData>
      <sheetData sheetId="3445">
        <row r="8">
          <cell r="D8" t="str">
            <v>Paramaz Avedisian Building</v>
          </cell>
        </row>
      </sheetData>
      <sheetData sheetId="3446">
        <row r="8">
          <cell r="D8" t="str">
            <v>Paramaz Avedisian Building</v>
          </cell>
        </row>
      </sheetData>
      <sheetData sheetId="3447">
        <row r="8">
          <cell r="D8" t="str">
            <v>Paramaz Avedisian Building</v>
          </cell>
        </row>
      </sheetData>
      <sheetData sheetId="3448">
        <row r="8">
          <cell r="D8" t="str">
            <v>Paramaz Avedisian Building</v>
          </cell>
        </row>
      </sheetData>
      <sheetData sheetId="3449">
        <row r="8">
          <cell r="D8" t="str">
            <v>Paramaz Avedisian Building</v>
          </cell>
        </row>
      </sheetData>
      <sheetData sheetId="3450">
        <row r="8">
          <cell r="D8" t="str">
            <v>Paramaz Avedisian Building</v>
          </cell>
        </row>
      </sheetData>
      <sheetData sheetId="3451">
        <row r="8">
          <cell r="D8" t="str">
            <v>Paramaz Avedisian Building</v>
          </cell>
        </row>
      </sheetData>
      <sheetData sheetId="3452">
        <row r="8">
          <cell r="D8" t="str">
            <v>Paramaz Avedisian Building</v>
          </cell>
        </row>
      </sheetData>
      <sheetData sheetId="3453">
        <row r="8">
          <cell r="D8" t="str">
            <v>Paramaz Avedisian Building</v>
          </cell>
        </row>
      </sheetData>
      <sheetData sheetId="3454">
        <row r="8">
          <cell r="D8" t="str">
            <v>Paramaz Avedisian Building</v>
          </cell>
        </row>
      </sheetData>
      <sheetData sheetId="3455"/>
      <sheetData sheetId="3456">
        <row r="8">
          <cell r="D8" t="str">
            <v>Paramaz Avedisian Building</v>
          </cell>
        </row>
      </sheetData>
      <sheetData sheetId="3457">
        <row r="8">
          <cell r="D8" t="str">
            <v>Paramaz Avedisian Building</v>
          </cell>
        </row>
      </sheetData>
      <sheetData sheetId="3458">
        <row r="8">
          <cell r="D8" t="str">
            <v>Paramaz Avedisian Building</v>
          </cell>
        </row>
      </sheetData>
      <sheetData sheetId="3459">
        <row r="8">
          <cell r="D8" t="str">
            <v>Paramaz Avedisian Building</v>
          </cell>
        </row>
      </sheetData>
      <sheetData sheetId="3460">
        <row r="8">
          <cell r="D8" t="str">
            <v>Paramaz Avedisian Building</v>
          </cell>
        </row>
      </sheetData>
      <sheetData sheetId="3461">
        <row r="8">
          <cell r="D8" t="str">
            <v>Paramaz Avedisian Building</v>
          </cell>
        </row>
      </sheetData>
      <sheetData sheetId="3462">
        <row r="8">
          <cell r="D8" t="str">
            <v>Paramaz Avedisian Building</v>
          </cell>
        </row>
      </sheetData>
      <sheetData sheetId="3463">
        <row r="8">
          <cell r="D8" t="str">
            <v>Paramaz Avedisian Building</v>
          </cell>
        </row>
      </sheetData>
      <sheetData sheetId="3464">
        <row r="8">
          <cell r="D8" t="str">
            <v>Paramaz Avedisian Building</v>
          </cell>
        </row>
      </sheetData>
      <sheetData sheetId="3465">
        <row r="8">
          <cell r="D8" t="str">
            <v>Paramaz Avedisian Building</v>
          </cell>
        </row>
      </sheetData>
      <sheetData sheetId="3466">
        <row r="8">
          <cell r="D8" t="str">
            <v>Paramaz Avedisian Building</v>
          </cell>
        </row>
      </sheetData>
      <sheetData sheetId="3467">
        <row r="8">
          <cell r="D8" t="str">
            <v>Paramaz Avedisian Building</v>
          </cell>
        </row>
      </sheetData>
      <sheetData sheetId="3468">
        <row r="8">
          <cell r="D8" t="str">
            <v>Paramaz Avedisian Building</v>
          </cell>
        </row>
      </sheetData>
      <sheetData sheetId="3469">
        <row r="8">
          <cell r="D8" t="str">
            <v>Paramaz Avedisian Building</v>
          </cell>
        </row>
      </sheetData>
      <sheetData sheetId="3470">
        <row r="8">
          <cell r="D8" t="str">
            <v>Paramaz Avedisian Building</v>
          </cell>
        </row>
      </sheetData>
      <sheetData sheetId="3471">
        <row r="8">
          <cell r="D8" t="str">
            <v>Paramaz Avedisian Building</v>
          </cell>
        </row>
      </sheetData>
      <sheetData sheetId="3472">
        <row r="8">
          <cell r="D8" t="str">
            <v>Paramaz Avedisian Building</v>
          </cell>
        </row>
      </sheetData>
      <sheetData sheetId="3473"/>
      <sheetData sheetId="3474"/>
      <sheetData sheetId="3475"/>
      <sheetData sheetId="3476"/>
      <sheetData sheetId="3477">
        <row r="8">
          <cell r="D8" t="str">
            <v>Paramaz Avedisian Building</v>
          </cell>
        </row>
      </sheetData>
      <sheetData sheetId="3478">
        <row r="8">
          <cell r="D8" t="str">
            <v>Paramaz Avedisian Building</v>
          </cell>
        </row>
      </sheetData>
      <sheetData sheetId="3479">
        <row r="8">
          <cell r="D8" t="str">
            <v>Paramaz Avedisian Building</v>
          </cell>
        </row>
      </sheetData>
      <sheetData sheetId="3480">
        <row r="8">
          <cell r="D8" t="str">
            <v>Paramaz Avedisian Building</v>
          </cell>
        </row>
      </sheetData>
      <sheetData sheetId="3481">
        <row r="8">
          <cell r="D8" t="str">
            <v>Paramaz Avedisian Building</v>
          </cell>
        </row>
      </sheetData>
      <sheetData sheetId="3482">
        <row r="8">
          <cell r="D8" t="str">
            <v>Paramaz Avedisian Building</v>
          </cell>
        </row>
      </sheetData>
      <sheetData sheetId="3483">
        <row r="8">
          <cell r="D8" t="str">
            <v>Paramaz Avedisian Building</v>
          </cell>
        </row>
      </sheetData>
      <sheetData sheetId="3484">
        <row r="8">
          <cell r="D8" t="str">
            <v>Paramaz Avedisian Building</v>
          </cell>
        </row>
      </sheetData>
      <sheetData sheetId="3485">
        <row r="8">
          <cell r="D8" t="str">
            <v>Paramaz Avedisian Building</v>
          </cell>
        </row>
      </sheetData>
      <sheetData sheetId="3486">
        <row r="8">
          <cell r="D8" t="str">
            <v>Paramaz Avedisian Building</v>
          </cell>
        </row>
      </sheetData>
      <sheetData sheetId="3487">
        <row r="8">
          <cell r="D8" t="str">
            <v>Paramaz Avedisian Building</v>
          </cell>
        </row>
      </sheetData>
      <sheetData sheetId="3488">
        <row r="8">
          <cell r="D8" t="str">
            <v>Paramaz Avedisian Building</v>
          </cell>
        </row>
      </sheetData>
      <sheetData sheetId="3489">
        <row r="8">
          <cell r="D8" t="str">
            <v>Paramaz Avedisian Building</v>
          </cell>
        </row>
      </sheetData>
      <sheetData sheetId="3490">
        <row r="8">
          <cell r="D8" t="str">
            <v>Paramaz Avedisian Building</v>
          </cell>
        </row>
      </sheetData>
      <sheetData sheetId="3491">
        <row r="8">
          <cell r="D8" t="str">
            <v>Paramaz Avedisian Building</v>
          </cell>
        </row>
      </sheetData>
      <sheetData sheetId="3492">
        <row r="8">
          <cell r="D8" t="str">
            <v>Paramaz Avedisian Building</v>
          </cell>
        </row>
      </sheetData>
      <sheetData sheetId="3493">
        <row r="8">
          <cell r="D8" t="str">
            <v>Paramaz Avedisian Building</v>
          </cell>
        </row>
      </sheetData>
      <sheetData sheetId="3494">
        <row r="8">
          <cell r="D8" t="str">
            <v>Paramaz Avedisian Building</v>
          </cell>
        </row>
      </sheetData>
      <sheetData sheetId="3495">
        <row r="8">
          <cell r="D8" t="str">
            <v>Paramaz Avedisian Building</v>
          </cell>
        </row>
      </sheetData>
      <sheetData sheetId="3496">
        <row r="8">
          <cell r="D8" t="str">
            <v>Paramaz Avedisian Building</v>
          </cell>
        </row>
      </sheetData>
      <sheetData sheetId="3497">
        <row r="8">
          <cell r="D8" t="str">
            <v>Paramaz Avedisian Building</v>
          </cell>
        </row>
      </sheetData>
      <sheetData sheetId="3498">
        <row r="8">
          <cell r="D8" t="str">
            <v>Paramaz Avedisian Building</v>
          </cell>
        </row>
      </sheetData>
      <sheetData sheetId="3499">
        <row r="8">
          <cell r="D8" t="str">
            <v>Paramaz Avedisian Building</v>
          </cell>
        </row>
      </sheetData>
      <sheetData sheetId="3500">
        <row r="8">
          <cell r="D8" t="str">
            <v>Paramaz Avedisian Building</v>
          </cell>
        </row>
      </sheetData>
      <sheetData sheetId="3501">
        <row r="8">
          <cell r="D8" t="str">
            <v>Paramaz Avedisian Building</v>
          </cell>
        </row>
      </sheetData>
      <sheetData sheetId="3502">
        <row r="8">
          <cell r="D8" t="str">
            <v>Paramaz Avedisian Building</v>
          </cell>
        </row>
      </sheetData>
      <sheetData sheetId="3503">
        <row r="8">
          <cell r="D8" t="str">
            <v>Paramaz Avedisian Building</v>
          </cell>
        </row>
      </sheetData>
      <sheetData sheetId="3504">
        <row r="8">
          <cell r="D8" t="str">
            <v>Paramaz Avedisian Building</v>
          </cell>
        </row>
      </sheetData>
      <sheetData sheetId="3505">
        <row r="8">
          <cell r="D8" t="str">
            <v>Paramaz Avedisian Building</v>
          </cell>
        </row>
      </sheetData>
      <sheetData sheetId="3506">
        <row r="8">
          <cell r="D8" t="str">
            <v>Paramaz Avedisian Building</v>
          </cell>
        </row>
      </sheetData>
      <sheetData sheetId="3507">
        <row r="8">
          <cell r="D8" t="str">
            <v>Paramaz Avedisian Building</v>
          </cell>
        </row>
      </sheetData>
      <sheetData sheetId="3508">
        <row r="8">
          <cell r="D8" t="str">
            <v>Paramaz Avedisian Building</v>
          </cell>
        </row>
      </sheetData>
      <sheetData sheetId="3509">
        <row r="8">
          <cell r="D8" t="str">
            <v>Paramaz Avedisian Building</v>
          </cell>
        </row>
      </sheetData>
      <sheetData sheetId="3510">
        <row r="8">
          <cell r="D8" t="str">
            <v>Paramaz Avedisian Building</v>
          </cell>
        </row>
      </sheetData>
      <sheetData sheetId="3511">
        <row r="8">
          <cell r="D8" t="str">
            <v>Paramaz Avedisian Building</v>
          </cell>
        </row>
      </sheetData>
      <sheetData sheetId="3512">
        <row r="8">
          <cell r="D8" t="str">
            <v>Paramaz Avedisian Building</v>
          </cell>
        </row>
      </sheetData>
      <sheetData sheetId="3513">
        <row r="8">
          <cell r="D8" t="str">
            <v>Paramaz Avedisian Building</v>
          </cell>
        </row>
      </sheetData>
      <sheetData sheetId="3514">
        <row r="8">
          <cell r="D8" t="str">
            <v>Paramaz Avedisian Building</v>
          </cell>
        </row>
      </sheetData>
      <sheetData sheetId="3515">
        <row r="8">
          <cell r="D8" t="str">
            <v>Paramaz Avedisian Building</v>
          </cell>
        </row>
      </sheetData>
      <sheetData sheetId="3516">
        <row r="8">
          <cell r="D8" t="str">
            <v>Paramaz Avedisian Building</v>
          </cell>
        </row>
      </sheetData>
      <sheetData sheetId="3517">
        <row r="8">
          <cell r="D8" t="str">
            <v>Paramaz Avedisian Building</v>
          </cell>
        </row>
      </sheetData>
      <sheetData sheetId="3518">
        <row r="8">
          <cell r="D8" t="str">
            <v>Paramaz Avedisian Building</v>
          </cell>
        </row>
      </sheetData>
      <sheetData sheetId="3519">
        <row r="8">
          <cell r="D8" t="str">
            <v>Paramaz Avedisian Building</v>
          </cell>
        </row>
      </sheetData>
      <sheetData sheetId="3520">
        <row r="8">
          <cell r="D8" t="str">
            <v>Paramaz Avedisian Building</v>
          </cell>
        </row>
      </sheetData>
      <sheetData sheetId="3521">
        <row r="8">
          <cell r="D8" t="str">
            <v>Paramaz Avedisian Building</v>
          </cell>
        </row>
      </sheetData>
      <sheetData sheetId="3522">
        <row r="8">
          <cell r="D8" t="str">
            <v>Paramaz Avedisian Building</v>
          </cell>
        </row>
      </sheetData>
      <sheetData sheetId="3523">
        <row r="8">
          <cell r="D8" t="str">
            <v>Paramaz Avedisian Building</v>
          </cell>
        </row>
      </sheetData>
      <sheetData sheetId="3524">
        <row r="8">
          <cell r="D8" t="str">
            <v>Paramaz Avedisian Building</v>
          </cell>
        </row>
      </sheetData>
      <sheetData sheetId="3525">
        <row r="8">
          <cell r="D8" t="str">
            <v>Paramaz Avedisian Building</v>
          </cell>
        </row>
      </sheetData>
      <sheetData sheetId="3526">
        <row r="8">
          <cell r="D8" t="str">
            <v>Paramaz Avedisian Building</v>
          </cell>
        </row>
      </sheetData>
      <sheetData sheetId="3527">
        <row r="8">
          <cell r="D8" t="str">
            <v>Paramaz Avedisian Building</v>
          </cell>
        </row>
      </sheetData>
      <sheetData sheetId="3528">
        <row r="8">
          <cell r="D8" t="str">
            <v>Paramaz Avedisian Building</v>
          </cell>
        </row>
      </sheetData>
      <sheetData sheetId="3529">
        <row r="8">
          <cell r="D8" t="str">
            <v>Paramaz Avedisian Building</v>
          </cell>
        </row>
      </sheetData>
      <sheetData sheetId="3530">
        <row r="8">
          <cell r="D8" t="str">
            <v>Paramaz Avedisian Building</v>
          </cell>
        </row>
      </sheetData>
      <sheetData sheetId="3531">
        <row r="8">
          <cell r="D8" t="str">
            <v>Paramaz Avedisian Building</v>
          </cell>
        </row>
      </sheetData>
      <sheetData sheetId="3532">
        <row r="8">
          <cell r="D8" t="str">
            <v>Paramaz Avedisian Building</v>
          </cell>
        </row>
      </sheetData>
      <sheetData sheetId="3533">
        <row r="8">
          <cell r="D8" t="str">
            <v>Paramaz Avedisian Building</v>
          </cell>
        </row>
      </sheetData>
      <sheetData sheetId="3534">
        <row r="8">
          <cell r="D8" t="str">
            <v>Paramaz Avedisian Building</v>
          </cell>
        </row>
      </sheetData>
      <sheetData sheetId="3535">
        <row r="8">
          <cell r="D8" t="str">
            <v>Paramaz Avedisian Building</v>
          </cell>
        </row>
      </sheetData>
      <sheetData sheetId="3536">
        <row r="8">
          <cell r="D8" t="str">
            <v>Paramaz Avedisian Building</v>
          </cell>
        </row>
      </sheetData>
      <sheetData sheetId="3537">
        <row r="8">
          <cell r="D8" t="str">
            <v>Paramaz Avedisian Building</v>
          </cell>
        </row>
      </sheetData>
      <sheetData sheetId="3538">
        <row r="8">
          <cell r="D8" t="str">
            <v>Paramaz Avedisian Building</v>
          </cell>
        </row>
      </sheetData>
      <sheetData sheetId="3539">
        <row r="8">
          <cell r="D8" t="str">
            <v>Paramaz Avedisian Building</v>
          </cell>
        </row>
      </sheetData>
      <sheetData sheetId="3540">
        <row r="8">
          <cell r="D8" t="str">
            <v>Paramaz Avedisian Building</v>
          </cell>
        </row>
      </sheetData>
      <sheetData sheetId="3541">
        <row r="8">
          <cell r="D8" t="str">
            <v>Paramaz Avedisian Building</v>
          </cell>
        </row>
      </sheetData>
      <sheetData sheetId="3542">
        <row r="8">
          <cell r="D8" t="str">
            <v>Paramaz Avedisian Building</v>
          </cell>
        </row>
      </sheetData>
      <sheetData sheetId="3543">
        <row r="8">
          <cell r="D8" t="str">
            <v>Paramaz Avedisian Building</v>
          </cell>
        </row>
      </sheetData>
      <sheetData sheetId="3544">
        <row r="8">
          <cell r="D8" t="str">
            <v>Paramaz Avedisian Building</v>
          </cell>
        </row>
      </sheetData>
      <sheetData sheetId="3545">
        <row r="8">
          <cell r="D8" t="str">
            <v>Paramaz Avedisian Building</v>
          </cell>
        </row>
      </sheetData>
      <sheetData sheetId="3546">
        <row r="8">
          <cell r="D8" t="str">
            <v>Paramaz Avedisian Building</v>
          </cell>
        </row>
      </sheetData>
      <sheetData sheetId="3547">
        <row r="8">
          <cell r="D8" t="str">
            <v>Paramaz Avedisian Building</v>
          </cell>
        </row>
      </sheetData>
      <sheetData sheetId="3548">
        <row r="8">
          <cell r="D8" t="str">
            <v>Paramaz Avedisian Building</v>
          </cell>
        </row>
      </sheetData>
      <sheetData sheetId="3549">
        <row r="8">
          <cell r="D8" t="str">
            <v>Paramaz Avedisian Building</v>
          </cell>
        </row>
      </sheetData>
      <sheetData sheetId="3550">
        <row r="8">
          <cell r="D8" t="str">
            <v>Paramaz Avedisian Building</v>
          </cell>
        </row>
      </sheetData>
      <sheetData sheetId="3551">
        <row r="8">
          <cell r="D8" t="str">
            <v>Paramaz Avedisian Building</v>
          </cell>
        </row>
      </sheetData>
      <sheetData sheetId="3552">
        <row r="8">
          <cell r="D8" t="str">
            <v>Paramaz Avedisian Building</v>
          </cell>
        </row>
      </sheetData>
      <sheetData sheetId="3553">
        <row r="8">
          <cell r="D8" t="str">
            <v>Paramaz Avedisian Building</v>
          </cell>
        </row>
      </sheetData>
      <sheetData sheetId="3554">
        <row r="8">
          <cell r="D8" t="str">
            <v>Paramaz Avedisian Building</v>
          </cell>
        </row>
      </sheetData>
      <sheetData sheetId="3555">
        <row r="8">
          <cell r="D8" t="str">
            <v>Paramaz Avedisian Building</v>
          </cell>
        </row>
      </sheetData>
      <sheetData sheetId="3556">
        <row r="8">
          <cell r="D8" t="str">
            <v>Paramaz Avedisian Building</v>
          </cell>
        </row>
      </sheetData>
      <sheetData sheetId="3557">
        <row r="8">
          <cell r="D8" t="str">
            <v>Paramaz Avedisian Building</v>
          </cell>
        </row>
      </sheetData>
      <sheetData sheetId="3558">
        <row r="8">
          <cell r="D8" t="str">
            <v>Paramaz Avedisian Building</v>
          </cell>
        </row>
      </sheetData>
      <sheetData sheetId="3559">
        <row r="8">
          <cell r="D8" t="str">
            <v>Paramaz Avedisian Building</v>
          </cell>
        </row>
      </sheetData>
      <sheetData sheetId="3560">
        <row r="8">
          <cell r="D8" t="str">
            <v>Paramaz Avedisian Building</v>
          </cell>
        </row>
      </sheetData>
      <sheetData sheetId="3561">
        <row r="8">
          <cell r="D8" t="str">
            <v>Paramaz Avedisian Building</v>
          </cell>
        </row>
      </sheetData>
      <sheetData sheetId="3562">
        <row r="8">
          <cell r="D8" t="str">
            <v>Paramaz Avedisian Building</v>
          </cell>
        </row>
      </sheetData>
      <sheetData sheetId="3563">
        <row r="8">
          <cell r="D8" t="str">
            <v>Paramaz Avedisian Building</v>
          </cell>
        </row>
      </sheetData>
      <sheetData sheetId="3564">
        <row r="8">
          <cell r="D8" t="str">
            <v>Paramaz Avedisian Building</v>
          </cell>
        </row>
      </sheetData>
      <sheetData sheetId="3565">
        <row r="8">
          <cell r="D8" t="str">
            <v>Paramaz Avedisian Building</v>
          </cell>
        </row>
      </sheetData>
      <sheetData sheetId="3566">
        <row r="8">
          <cell r="D8" t="str">
            <v>Paramaz Avedisian Building</v>
          </cell>
        </row>
      </sheetData>
      <sheetData sheetId="3567">
        <row r="8">
          <cell r="D8" t="str">
            <v>Paramaz Avedisian Building</v>
          </cell>
        </row>
      </sheetData>
      <sheetData sheetId="3568">
        <row r="8">
          <cell r="D8" t="str">
            <v>Paramaz Avedisian Building</v>
          </cell>
        </row>
      </sheetData>
      <sheetData sheetId="3569">
        <row r="8">
          <cell r="D8" t="str">
            <v>Paramaz Avedisian Building</v>
          </cell>
        </row>
      </sheetData>
      <sheetData sheetId="3570">
        <row r="8">
          <cell r="D8" t="str">
            <v>Paramaz Avedisian Building</v>
          </cell>
        </row>
      </sheetData>
      <sheetData sheetId="3571">
        <row r="8">
          <cell r="D8" t="str">
            <v>Paramaz Avedisian Building</v>
          </cell>
        </row>
      </sheetData>
      <sheetData sheetId="3572">
        <row r="8">
          <cell r="D8" t="str">
            <v>Paramaz Avedisian Building</v>
          </cell>
        </row>
      </sheetData>
      <sheetData sheetId="3573">
        <row r="8">
          <cell r="D8" t="str">
            <v>Paramaz Avedisian Building</v>
          </cell>
        </row>
      </sheetData>
      <sheetData sheetId="3574">
        <row r="8">
          <cell r="D8" t="str">
            <v>Paramaz Avedisian Building</v>
          </cell>
        </row>
      </sheetData>
      <sheetData sheetId="3575">
        <row r="8">
          <cell r="D8" t="str">
            <v>Paramaz Avedisian Building</v>
          </cell>
        </row>
      </sheetData>
      <sheetData sheetId="3576">
        <row r="8">
          <cell r="D8" t="str">
            <v>Paramaz Avedisian Building</v>
          </cell>
        </row>
      </sheetData>
      <sheetData sheetId="3577">
        <row r="8">
          <cell r="D8" t="str">
            <v>Paramaz Avedisian Building</v>
          </cell>
        </row>
      </sheetData>
      <sheetData sheetId="3578">
        <row r="8">
          <cell r="D8" t="str">
            <v>Paramaz Avedisian Building</v>
          </cell>
        </row>
      </sheetData>
      <sheetData sheetId="3579">
        <row r="8">
          <cell r="D8" t="str">
            <v>Paramaz Avedisian Building</v>
          </cell>
        </row>
      </sheetData>
      <sheetData sheetId="3580">
        <row r="8">
          <cell r="D8" t="str">
            <v>Paramaz Avedisian Building</v>
          </cell>
        </row>
      </sheetData>
      <sheetData sheetId="3581">
        <row r="8">
          <cell r="D8" t="str">
            <v>Paramaz Avedisian Building</v>
          </cell>
        </row>
      </sheetData>
      <sheetData sheetId="3582">
        <row r="8">
          <cell r="D8" t="str">
            <v>Paramaz Avedisian Building</v>
          </cell>
        </row>
      </sheetData>
      <sheetData sheetId="3583">
        <row r="8">
          <cell r="D8" t="str">
            <v>Paramaz Avedisian Building</v>
          </cell>
        </row>
      </sheetData>
      <sheetData sheetId="3584">
        <row r="8">
          <cell r="D8" t="str">
            <v>Paramaz Avedisian Building</v>
          </cell>
        </row>
      </sheetData>
      <sheetData sheetId="3585">
        <row r="8">
          <cell r="D8" t="str">
            <v>Paramaz Avedisian Building</v>
          </cell>
        </row>
      </sheetData>
      <sheetData sheetId="3586">
        <row r="8">
          <cell r="D8" t="str">
            <v>Paramaz Avedisian Building</v>
          </cell>
        </row>
      </sheetData>
      <sheetData sheetId="3587">
        <row r="8">
          <cell r="D8" t="str">
            <v>Paramaz Avedisian Building</v>
          </cell>
        </row>
      </sheetData>
      <sheetData sheetId="3588">
        <row r="8">
          <cell r="D8" t="str">
            <v>Paramaz Avedisian Building</v>
          </cell>
        </row>
      </sheetData>
      <sheetData sheetId="3589">
        <row r="8">
          <cell r="D8" t="str">
            <v>Paramaz Avedisian Building</v>
          </cell>
        </row>
      </sheetData>
      <sheetData sheetId="3590">
        <row r="8">
          <cell r="D8" t="str">
            <v>Paramaz Avedisian Building</v>
          </cell>
        </row>
      </sheetData>
      <sheetData sheetId="3591">
        <row r="8">
          <cell r="D8" t="str">
            <v>Paramaz Avedisian Building</v>
          </cell>
        </row>
      </sheetData>
      <sheetData sheetId="3592">
        <row r="8">
          <cell r="D8" t="str">
            <v>Paramaz Avedisian Building</v>
          </cell>
        </row>
      </sheetData>
      <sheetData sheetId="3593">
        <row r="8">
          <cell r="D8" t="str">
            <v>Paramaz Avedisian Building</v>
          </cell>
        </row>
      </sheetData>
      <sheetData sheetId="3594">
        <row r="8">
          <cell r="D8" t="str">
            <v>Paramaz Avedisian Building</v>
          </cell>
        </row>
      </sheetData>
      <sheetData sheetId="3595">
        <row r="8">
          <cell r="D8" t="str">
            <v>Paramaz Avedisian Building</v>
          </cell>
        </row>
      </sheetData>
      <sheetData sheetId="3596">
        <row r="8">
          <cell r="D8" t="str">
            <v>Paramaz Avedisian Building</v>
          </cell>
        </row>
      </sheetData>
      <sheetData sheetId="3597">
        <row r="8">
          <cell r="D8" t="str">
            <v>Paramaz Avedisian Building</v>
          </cell>
        </row>
      </sheetData>
      <sheetData sheetId="3598">
        <row r="8">
          <cell r="D8" t="str">
            <v>Paramaz Avedisian Building</v>
          </cell>
        </row>
      </sheetData>
      <sheetData sheetId="3599">
        <row r="8">
          <cell r="D8" t="str">
            <v>Paramaz Avedisian Building</v>
          </cell>
        </row>
      </sheetData>
      <sheetData sheetId="3600">
        <row r="8">
          <cell r="D8" t="str">
            <v>Paramaz Avedisian Building</v>
          </cell>
        </row>
      </sheetData>
      <sheetData sheetId="3601">
        <row r="8">
          <cell r="D8" t="str">
            <v>Paramaz Avedisian Building</v>
          </cell>
        </row>
      </sheetData>
      <sheetData sheetId="3602">
        <row r="8">
          <cell r="D8" t="str">
            <v>Paramaz Avedisian Building</v>
          </cell>
        </row>
      </sheetData>
      <sheetData sheetId="3603">
        <row r="8">
          <cell r="D8" t="str">
            <v>Paramaz Avedisian Building</v>
          </cell>
        </row>
      </sheetData>
      <sheetData sheetId="3604">
        <row r="8">
          <cell r="D8" t="str">
            <v>Paramaz Avedisian Building</v>
          </cell>
        </row>
      </sheetData>
      <sheetData sheetId="3605">
        <row r="8">
          <cell r="D8" t="str">
            <v>Paramaz Avedisian Building</v>
          </cell>
        </row>
      </sheetData>
      <sheetData sheetId="3606">
        <row r="8">
          <cell r="D8" t="str">
            <v>Paramaz Avedisian Building</v>
          </cell>
        </row>
      </sheetData>
      <sheetData sheetId="3607">
        <row r="8">
          <cell r="D8" t="str">
            <v>Paramaz Avedisian Building</v>
          </cell>
        </row>
      </sheetData>
      <sheetData sheetId="3608">
        <row r="8">
          <cell r="D8" t="str">
            <v>Paramaz Avedisian Building</v>
          </cell>
        </row>
      </sheetData>
      <sheetData sheetId="3609">
        <row r="8">
          <cell r="D8" t="str">
            <v>Paramaz Avedisian Building</v>
          </cell>
        </row>
      </sheetData>
      <sheetData sheetId="3610">
        <row r="8">
          <cell r="D8" t="str">
            <v>Paramaz Avedisian Building</v>
          </cell>
        </row>
      </sheetData>
      <sheetData sheetId="3611">
        <row r="8">
          <cell r="D8" t="str">
            <v>Paramaz Avedisian Building</v>
          </cell>
        </row>
      </sheetData>
      <sheetData sheetId="3612">
        <row r="8">
          <cell r="D8" t="str">
            <v>Paramaz Avedisian Building</v>
          </cell>
        </row>
      </sheetData>
      <sheetData sheetId="3613">
        <row r="8">
          <cell r="D8" t="str">
            <v>Paramaz Avedisian Building</v>
          </cell>
        </row>
      </sheetData>
      <sheetData sheetId="3614">
        <row r="8">
          <cell r="D8" t="str">
            <v>Paramaz Avedisian Building</v>
          </cell>
        </row>
      </sheetData>
      <sheetData sheetId="3615">
        <row r="8">
          <cell r="D8" t="str">
            <v>Paramaz Avedisian Building</v>
          </cell>
        </row>
      </sheetData>
      <sheetData sheetId="3616">
        <row r="8">
          <cell r="D8" t="str">
            <v>Paramaz Avedisian Building</v>
          </cell>
        </row>
      </sheetData>
      <sheetData sheetId="3617">
        <row r="8">
          <cell r="D8" t="str">
            <v>Paramaz Avedisian Building</v>
          </cell>
        </row>
      </sheetData>
      <sheetData sheetId="3618">
        <row r="8">
          <cell r="D8" t="str">
            <v>Paramaz Avedisian Building</v>
          </cell>
        </row>
      </sheetData>
      <sheetData sheetId="3619">
        <row r="8">
          <cell r="D8" t="str">
            <v>Paramaz Avedisian Building</v>
          </cell>
        </row>
      </sheetData>
      <sheetData sheetId="3620">
        <row r="8">
          <cell r="D8" t="str">
            <v>Paramaz Avedisian Building</v>
          </cell>
        </row>
      </sheetData>
      <sheetData sheetId="3621">
        <row r="8">
          <cell r="D8" t="str">
            <v>Paramaz Avedisian Building</v>
          </cell>
        </row>
      </sheetData>
      <sheetData sheetId="3622">
        <row r="8">
          <cell r="D8" t="str">
            <v>Paramaz Avedisian Building</v>
          </cell>
        </row>
      </sheetData>
      <sheetData sheetId="3623">
        <row r="8">
          <cell r="D8" t="str">
            <v>Paramaz Avedisian Building</v>
          </cell>
        </row>
      </sheetData>
      <sheetData sheetId="3624">
        <row r="8">
          <cell r="D8" t="str">
            <v>Paramaz Avedisian Building</v>
          </cell>
        </row>
      </sheetData>
      <sheetData sheetId="3625">
        <row r="8">
          <cell r="D8" t="str">
            <v>Paramaz Avedisian Building</v>
          </cell>
        </row>
      </sheetData>
      <sheetData sheetId="3626">
        <row r="8">
          <cell r="D8" t="str">
            <v>Paramaz Avedisian Building</v>
          </cell>
        </row>
      </sheetData>
      <sheetData sheetId="3627">
        <row r="8">
          <cell r="D8" t="str">
            <v>Paramaz Avedisian Building</v>
          </cell>
        </row>
      </sheetData>
      <sheetData sheetId="3628">
        <row r="8">
          <cell r="D8" t="str">
            <v>Paramaz Avedisian Building</v>
          </cell>
        </row>
      </sheetData>
      <sheetData sheetId="3629">
        <row r="8">
          <cell r="D8" t="str">
            <v>Paramaz Avedisian Building</v>
          </cell>
        </row>
      </sheetData>
      <sheetData sheetId="3630">
        <row r="8">
          <cell r="D8" t="str">
            <v>Paramaz Avedisian Building</v>
          </cell>
        </row>
      </sheetData>
      <sheetData sheetId="3631">
        <row r="8">
          <cell r="D8" t="str">
            <v>Paramaz Avedisian Building</v>
          </cell>
        </row>
      </sheetData>
      <sheetData sheetId="3632">
        <row r="8">
          <cell r="D8" t="str">
            <v>Paramaz Avedisian Building</v>
          </cell>
        </row>
      </sheetData>
      <sheetData sheetId="3633">
        <row r="8">
          <cell r="D8" t="str">
            <v>Paramaz Avedisian Building</v>
          </cell>
        </row>
      </sheetData>
      <sheetData sheetId="3634">
        <row r="8">
          <cell r="D8" t="str">
            <v>Paramaz Avedisian Building</v>
          </cell>
        </row>
      </sheetData>
      <sheetData sheetId="3635">
        <row r="8">
          <cell r="D8" t="str">
            <v>Paramaz Avedisian Building</v>
          </cell>
        </row>
      </sheetData>
      <sheetData sheetId="3636">
        <row r="8">
          <cell r="D8" t="str">
            <v>Paramaz Avedisian Building</v>
          </cell>
        </row>
      </sheetData>
      <sheetData sheetId="3637">
        <row r="8">
          <cell r="D8" t="str">
            <v>Paramaz Avedisian Building</v>
          </cell>
        </row>
      </sheetData>
      <sheetData sheetId="3638">
        <row r="8">
          <cell r="D8" t="str">
            <v>Paramaz Avedisian Building</v>
          </cell>
        </row>
      </sheetData>
      <sheetData sheetId="3639">
        <row r="8">
          <cell r="D8" t="str">
            <v>Paramaz Avedisian Building</v>
          </cell>
        </row>
      </sheetData>
      <sheetData sheetId="3640">
        <row r="8">
          <cell r="D8" t="str">
            <v>Paramaz Avedisian Building</v>
          </cell>
        </row>
      </sheetData>
      <sheetData sheetId="3641">
        <row r="8">
          <cell r="D8" t="str">
            <v>Paramaz Avedisian Building</v>
          </cell>
        </row>
      </sheetData>
      <sheetData sheetId="3642">
        <row r="8">
          <cell r="D8" t="str">
            <v>Paramaz Avedisian Building</v>
          </cell>
        </row>
      </sheetData>
      <sheetData sheetId="3643">
        <row r="8">
          <cell r="D8" t="str">
            <v>Paramaz Avedisian Building</v>
          </cell>
        </row>
      </sheetData>
      <sheetData sheetId="3644">
        <row r="8">
          <cell r="D8" t="str">
            <v>Paramaz Avedisian Building</v>
          </cell>
        </row>
      </sheetData>
      <sheetData sheetId="3645">
        <row r="8">
          <cell r="D8" t="str">
            <v>Paramaz Avedisian Building</v>
          </cell>
        </row>
      </sheetData>
      <sheetData sheetId="3646">
        <row r="8">
          <cell r="D8" t="str">
            <v>Paramaz Avedisian Building</v>
          </cell>
        </row>
      </sheetData>
      <sheetData sheetId="3647">
        <row r="8">
          <cell r="D8" t="str">
            <v>Paramaz Avedisian Building</v>
          </cell>
        </row>
      </sheetData>
      <sheetData sheetId="3648">
        <row r="8">
          <cell r="D8" t="str">
            <v>Paramaz Avedisian Building</v>
          </cell>
        </row>
      </sheetData>
      <sheetData sheetId="3649">
        <row r="8">
          <cell r="D8" t="str">
            <v>Paramaz Avedisian Building</v>
          </cell>
        </row>
      </sheetData>
      <sheetData sheetId="3650">
        <row r="8">
          <cell r="D8" t="str">
            <v>Paramaz Avedisian Building</v>
          </cell>
        </row>
      </sheetData>
      <sheetData sheetId="3651">
        <row r="8">
          <cell r="D8" t="str">
            <v>Paramaz Avedisian Building</v>
          </cell>
        </row>
      </sheetData>
      <sheetData sheetId="3652">
        <row r="8">
          <cell r="D8" t="str">
            <v>Paramaz Avedisian Building</v>
          </cell>
        </row>
      </sheetData>
      <sheetData sheetId="3653">
        <row r="8">
          <cell r="D8" t="str">
            <v>Paramaz Avedisian Building</v>
          </cell>
        </row>
      </sheetData>
      <sheetData sheetId="3654">
        <row r="8">
          <cell r="D8" t="str">
            <v>Paramaz Avedisian Building</v>
          </cell>
        </row>
      </sheetData>
      <sheetData sheetId="3655">
        <row r="8">
          <cell r="D8" t="str">
            <v>Paramaz Avedisian Building</v>
          </cell>
        </row>
      </sheetData>
      <sheetData sheetId="3656">
        <row r="8">
          <cell r="D8" t="str">
            <v>Paramaz Avedisian Building</v>
          </cell>
        </row>
      </sheetData>
      <sheetData sheetId="3657">
        <row r="8">
          <cell r="D8" t="str">
            <v>Paramaz Avedisian Building</v>
          </cell>
        </row>
      </sheetData>
      <sheetData sheetId="3658">
        <row r="8">
          <cell r="D8" t="str">
            <v>Paramaz Avedisian Building</v>
          </cell>
        </row>
      </sheetData>
      <sheetData sheetId="3659">
        <row r="8">
          <cell r="D8" t="str">
            <v>Paramaz Avedisian Building</v>
          </cell>
        </row>
      </sheetData>
      <sheetData sheetId="3660">
        <row r="8">
          <cell r="D8" t="str">
            <v>Paramaz Avedisian Building</v>
          </cell>
        </row>
      </sheetData>
      <sheetData sheetId="3661">
        <row r="8">
          <cell r="D8" t="str">
            <v>Paramaz Avedisian Building</v>
          </cell>
        </row>
      </sheetData>
      <sheetData sheetId="3662">
        <row r="8">
          <cell r="D8" t="str">
            <v>Paramaz Avedisian Building</v>
          </cell>
        </row>
      </sheetData>
      <sheetData sheetId="3663">
        <row r="8">
          <cell r="D8" t="str">
            <v>Paramaz Avedisian Building</v>
          </cell>
        </row>
      </sheetData>
      <sheetData sheetId="3664">
        <row r="8">
          <cell r="D8" t="str">
            <v>Paramaz Avedisian Building</v>
          </cell>
        </row>
      </sheetData>
      <sheetData sheetId="3665">
        <row r="8">
          <cell r="D8" t="str">
            <v>Paramaz Avedisian Building</v>
          </cell>
        </row>
      </sheetData>
      <sheetData sheetId="3666">
        <row r="8">
          <cell r="D8" t="str">
            <v>Paramaz Avedisian Building</v>
          </cell>
        </row>
      </sheetData>
      <sheetData sheetId="3667">
        <row r="8">
          <cell r="D8" t="str">
            <v>Paramaz Avedisian Building</v>
          </cell>
        </row>
      </sheetData>
      <sheetData sheetId="3668">
        <row r="8">
          <cell r="D8" t="str">
            <v>Paramaz Avedisian Building</v>
          </cell>
        </row>
      </sheetData>
      <sheetData sheetId="3669">
        <row r="8">
          <cell r="D8" t="str">
            <v>Paramaz Avedisian Building</v>
          </cell>
        </row>
      </sheetData>
      <sheetData sheetId="3670">
        <row r="8">
          <cell r="D8" t="str">
            <v>Paramaz Avedisian Building</v>
          </cell>
        </row>
      </sheetData>
      <sheetData sheetId="3671">
        <row r="8">
          <cell r="D8" t="str">
            <v>Paramaz Avedisian Building</v>
          </cell>
        </row>
      </sheetData>
      <sheetData sheetId="3672">
        <row r="8">
          <cell r="D8" t="str">
            <v>Paramaz Avedisian Building</v>
          </cell>
        </row>
      </sheetData>
      <sheetData sheetId="3673">
        <row r="8">
          <cell r="D8" t="str">
            <v>Paramaz Avedisian Building</v>
          </cell>
        </row>
      </sheetData>
      <sheetData sheetId="3674">
        <row r="8">
          <cell r="D8" t="str">
            <v>Paramaz Avedisian Building</v>
          </cell>
        </row>
      </sheetData>
      <sheetData sheetId="3675">
        <row r="8">
          <cell r="D8" t="str">
            <v>Paramaz Avedisian Building</v>
          </cell>
        </row>
      </sheetData>
      <sheetData sheetId="3676">
        <row r="8">
          <cell r="D8" t="str">
            <v>Paramaz Avedisian Building</v>
          </cell>
        </row>
      </sheetData>
      <sheetData sheetId="3677">
        <row r="8">
          <cell r="D8" t="str">
            <v>Paramaz Avedisian Building</v>
          </cell>
        </row>
      </sheetData>
      <sheetData sheetId="3678">
        <row r="8">
          <cell r="D8" t="str">
            <v>Paramaz Avedisian Building</v>
          </cell>
        </row>
      </sheetData>
      <sheetData sheetId="3679">
        <row r="8">
          <cell r="D8" t="str">
            <v>Paramaz Avedisian Building</v>
          </cell>
        </row>
      </sheetData>
      <sheetData sheetId="3680">
        <row r="8">
          <cell r="D8" t="str">
            <v>Paramaz Avedisian Building</v>
          </cell>
        </row>
      </sheetData>
      <sheetData sheetId="3681">
        <row r="8">
          <cell r="D8" t="str">
            <v>Paramaz Avedisian Building</v>
          </cell>
        </row>
      </sheetData>
      <sheetData sheetId="3682">
        <row r="8">
          <cell r="D8" t="str">
            <v>Paramaz Avedisian Building</v>
          </cell>
        </row>
      </sheetData>
      <sheetData sheetId="3683">
        <row r="8">
          <cell r="D8" t="str">
            <v>Paramaz Avedisian Building</v>
          </cell>
        </row>
      </sheetData>
      <sheetData sheetId="3684">
        <row r="8">
          <cell r="D8" t="str">
            <v>Paramaz Avedisian Building</v>
          </cell>
        </row>
      </sheetData>
      <sheetData sheetId="3685">
        <row r="8">
          <cell r="D8" t="str">
            <v>Paramaz Avedisian Building</v>
          </cell>
        </row>
      </sheetData>
      <sheetData sheetId="3686">
        <row r="8">
          <cell r="D8" t="str">
            <v>Paramaz Avedisian Building</v>
          </cell>
        </row>
      </sheetData>
      <sheetData sheetId="3687">
        <row r="8">
          <cell r="D8" t="str">
            <v>Paramaz Avedisian Building</v>
          </cell>
        </row>
      </sheetData>
      <sheetData sheetId="3688">
        <row r="8">
          <cell r="D8" t="str">
            <v>Paramaz Avedisian Building</v>
          </cell>
        </row>
      </sheetData>
      <sheetData sheetId="3689"/>
      <sheetData sheetId="3690"/>
      <sheetData sheetId="3691">
        <row r="8">
          <cell r="D8" t="str">
            <v>Paramaz Avedisian Building</v>
          </cell>
        </row>
      </sheetData>
      <sheetData sheetId="3692">
        <row r="8">
          <cell r="D8" t="str">
            <v>Paramaz Avedisian Building</v>
          </cell>
        </row>
      </sheetData>
      <sheetData sheetId="3693">
        <row r="8">
          <cell r="D8" t="str">
            <v>Paramaz Avedisian Building</v>
          </cell>
        </row>
      </sheetData>
      <sheetData sheetId="3694">
        <row r="8">
          <cell r="D8" t="str">
            <v>Paramaz Avedisian Building</v>
          </cell>
        </row>
      </sheetData>
      <sheetData sheetId="3695">
        <row r="8">
          <cell r="D8" t="str">
            <v>Paramaz Avedisian Building</v>
          </cell>
        </row>
      </sheetData>
      <sheetData sheetId="3696">
        <row r="8">
          <cell r="D8" t="str">
            <v>Paramaz Avedisian Building</v>
          </cell>
        </row>
      </sheetData>
      <sheetData sheetId="3697">
        <row r="8">
          <cell r="D8" t="str">
            <v>Paramaz Avedisian Building</v>
          </cell>
        </row>
      </sheetData>
      <sheetData sheetId="3698">
        <row r="8">
          <cell r="D8" t="str">
            <v>Paramaz Avedisian Building</v>
          </cell>
        </row>
      </sheetData>
      <sheetData sheetId="3699">
        <row r="8">
          <cell r="D8" t="str">
            <v>Paramaz Avedisian Building</v>
          </cell>
        </row>
      </sheetData>
      <sheetData sheetId="3700">
        <row r="8">
          <cell r="D8" t="str">
            <v>Paramaz Avedisian Building</v>
          </cell>
        </row>
      </sheetData>
      <sheetData sheetId="3701">
        <row r="8">
          <cell r="D8" t="str">
            <v>Paramaz Avedisian Building</v>
          </cell>
        </row>
      </sheetData>
      <sheetData sheetId="3702">
        <row r="8">
          <cell r="D8" t="str">
            <v>Paramaz Avedisian Building</v>
          </cell>
        </row>
      </sheetData>
      <sheetData sheetId="3703">
        <row r="8">
          <cell r="D8" t="str">
            <v>Paramaz Avedisian Building</v>
          </cell>
        </row>
      </sheetData>
      <sheetData sheetId="3704">
        <row r="8">
          <cell r="D8" t="str">
            <v>Paramaz Avedisian Building</v>
          </cell>
        </row>
      </sheetData>
      <sheetData sheetId="3705">
        <row r="8">
          <cell r="D8" t="str">
            <v>Paramaz Avedisian Building</v>
          </cell>
        </row>
      </sheetData>
      <sheetData sheetId="3706">
        <row r="8">
          <cell r="D8" t="str">
            <v>Paramaz Avedisian Building</v>
          </cell>
        </row>
      </sheetData>
      <sheetData sheetId="3707">
        <row r="8">
          <cell r="D8" t="str">
            <v>Paramaz Avedisian Building</v>
          </cell>
        </row>
      </sheetData>
      <sheetData sheetId="3708">
        <row r="8">
          <cell r="D8" t="str">
            <v>Paramaz Avedisian Building</v>
          </cell>
        </row>
      </sheetData>
      <sheetData sheetId="3709">
        <row r="8">
          <cell r="D8" t="str">
            <v>Paramaz Avedisian Building</v>
          </cell>
        </row>
      </sheetData>
      <sheetData sheetId="3710">
        <row r="8">
          <cell r="D8" t="str">
            <v>Paramaz Avedisian Building</v>
          </cell>
        </row>
      </sheetData>
      <sheetData sheetId="3711">
        <row r="8">
          <cell r="D8" t="str">
            <v>Paramaz Avedisian Building</v>
          </cell>
        </row>
      </sheetData>
      <sheetData sheetId="3712">
        <row r="8">
          <cell r="D8" t="str">
            <v>Paramaz Avedisian Building</v>
          </cell>
        </row>
      </sheetData>
      <sheetData sheetId="3713">
        <row r="8">
          <cell r="D8" t="str">
            <v>Paramaz Avedisian Building</v>
          </cell>
        </row>
      </sheetData>
      <sheetData sheetId="3714">
        <row r="8">
          <cell r="D8" t="str">
            <v>Paramaz Avedisian Building</v>
          </cell>
        </row>
      </sheetData>
      <sheetData sheetId="3715">
        <row r="8">
          <cell r="D8" t="str">
            <v>Paramaz Avedisian Building</v>
          </cell>
        </row>
      </sheetData>
      <sheetData sheetId="3716">
        <row r="8">
          <cell r="D8" t="str">
            <v>Paramaz Avedisian Building</v>
          </cell>
        </row>
      </sheetData>
      <sheetData sheetId="3717">
        <row r="8">
          <cell r="D8" t="str">
            <v>Paramaz Avedisian Building</v>
          </cell>
        </row>
      </sheetData>
      <sheetData sheetId="3718">
        <row r="8">
          <cell r="D8" t="str">
            <v>Paramaz Avedisian Building</v>
          </cell>
        </row>
      </sheetData>
      <sheetData sheetId="3719">
        <row r="8">
          <cell r="D8" t="str">
            <v>Paramaz Avedisian Building</v>
          </cell>
        </row>
      </sheetData>
      <sheetData sheetId="3720">
        <row r="8">
          <cell r="D8" t="str">
            <v>Paramaz Avedisian Building</v>
          </cell>
        </row>
      </sheetData>
      <sheetData sheetId="3721">
        <row r="8">
          <cell r="D8" t="str">
            <v>Paramaz Avedisian Building</v>
          </cell>
        </row>
      </sheetData>
      <sheetData sheetId="3722">
        <row r="8">
          <cell r="D8" t="str">
            <v>Paramaz Avedisian Building</v>
          </cell>
        </row>
      </sheetData>
      <sheetData sheetId="3723">
        <row r="8">
          <cell r="D8" t="str">
            <v>Paramaz Avedisian Building</v>
          </cell>
        </row>
      </sheetData>
      <sheetData sheetId="3724">
        <row r="8">
          <cell r="D8" t="str">
            <v>Paramaz Avedisian Building</v>
          </cell>
        </row>
      </sheetData>
      <sheetData sheetId="3725">
        <row r="8">
          <cell r="D8" t="str">
            <v>Paramaz Avedisian Building</v>
          </cell>
        </row>
      </sheetData>
      <sheetData sheetId="3726">
        <row r="8">
          <cell r="D8" t="str">
            <v>Paramaz Avedisian Building</v>
          </cell>
        </row>
      </sheetData>
      <sheetData sheetId="3727">
        <row r="8">
          <cell r="D8" t="str">
            <v>Paramaz Avedisian Building</v>
          </cell>
        </row>
      </sheetData>
      <sheetData sheetId="3728">
        <row r="8">
          <cell r="D8" t="str">
            <v>Paramaz Avedisian Building</v>
          </cell>
        </row>
      </sheetData>
      <sheetData sheetId="3729">
        <row r="8">
          <cell r="D8" t="str">
            <v>Paramaz Avedisian Building</v>
          </cell>
        </row>
      </sheetData>
      <sheetData sheetId="3730">
        <row r="8">
          <cell r="D8" t="str">
            <v>Paramaz Avedisian Building</v>
          </cell>
        </row>
      </sheetData>
      <sheetData sheetId="3731">
        <row r="8">
          <cell r="D8" t="str">
            <v>Paramaz Avedisian Building</v>
          </cell>
        </row>
      </sheetData>
      <sheetData sheetId="3732">
        <row r="8">
          <cell r="D8" t="str">
            <v>Paramaz Avedisian Building</v>
          </cell>
        </row>
      </sheetData>
      <sheetData sheetId="3733">
        <row r="8">
          <cell r="D8" t="str">
            <v>Paramaz Avedisian Building</v>
          </cell>
        </row>
      </sheetData>
      <sheetData sheetId="3734">
        <row r="8">
          <cell r="D8" t="str">
            <v>Paramaz Avedisian Building</v>
          </cell>
        </row>
      </sheetData>
      <sheetData sheetId="3735">
        <row r="8">
          <cell r="D8" t="str">
            <v>Paramaz Avedisian Building</v>
          </cell>
        </row>
      </sheetData>
      <sheetData sheetId="3736">
        <row r="8">
          <cell r="D8" t="str">
            <v>Paramaz Avedisian Building</v>
          </cell>
        </row>
      </sheetData>
      <sheetData sheetId="3737">
        <row r="8">
          <cell r="D8" t="str">
            <v>Paramaz Avedisian Building</v>
          </cell>
        </row>
      </sheetData>
      <sheetData sheetId="3738">
        <row r="8">
          <cell r="D8" t="str">
            <v>Paramaz Avedisian Building</v>
          </cell>
        </row>
      </sheetData>
      <sheetData sheetId="3739">
        <row r="8">
          <cell r="D8" t="str">
            <v>Paramaz Avedisian Building</v>
          </cell>
        </row>
      </sheetData>
      <sheetData sheetId="3740">
        <row r="8">
          <cell r="D8" t="str">
            <v>Paramaz Avedisian Building</v>
          </cell>
        </row>
      </sheetData>
      <sheetData sheetId="3741">
        <row r="8">
          <cell r="D8" t="str">
            <v>Paramaz Avedisian Building</v>
          </cell>
        </row>
      </sheetData>
      <sheetData sheetId="3742">
        <row r="8">
          <cell r="D8" t="str">
            <v>Paramaz Avedisian Building</v>
          </cell>
        </row>
      </sheetData>
      <sheetData sheetId="3743">
        <row r="8">
          <cell r="D8" t="str">
            <v>Paramaz Avedisian Building</v>
          </cell>
        </row>
      </sheetData>
      <sheetData sheetId="3744">
        <row r="8">
          <cell r="D8" t="str">
            <v>Paramaz Avedisian Building</v>
          </cell>
        </row>
      </sheetData>
      <sheetData sheetId="3745">
        <row r="8">
          <cell r="D8" t="str">
            <v>Paramaz Avedisian Building</v>
          </cell>
        </row>
      </sheetData>
      <sheetData sheetId="3746">
        <row r="8">
          <cell r="D8" t="str">
            <v>Paramaz Avedisian Building</v>
          </cell>
        </row>
      </sheetData>
      <sheetData sheetId="3747">
        <row r="8">
          <cell r="D8" t="str">
            <v>Paramaz Avedisian Building</v>
          </cell>
        </row>
      </sheetData>
      <sheetData sheetId="3748">
        <row r="8">
          <cell r="D8" t="str">
            <v>Paramaz Avedisian Building</v>
          </cell>
        </row>
      </sheetData>
      <sheetData sheetId="3749">
        <row r="8">
          <cell r="D8" t="str">
            <v>Paramaz Avedisian Building</v>
          </cell>
        </row>
      </sheetData>
      <sheetData sheetId="3750">
        <row r="8">
          <cell r="D8" t="str">
            <v>Paramaz Avedisian Building</v>
          </cell>
        </row>
      </sheetData>
      <sheetData sheetId="3751">
        <row r="8">
          <cell r="D8" t="str">
            <v>Paramaz Avedisian Building</v>
          </cell>
        </row>
      </sheetData>
      <sheetData sheetId="3752">
        <row r="8">
          <cell r="D8" t="str">
            <v>Paramaz Avedisian Building</v>
          </cell>
        </row>
      </sheetData>
      <sheetData sheetId="3753">
        <row r="8">
          <cell r="D8" t="str">
            <v>Paramaz Avedisian Building</v>
          </cell>
        </row>
      </sheetData>
      <sheetData sheetId="3754">
        <row r="8">
          <cell r="D8" t="str">
            <v>Paramaz Avedisian Building</v>
          </cell>
        </row>
      </sheetData>
      <sheetData sheetId="3755">
        <row r="8">
          <cell r="D8" t="str">
            <v>Paramaz Avedisian Building</v>
          </cell>
        </row>
      </sheetData>
      <sheetData sheetId="3756">
        <row r="8">
          <cell r="D8" t="str">
            <v>Paramaz Avedisian Building</v>
          </cell>
        </row>
      </sheetData>
      <sheetData sheetId="3757">
        <row r="8">
          <cell r="D8" t="str">
            <v>Paramaz Avedisian Building</v>
          </cell>
        </row>
      </sheetData>
      <sheetData sheetId="3758">
        <row r="8">
          <cell r="D8" t="str">
            <v>Paramaz Avedisian Building</v>
          </cell>
        </row>
      </sheetData>
      <sheetData sheetId="3759">
        <row r="8">
          <cell r="D8" t="str">
            <v>Paramaz Avedisian Building</v>
          </cell>
        </row>
      </sheetData>
      <sheetData sheetId="3760">
        <row r="8">
          <cell r="D8" t="str">
            <v>Paramaz Avedisian Building</v>
          </cell>
        </row>
      </sheetData>
      <sheetData sheetId="3761">
        <row r="8">
          <cell r="D8" t="str">
            <v>Paramaz Avedisian Building</v>
          </cell>
        </row>
      </sheetData>
      <sheetData sheetId="3762">
        <row r="8">
          <cell r="D8" t="str">
            <v>Paramaz Avedisian Building</v>
          </cell>
        </row>
      </sheetData>
      <sheetData sheetId="3763">
        <row r="8">
          <cell r="D8" t="str">
            <v>Paramaz Avedisian Building</v>
          </cell>
        </row>
      </sheetData>
      <sheetData sheetId="3764">
        <row r="8">
          <cell r="D8" t="str">
            <v>Paramaz Avedisian Building</v>
          </cell>
        </row>
      </sheetData>
      <sheetData sheetId="3765">
        <row r="8">
          <cell r="D8" t="str">
            <v>Paramaz Avedisian Building</v>
          </cell>
        </row>
      </sheetData>
      <sheetData sheetId="3766">
        <row r="8">
          <cell r="D8" t="str">
            <v>Paramaz Avedisian Building</v>
          </cell>
        </row>
      </sheetData>
      <sheetData sheetId="3767">
        <row r="8">
          <cell r="D8" t="str">
            <v>Paramaz Avedisian Building</v>
          </cell>
        </row>
      </sheetData>
      <sheetData sheetId="3768">
        <row r="8">
          <cell r="D8" t="str">
            <v>Paramaz Avedisian Building</v>
          </cell>
        </row>
      </sheetData>
      <sheetData sheetId="3769">
        <row r="8">
          <cell r="D8" t="str">
            <v>Paramaz Avedisian Building</v>
          </cell>
        </row>
      </sheetData>
      <sheetData sheetId="3770">
        <row r="8">
          <cell r="D8" t="str">
            <v>Paramaz Avedisian Building</v>
          </cell>
        </row>
      </sheetData>
      <sheetData sheetId="3771">
        <row r="8">
          <cell r="D8" t="str">
            <v>Paramaz Avedisian Building</v>
          </cell>
        </row>
      </sheetData>
      <sheetData sheetId="3772">
        <row r="8">
          <cell r="D8" t="str">
            <v>Paramaz Avedisian Building</v>
          </cell>
        </row>
      </sheetData>
      <sheetData sheetId="3773">
        <row r="8">
          <cell r="D8" t="str">
            <v>Paramaz Avedisian Building</v>
          </cell>
        </row>
      </sheetData>
      <sheetData sheetId="3774">
        <row r="8">
          <cell r="D8" t="str">
            <v>Paramaz Avedisian Building</v>
          </cell>
        </row>
      </sheetData>
      <sheetData sheetId="3775">
        <row r="8">
          <cell r="D8" t="str">
            <v>Paramaz Avedisian Building</v>
          </cell>
        </row>
      </sheetData>
      <sheetData sheetId="3776">
        <row r="8">
          <cell r="D8" t="str">
            <v>Paramaz Avedisian Building</v>
          </cell>
        </row>
      </sheetData>
      <sheetData sheetId="3777">
        <row r="8">
          <cell r="D8" t="str">
            <v>Paramaz Avedisian Building</v>
          </cell>
        </row>
      </sheetData>
      <sheetData sheetId="3778">
        <row r="8">
          <cell r="D8" t="str">
            <v>Paramaz Avedisian Building</v>
          </cell>
        </row>
      </sheetData>
      <sheetData sheetId="3779">
        <row r="8">
          <cell r="D8" t="str">
            <v>Paramaz Avedisian Building</v>
          </cell>
        </row>
      </sheetData>
      <sheetData sheetId="3780">
        <row r="8">
          <cell r="D8" t="str">
            <v>Paramaz Avedisian Building</v>
          </cell>
        </row>
      </sheetData>
      <sheetData sheetId="3781">
        <row r="8">
          <cell r="D8" t="str">
            <v>Paramaz Avedisian Building</v>
          </cell>
        </row>
      </sheetData>
      <sheetData sheetId="3782">
        <row r="8">
          <cell r="D8" t="str">
            <v>Paramaz Avedisian Building</v>
          </cell>
        </row>
      </sheetData>
      <sheetData sheetId="3783">
        <row r="8">
          <cell r="D8" t="str">
            <v>Paramaz Avedisian Building</v>
          </cell>
        </row>
      </sheetData>
      <sheetData sheetId="3784">
        <row r="8">
          <cell r="D8" t="str">
            <v>Paramaz Avedisian Building</v>
          </cell>
        </row>
      </sheetData>
      <sheetData sheetId="3785">
        <row r="8">
          <cell r="D8" t="str">
            <v>Paramaz Avedisian Building</v>
          </cell>
        </row>
      </sheetData>
      <sheetData sheetId="3786">
        <row r="8">
          <cell r="D8" t="str">
            <v>Paramaz Avedisian Building</v>
          </cell>
        </row>
      </sheetData>
      <sheetData sheetId="3787">
        <row r="8">
          <cell r="D8" t="str">
            <v>Paramaz Avedisian Building</v>
          </cell>
        </row>
      </sheetData>
      <sheetData sheetId="3788">
        <row r="8">
          <cell r="D8" t="str">
            <v>Paramaz Avedisian Building</v>
          </cell>
        </row>
      </sheetData>
      <sheetData sheetId="3789">
        <row r="8">
          <cell r="D8" t="str">
            <v>Paramaz Avedisian Building</v>
          </cell>
        </row>
      </sheetData>
      <sheetData sheetId="3790">
        <row r="8">
          <cell r="D8" t="str">
            <v>Paramaz Avedisian Building</v>
          </cell>
        </row>
      </sheetData>
      <sheetData sheetId="3791">
        <row r="8">
          <cell r="D8" t="str">
            <v>Paramaz Avedisian Building</v>
          </cell>
        </row>
      </sheetData>
      <sheetData sheetId="3792">
        <row r="8">
          <cell r="D8" t="str">
            <v>Paramaz Avedisian Building</v>
          </cell>
        </row>
      </sheetData>
      <sheetData sheetId="3793">
        <row r="8">
          <cell r="D8" t="str">
            <v>Paramaz Avedisian Building</v>
          </cell>
        </row>
      </sheetData>
      <sheetData sheetId="3794">
        <row r="8">
          <cell r="D8" t="str">
            <v>Paramaz Avedisian Building</v>
          </cell>
        </row>
      </sheetData>
      <sheetData sheetId="3795">
        <row r="8">
          <cell r="D8" t="str">
            <v>Paramaz Avedisian Building</v>
          </cell>
        </row>
      </sheetData>
      <sheetData sheetId="3796">
        <row r="8">
          <cell r="D8" t="str">
            <v>Paramaz Avedisian Building</v>
          </cell>
        </row>
      </sheetData>
      <sheetData sheetId="3797">
        <row r="8">
          <cell r="D8" t="str">
            <v>Paramaz Avedisian Building</v>
          </cell>
        </row>
      </sheetData>
      <sheetData sheetId="3798">
        <row r="8">
          <cell r="D8" t="str">
            <v>Paramaz Avedisian Building</v>
          </cell>
        </row>
      </sheetData>
      <sheetData sheetId="3799">
        <row r="8">
          <cell r="D8" t="str">
            <v>Paramaz Avedisian Building</v>
          </cell>
        </row>
      </sheetData>
      <sheetData sheetId="3800">
        <row r="8">
          <cell r="D8" t="str">
            <v>Paramaz Avedisian Building</v>
          </cell>
        </row>
      </sheetData>
      <sheetData sheetId="3801">
        <row r="8">
          <cell r="D8" t="str">
            <v>Paramaz Avedisian Building</v>
          </cell>
        </row>
      </sheetData>
      <sheetData sheetId="3802">
        <row r="8">
          <cell r="D8" t="str">
            <v>Paramaz Avedisian Building</v>
          </cell>
        </row>
      </sheetData>
      <sheetData sheetId="3803">
        <row r="8">
          <cell r="D8" t="str">
            <v>Paramaz Avedisian Building</v>
          </cell>
        </row>
      </sheetData>
      <sheetData sheetId="3804">
        <row r="8">
          <cell r="D8" t="str">
            <v>Paramaz Avedisian Building</v>
          </cell>
        </row>
      </sheetData>
      <sheetData sheetId="3805">
        <row r="8">
          <cell r="D8" t="str">
            <v>Paramaz Avedisian Building</v>
          </cell>
        </row>
      </sheetData>
      <sheetData sheetId="3806">
        <row r="8">
          <cell r="D8" t="str">
            <v>Paramaz Avedisian Building</v>
          </cell>
        </row>
      </sheetData>
      <sheetData sheetId="3807">
        <row r="8">
          <cell r="D8" t="str">
            <v>Paramaz Avedisian Building</v>
          </cell>
        </row>
      </sheetData>
      <sheetData sheetId="3808">
        <row r="8">
          <cell r="D8" t="str">
            <v>Paramaz Avedisian Building</v>
          </cell>
        </row>
      </sheetData>
      <sheetData sheetId="3809">
        <row r="8">
          <cell r="D8" t="str">
            <v>Paramaz Avedisian Building</v>
          </cell>
        </row>
      </sheetData>
      <sheetData sheetId="3810">
        <row r="8">
          <cell r="D8" t="str">
            <v>Paramaz Avedisian Building</v>
          </cell>
        </row>
      </sheetData>
      <sheetData sheetId="3811">
        <row r="8">
          <cell r="D8" t="str">
            <v>Paramaz Avedisian Building</v>
          </cell>
        </row>
      </sheetData>
      <sheetData sheetId="3812">
        <row r="8">
          <cell r="D8" t="str">
            <v>Paramaz Avedisian Building</v>
          </cell>
        </row>
      </sheetData>
      <sheetData sheetId="3813">
        <row r="8">
          <cell r="D8" t="str">
            <v>Paramaz Avedisian Building</v>
          </cell>
        </row>
      </sheetData>
      <sheetData sheetId="3814">
        <row r="8">
          <cell r="D8" t="str">
            <v>Paramaz Avedisian Building</v>
          </cell>
        </row>
      </sheetData>
      <sheetData sheetId="3815">
        <row r="8">
          <cell r="D8" t="str">
            <v>Paramaz Avedisian Building</v>
          </cell>
        </row>
      </sheetData>
      <sheetData sheetId="3816">
        <row r="8">
          <cell r="D8" t="str">
            <v>Paramaz Avedisian Building</v>
          </cell>
        </row>
      </sheetData>
      <sheetData sheetId="3817">
        <row r="8">
          <cell r="D8" t="str">
            <v>Paramaz Avedisian Building</v>
          </cell>
        </row>
      </sheetData>
      <sheetData sheetId="3818">
        <row r="8">
          <cell r="D8" t="str">
            <v>Paramaz Avedisian Building</v>
          </cell>
        </row>
      </sheetData>
      <sheetData sheetId="3819">
        <row r="8">
          <cell r="D8" t="str">
            <v>Paramaz Avedisian Building</v>
          </cell>
        </row>
      </sheetData>
      <sheetData sheetId="3820">
        <row r="8">
          <cell r="D8" t="str">
            <v>Paramaz Avedisian Building</v>
          </cell>
        </row>
      </sheetData>
      <sheetData sheetId="3821">
        <row r="8">
          <cell r="D8" t="str">
            <v>Paramaz Avedisian Building</v>
          </cell>
        </row>
      </sheetData>
      <sheetData sheetId="3822">
        <row r="8">
          <cell r="D8" t="str">
            <v>Paramaz Avedisian Building</v>
          </cell>
        </row>
      </sheetData>
      <sheetData sheetId="3823">
        <row r="8">
          <cell r="D8" t="str">
            <v>Paramaz Avedisian Building</v>
          </cell>
        </row>
      </sheetData>
      <sheetData sheetId="3824">
        <row r="8">
          <cell r="D8" t="str">
            <v>Paramaz Avedisian Building</v>
          </cell>
        </row>
      </sheetData>
      <sheetData sheetId="3825">
        <row r="8">
          <cell r="D8" t="str">
            <v>Paramaz Avedisian Building</v>
          </cell>
        </row>
      </sheetData>
      <sheetData sheetId="3826">
        <row r="8">
          <cell r="D8" t="str">
            <v>Paramaz Avedisian Building</v>
          </cell>
        </row>
      </sheetData>
      <sheetData sheetId="3827">
        <row r="8">
          <cell r="D8" t="str">
            <v>Paramaz Avedisian Building</v>
          </cell>
        </row>
      </sheetData>
      <sheetData sheetId="3828">
        <row r="8">
          <cell r="D8" t="str">
            <v>Paramaz Avedisian Building</v>
          </cell>
        </row>
      </sheetData>
      <sheetData sheetId="3829">
        <row r="8">
          <cell r="D8" t="str">
            <v>Paramaz Avedisian Building</v>
          </cell>
        </row>
      </sheetData>
      <sheetData sheetId="3830">
        <row r="8">
          <cell r="D8" t="str">
            <v>Paramaz Avedisian Building</v>
          </cell>
        </row>
      </sheetData>
      <sheetData sheetId="3831">
        <row r="8">
          <cell r="D8" t="str">
            <v>Paramaz Avedisian Building</v>
          </cell>
        </row>
      </sheetData>
      <sheetData sheetId="3832">
        <row r="8">
          <cell r="D8" t="str">
            <v>Paramaz Avedisian Building</v>
          </cell>
        </row>
      </sheetData>
      <sheetData sheetId="3833">
        <row r="8">
          <cell r="D8" t="str">
            <v>Paramaz Avedisian Building</v>
          </cell>
        </row>
      </sheetData>
      <sheetData sheetId="3834">
        <row r="8">
          <cell r="D8" t="str">
            <v>Paramaz Avedisian Building</v>
          </cell>
        </row>
      </sheetData>
      <sheetData sheetId="3835">
        <row r="8">
          <cell r="D8" t="str">
            <v>Paramaz Avedisian Building</v>
          </cell>
        </row>
      </sheetData>
      <sheetData sheetId="3836">
        <row r="8">
          <cell r="D8" t="str">
            <v>Paramaz Avedisian Building</v>
          </cell>
        </row>
      </sheetData>
      <sheetData sheetId="3837">
        <row r="8">
          <cell r="D8" t="str">
            <v>Paramaz Avedisian Building</v>
          </cell>
        </row>
      </sheetData>
      <sheetData sheetId="3838">
        <row r="8">
          <cell r="D8" t="str">
            <v>Paramaz Avedisian Building</v>
          </cell>
        </row>
      </sheetData>
      <sheetData sheetId="3839">
        <row r="8">
          <cell r="D8" t="str">
            <v>Paramaz Avedisian Building</v>
          </cell>
        </row>
      </sheetData>
      <sheetData sheetId="3840">
        <row r="8">
          <cell r="D8" t="str">
            <v>Paramaz Avedisian Building</v>
          </cell>
        </row>
      </sheetData>
      <sheetData sheetId="3841">
        <row r="8">
          <cell r="D8" t="str">
            <v>Paramaz Avedisian Building</v>
          </cell>
        </row>
      </sheetData>
      <sheetData sheetId="3842">
        <row r="8">
          <cell r="D8" t="str">
            <v>Paramaz Avedisian Building</v>
          </cell>
        </row>
      </sheetData>
      <sheetData sheetId="3843">
        <row r="8">
          <cell r="D8" t="str">
            <v>Paramaz Avedisian Building</v>
          </cell>
        </row>
      </sheetData>
      <sheetData sheetId="3844">
        <row r="8">
          <cell r="D8" t="str">
            <v>Paramaz Avedisian Building</v>
          </cell>
        </row>
      </sheetData>
      <sheetData sheetId="3845">
        <row r="8">
          <cell r="D8" t="str">
            <v>Paramaz Avedisian Building</v>
          </cell>
        </row>
      </sheetData>
      <sheetData sheetId="3846">
        <row r="8">
          <cell r="D8" t="str">
            <v>Paramaz Avedisian Building</v>
          </cell>
        </row>
      </sheetData>
      <sheetData sheetId="3847">
        <row r="8">
          <cell r="D8" t="str">
            <v>Paramaz Avedisian Building</v>
          </cell>
        </row>
      </sheetData>
      <sheetData sheetId="3848">
        <row r="8">
          <cell r="D8" t="str">
            <v>Paramaz Avedisian Building</v>
          </cell>
        </row>
      </sheetData>
      <sheetData sheetId="3849">
        <row r="8">
          <cell r="D8" t="str">
            <v>Paramaz Avedisian Building</v>
          </cell>
        </row>
      </sheetData>
      <sheetData sheetId="3850">
        <row r="8">
          <cell r="D8" t="str">
            <v>Paramaz Avedisian Building</v>
          </cell>
        </row>
      </sheetData>
      <sheetData sheetId="3851">
        <row r="8">
          <cell r="D8" t="str">
            <v>Paramaz Avedisian Building</v>
          </cell>
        </row>
      </sheetData>
      <sheetData sheetId="3852">
        <row r="8">
          <cell r="D8" t="str">
            <v>Paramaz Avedisian Building</v>
          </cell>
        </row>
      </sheetData>
      <sheetData sheetId="3853">
        <row r="8">
          <cell r="D8" t="str">
            <v>Paramaz Avedisian Building</v>
          </cell>
        </row>
      </sheetData>
      <sheetData sheetId="3854">
        <row r="8">
          <cell r="D8" t="str">
            <v>Paramaz Avedisian Building</v>
          </cell>
        </row>
      </sheetData>
      <sheetData sheetId="3855">
        <row r="8">
          <cell r="D8" t="str">
            <v>Paramaz Avedisian Building</v>
          </cell>
        </row>
      </sheetData>
      <sheetData sheetId="3856">
        <row r="8">
          <cell r="D8" t="str">
            <v>Paramaz Avedisian Building</v>
          </cell>
        </row>
      </sheetData>
      <sheetData sheetId="3857">
        <row r="8">
          <cell r="D8" t="str">
            <v>Paramaz Avedisian Building</v>
          </cell>
        </row>
      </sheetData>
      <sheetData sheetId="3858">
        <row r="8">
          <cell r="D8" t="str">
            <v>Paramaz Avedisian Building</v>
          </cell>
        </row>
      </sheetData>
      <sheetData sheetId="3859">
        <row r="8">
          <cell r="D8" t="str">
            <v>Paramaz Avedisian Building</v>
          </cell>
        </row>
      </sheetData>
      <sheetData sheetId="3860">
        <row r="8">
          <cell r="D8" t="str">
            <v>Paramaz Avedisian Building</v>
          </cell>
        </row>
      </sheetData>
      <sheetData sheetId="3861">
        <row r="8">
          <cell r="D8" t="str">
            <v>Paramaz Avedisian Building</v>
          </cell>
        </row>
      </sheetData>
      <sheetData sheetId="3862">
        <row r="8">
          <cell r="D8" t="str">
            <v>Paramaz Avedisian Building</v>
          </cell>
        </row>
      </sheetData>
      <sheetData sheetId="3863">
        <row r="8">
          <cell r="D8" t="str">
            <v>Paramaz Avedisian Building</v>
          </cell>
        </row>
      </sheetData>
      <sheetData sheetId="3864">
        <row r="8">
          <cell r="D8" t="str">
            <v>Paramaz Avedisian Building</v>
          </cell>
        </row>
      </sheetData>
      <sheetData sheetId="3865">
        <row r="8">
          <cell r="D8" t="str">
            <v>Paramaz Avedisian Building</v>
          </cell>
        </row>
      </sheetData>
      <sheetData sheetId="3866">
        <row r="8">
          <cell r="D8" t="str">
            <v>Paramaz Avedisian Building</v>
          </cell>
        </row>
      </sheetData>
      <sheetData sheetId="3867">
        <row r="8">
          <cell r="D8" t="str">
            <v>Paramaz Avedisian Building</v>
          </cell>
        </row>
      </sheetData>
      <sheetData sheetId="3868">
        <row r="8">
          <cell r="D8" t="str">
            <v>Paramaz Avedisian Building</v>
          </cell>
        </row>
      </sheetData>
      <sheetData sheetId="3869">
        <row r="8">
          <cell r="D8" t="str">
            <v>Paramaz Avedisian Building</v>
          </cell>
        </row>
      </sheetData>
      <sheetData sheetId="3870">
        <row r="8">
          <cell r="D8" t="str">
            <v>Paramaz Avedisian Building</v>
          </cell>
        </row>
      </sheetData>
      <sheetData sheetId="3871">
        <row r="8">
          <cell r="D8" t="str">
            <v>Paramaz Avedisian Building</v>
          </cell>
        </row>
      </sheetData>
      <sheetData sheetId="3872">
        <row r="8">
          <cell r="D8" t="str">
            <v>Paramaz Avedisian Building</v>
          </cell>
        </row>
      </sheetData>
      <sheetData sheetId="3873">
        <row r="8">
          <cell r="D8" t="str">
            <v>Paramaz Avedisian Building</v>
          </cell>
        </row>
      </sheetData>
      <sheetData sheetId="3874">
        <row r="8">
          <cell r="D8" t="str">
            <v>Paramaz Avedisian Building</v>
          </cell>
        </row>
      </sheetData>
      <sheetData sheetId="3875">
        <row r="8">
          <cell r="D8" t="str">
            <v>Paramaz Avedisian Building</v>
          </cell>
        </row>
      </sheetData>
      <sheetData sheetId="3876">
        <row r="8">
          <cell r="D8" t="str">
            <v>Paramaz Avedisian Building</v>
          </cell>
        </row>
      </sheetData>
      <sheetData sheetId="3877">
        <row r="8">
          <cell r="D8" t="str">
            <v>Paramaz Avedisian Building</v>
          </cell>
        </row>
      </sheetData>
      <sheetData sheetId="3878">
        <row r="8">
          <cell r="D8" t="str">
            <v>Paramaz Avedisian Building</v>
          </cell>
        </row>
      </sheetData>
      <sheetData sheetId="3879">
        <row r="8">
          <cell r="D8" t="str">
            <v>Paramaz Avedisian Building</v>
          </cell>
        </row>
      </sheetData>
      <sheetData sheetId="3880">
        <row r="8">
          <cell r="D8" t="str">
            <v>Paramaz Avedisian Building</v>
          </cell>
        </row>
      </sheetData>
      <sheetData sheetId="3881">
        <row r="8">
          <cell r="D8" t="str">
            <v>Paramaz Avedisian Building</v>
          </cell>
        </row>
      </sheetData>
      <sheetData sheetId="3882">
        <row r="8">
          <cell r="D8" t="str">
            <v>Paramaz Avedisian Building</v>
          </cell>
        </row>
      </sheetData>
      <sheetData sheetId="3883">
        <row r="8">
          <cell r="D8" t="str">
            <v>Paramaz Avedisian Building</v>
          </cell>
        </row>
      </sheetData>
      <sheetData sheetId="3884">
        <row r="8">
          <cell r="D8" t="str">
            <v>Paramaz Avedisian Building</v>
          </cell>
        </row>
      </sheetData>
      <sheetData sheetId="3885">
        <row r="8">
          <cell r="D8" t="str">
            <v>Paramaz Avedisian Building</v>
          </cell>
        </row>
      </sheetData>
      <sheetData sheetId="3886">
        <row r="8">
          <cell r="D8" t="str">
            <v>Paramaz Avedisian Building</v>
          </cell>
        </row>
      </sheetData>
      <sheetData sheetId="3887">
        <row r="8">
          <cell r="D8" t="str">
            <v>Paramaz Avedisian Building</v>
          </cell>
        </row>
      </sheetData>
      <sheetData sheetId="3888">
        <row r="8">
          <cell r="D8" t="str">
            <v>Paramaz Avedisian Building</v>
          </cell>
        </row>
      </sheetData>
      <sheetData sheetId="3889">
        <row r="8">
          <cell r="D8" t="str">
            <v>Paramaz Avedisian Building</v>
          </cell>
        </row>
      </sheetData>
      <sheetData sheetId="3890">
        <row r="8">
          <cell r="D8" t="str">
            <v>Paramaz Avedisian Building</v>
          </cell>
        </row>
      </sheetData>
      <sheetData sheetId="3891">
        <row r="8">
          <cell r="D8" t="str">
            <v>Paramaz Avedisian Building</v>
          </cell>
        </row>
      </sheetData>
      <sheetData sheetId="3892">
        <row r="8">
          <cell r="D8" t="str">
            <v>Paramaz Avedisian Building</v>
          </cell>
        </row>
      </sheetData>
      <sheetData sheetId="3893">
        <row r="8">
          <cell r="D8" t="str">
            <v>Paramaz Avedisian Building</v>
          </cell>
        </row>
      </sheetData>
      <sheetData sheetId="3894">
        <row r="8">
          <cell r="D8" t="str">
            <v>Paramaz Avedisian Building</v>
          </cell>
        </row>
      </sheetData>
      <sheetData sheetId="3895">
        <row r="8">
          <cell r="D8" t="str">
            <v>Paramaz Avedisian Building</v>
          </cell>
        </row>
      </sheetData>
      <sheetData sheetId="3896">
        <row r="8">
          <cell r="D8" t="str">
            <v>Paramaz Avedisian Building</v>
          </cell>
        </row>
      </sheetData>
      <sheetData sheetId="3897">
        <row r="8">
          <cell r="D8" t="str">
            <v>Paramaz Avedisian Building</v>
          </cell>
        </row>
      </sheetData>
      <sheetData sheetId="3898">
        <row r="8">
          <cell r="D8" t="str">
            <v>Paramaz Avedisian Building</v>
          </cell>
        </row>
      </sheetData>
      <sheetData sheetId="3899">
        <row r="8">
          <cell r="D8" t="str">
            <v>Paramaz Avedisian Building</v>
          </cell>
        </row>
      </sheetData>
      <sheetData sheetId="3900">
        <row r="8">
          <cell r="D8" t="str">
            <v>Paramaz Avedisian Building</v>
          </cell>
        </row>
      </sheetData>
      <sheetData sheetId="3901">
        <row r="8">
          <cell r="D8" t="str">
            <v>Paramaz Avedisian Building</v>
          </cell>
        </row>
      </sheetData>
      <sheetData sheetId="3902">
        <row r="8">
          <cell r="D8" t="str">
            <v>Paramaz Avedisian Building</v>
          </cell>
        </row>
      </sheetData>
      <sheetData sheetId="3903">
        <row r="8">
          <cell r="D8" t="str">
            <v>Paramaz Avedisian Building</v>
          </cell>
        </row>
      </sheetData>
      <sheetData sheetId="3904">
        <row r="8">
          <cell r="D8" t="str">
            <v>Paramaz Avedisian Building</v>
          </cell>
        </row>
      </sheetData>
      <sheetData sheetId="3905">
        <row r="8">
          <cell r="D8" t="str">
            <v>Paramaz Avedisian Building</v>
          </cell>
        </row>
      </sheetData>
      <sheetData sheetId="3906">
        <row r="8">
          <cell r="D8" t="str">
            <v>Paramaz Avedisian Building</v>
          </cell>
        </row>
      </sheetData>
      <sheetData sheetId="3907">
        <row r="8">
          <cell r="D8" t="str">
            <v>Paramaz Avedisian Building</v>
          </cell>
        </row>
      </sheetData>
      <sheetData sheetId="3908">
        <row r="8">
          <cell r="D8" t="str">
            <v>Paramaz Avedisian Building</v>
          </cell>
        </row>
      </sheetData>
      <sheetData sheetId="3909">
        <row r="8">
          <cell r="D8" t="str">
            <v>Paramaz Avedisian Building</v>
          </cell>
        </row>
      </sheetData>
      <sheetData sheetId="3910">
        <row r="8">
          <cell r="D8" t="str">
            <v>Paramaz Avedisian Building</v>
          </cell>
        </row>
      </sheetData>
      <sheetData sheetId="3911">
        <row r="8">
          <cell r="D8" t="str">
            <v>Paramaz Avedisian Building</v>
          </cell>
        </row>
      </sheetData>
      <sheetData sheetId="3912">
        <row r="8">
          <cell r="D8" t="str">
            <v>Paramaz Avedisian Building</v>
          </cell>
        </row>
      </sheetData>
      <sheetData sheetId="3913">
        <row r="8">
          <cell r="D8" t="str">
            <v>Paramaz Avedisian Building</v>
          </cell>
        </row>
      </sheetData>
      <sheetData sheetId="3914">
        <row r="8">
          <cell r="D8" t="str">
            <v>Paramaz Avedisian Building</v>
          </cell>
        </row>
      </sheetData>
      <sheetData sheetId="3915">
        <row r="8">
          <cell r="D8" t="str">
            <v>Paramaz Avedisian Building</v>
          </cell>
        </row>
      </sheetData>
      <sheetData sheetId="3916">
        <row r="8">
          <cell r="D8" t="str">
            <v>Paramaz Avedisian Building</v>
          </cell>
        </row>
      </sheetData>
      <sheetData sheetId="3917">
        <row r="8">
          <cell r="D8" t="str">
            <v>Paramaz Avedisian Building</v>
          </cell>
        </row>
      </sheetData>
      <sheetData sheetId="3918">
        <row r="8">
          <cell r="D8" t="str">
            <v>Paramaz Avedisian Building</v>
          </cell>
        </row>
      </sheetData>
      <sheetData sheetId="3919">
        <row r="8">
          <cell r="D8" t="str">
            <v>Paramaz Avedisian Building</v>
          </cell>
        </row>
      </sheetData>
      <sheetData sheetId="3920">
        <row r="8">
          <cell r="D8" t="str">
            <v>Paramaz Avedisian Building</v>
          </cell>
        </row>
      </sheetData>
      <sheetData sheetId="3921">
        <row r="8">
          <cell r="D8" t="str">
            <v>Paramaz Avedisian Building</v>
          </cell>
        </row>
      </sheetData>
      <sheetData sheetId="3922">
        <row r="8">
          <cell r="D8" t="str">
            <v>Paramaz Avedisian Building</v>
          </cell>
        </row>
      </sheetData>
      <sheetData sheetId="3923">
        <row r="8">
          <cell r="D8" t="str">
            <v>Paramaz Avedisian Building</v>
          </cell>
        </row>
      </sheetData>
      <sheetData sheetId="3924">
        <row r="8">
          <cell r="D8" t="str">
            <v>Paramaz Avedisian Building</v>
          </cell>
        </row>
      </sheetData>
      <sheetData sheetId="3925">
        <row r="8">
          <cell r="D8" t="str">
            <v>Paramaz Avedisian Building</v>
          </cell>
        </row>
      </sheetData>
      <sheetData sheetId="3926">
        <row r="8">
          <cell r="D8" t="str">
            <v>Paramaz Avedisian Building</v>
          </cell>
        </row>
      </sheetData>
      <sheetData sheetId="3927">
        <row r="8">
          <cell r="D8" t="str">
            <v>Paramaz Avedisian Building</v>
          </cell>
        </row>
      </sheetData>
      <sheetData sheetId="3928"/>
      <sheetData sheetId="3929"/>
      <sheetData sheetId="3930"/>
      <sheetData sheetId="3931"/>
      <sheetData sheetId="3932"/>
      <sheetData sheetId="3933"/>
      <sheetData sheetId="3934"/>
      <sheetData sheetId="3935"/>
      <sheetData sheetId="3936"/>
      <sheetData sheetId="3937"/>
      <sheetData sheetId="3938">
        <row r="8">
          <cell r="D8" t="str">
            <v>Paramaz Avedisian Building</v>
          </cell>
        </row>
      </sheetData>
      <sheetData sheetId="3939">
        <row r="8">
          <cell r="D8" t="str">
            <v>Paramaz Avedisian Building</v>
          </cell>
        </row>
      </sheetData>
      <sheetData sheetId="3940">
        <row r="8">
          <cell r="D8" t="str">
            <v>Paramaz Avedisian Building</v>
          </cell>
        </row>
      </sheetData>
      <sheetData sheetId="3941">
        <row r="8">
          <cell r="D8" t="str">
            <v>Paramaz Avedisian Building</v>
          </cell>
        </row>
      </sheetData>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row r="8">
          <cell r="D8" t="str">
            <v>Paramaz Avedisian Building</v>
          </cell>
        </row>
      </sheetData>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row r="8">
          <cell r="D8" t="str">
            <v>Paramaz Avedisian Building</v>
          </cell>
        </row>
      </sheetData>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row r="8">
          <cell r="D8">
            <v>281.44000000000005</v>
          </cell>
        </row>
      </sheetData>
      <sheetData sheetId="4044">
        <row r="8">
          <cell r="D8">
            <v>281.44000000000005</v>
          </cell>
        </row>
      </sheetData>
      <sheetData sheetId="4045">
        <row r="8">
          <cell r="D8">
            <v>281.44000000000005</v>
          </cell>
        </row>
      </sheetData>
      <sheetData sheetId="4046">
        <row r="8">
          <cell r="D8" t="str">
            <v>Paramaz Avedisian Building</v>
          </cell>
        </row>
      </sheetData>
      <sheetData sheetId="4047">
        <row r="8">
          <cell r="D8">
            <v>281.44000000000005</v>
          </cell>
        </row>
      </sheetData>
      <sheetData sheetId="4048">
        <row r="8">
          <cell r="D8">
            <v>281.44000000000005</v>
          </cell>
        </row>
      </sheetData>
      <sheetData sheetId="4049">
        <row r="8">
          <cell r="D8">
            <v>281.44000000000005</v>
          </cell>
        </row>
      </sheetData>
      <sheetData sheetId="4050">
        <row r="8">
          <cell r="D8">
            <v>281.44000000000005</v>
          </cell>
        </row>
      </sheetData>
      <sheetData sheetId="4051">
        <row r="8">
          <cell r="D8">
            <v>281.44000000000005</v>
          </cell>
        </row>
      </sheetData>
      <sheetData sheetId="4052">
        <row r="8">
          <cell r="D8">
            <v>281.44000000000005</v>
          </cell>
        </row>
      </sheetData>
      <sheetData sheetId="4053">
        <row r="8">
          <cell r="D8">
            <v>281.44000000000005</v>
          </cell>
        </row>
      </sheetData>
      <sheetData sheetId="4054">
        <row r="8">
          <cell r="D8">
            <v>281.44000000000005</v>
          </cell>
        </row>
      </sheetData>
      <sheetData sheetId="4055">
        <row r="8">
          <cell r="D8">
            <v>281.44000000000005</v>
          </cell>
        </row>
      </sheetData>
      <sheetData sheetId="4056">
        <row r="8">
          <cell r="D8">
            <v>281.44000000000005</v>
          </cell>
        </row>
      </sheetData>
      <sheetData sheetId="4057">
        <row r="8">
          <cell r="D8">
            <v>281.44000000000005</v>
          </cell>
        </row>
      </sheetData>
      <sheetData sheetId="4058">
        <row r="8">
          <cell r="D8">
            <v>281.44000000000005</v>
          </cell>
        </row>
      </sheetData>
      <sheetData sheetId="4059">
        <row r="8">
          <cell r="D8">
            <v>281.44000000000005</v>
          </cell>
        </row>
      </sheetData>
      <sheetData sheetId="4060">
        <row r="8">
          <cell r="D8">
            <v>281.44000000000005</v>
          </cell>
        </row>
      </sheetData>
      <sheetData sheetId="4061">
        <row r="8">
          <cell r="D8">
            <v>281.44000000000005</v>
          </cell>
        </row>
      </sheetData>
      <sheetData sheetId="4062">
        <row r="8">
          <cell r="D8">
            <v>281.44000000000005</v>
          </cell>
        </row>
      </sheetData>
      <sheetData sheetId="4063">
        <row r="8">
          <cell r="D8">
            <v>281.44000000000005</v>
          </cell>
        </row>
      </sheetData>
      <sheetData sheetId="4064">
        <row r="8">
          <cell r="D8" t="str">
            <v>Paramaz Avedisian Building</v>
          </cell>
        </row>
      </sheetData>
      <sheetData sheetId="4065">
        <row r="8">
          <cell r="D8">
            <v>281.44000000000005</v>
          </cell>
        </row>
      </sheetData>
      <sheetData sheetId="4066">
        <row r="8">
          <cell r="D8">
            <v>281.44000000000005</v>
          </cell>
        </row>
      </sheetData>
      <sheetData sheetId="4067">
        <row r="8">
          <cell r="D8">
            <v>281.44000000000005</v>
          </cell>
        </row>
      </sheetData>
      <sheetData sheetId="4068">
        <row r="8">
          <cell r="D8">
            <v>281.44000000000005</v>
          </cell>
        </row>
      </sheetData>
      <sheetData sheetId="4069">
        <row r="8">
          <cell r="D8" t="str">
            <v>Paramaz Avedisian Building</v>
          </cell>
        </row>
      </sheetData>
      <sheetData sheetId="4070">
        <row r="8">
          <cell r="D8" t="str">
            <v>Paramaz Avedisian Building</v>
          </cell>
        </row>
      </sheetData>
      <sheetData sheetId="4071">
        <row r="8">
          <cell r="D8" t="str">
            <v>Paramaz Avedisian Building</v>
          </cell>
        </row>
      </sheetData>
      <sheetData sheetId="4072">
        <row r="8">
          <cell r="D8" t="str">
            <v>Paramaz Avedisian Building</v>
          </cell>
        </row>
      </sheetData>
      <sheetData sheetId="4073">
        <row r="8">
          <cell r="D8" t="str">
            <v>Paramaz Avedisian Building</v>
          </cell>
        </row>
      </sheetData>
      <sheetData sheetId="4074">
        <row r="8">
          <cell r="D8" t="str">
            <v>Paramaz Avedisian Building</v>
          </cell>
        </row>
      </sheetData>
      <sheetData sheetId="4075">
        <row r="8">
          <cell r="D8" t="str">
            <v>Paramaz Avedisian Building</v>
          </cell>
        </row>
      </sheetData>
      <sheetData sheetId="4076">
        <row r="8">
          <cell r="D8" t="str">
            <v>Paramaz Avedisian Building</v>
          </cell>
        </row>
      </sheetData>
      <sheetData sheetId="4077">
        <row r="8">
          <cell r="D8" t="str">
            <v>Paramaz Avedisian Building</v>
          </cell>
        </row>
      </sheetData>
      <sheetData sheetId="4078">
        <row r="8">
          <cell r="D8" t="str">
            <v>Paramaz Avedisian Building</v>
          </cell>
        </row>
      </sheetData>
      <sheetData sheetId="4079">
        <row r="8">
          <cell r="D8" t="str">
            <v>Paramaz Avedisian Building</v>
          </cell>
        </row>
      </sheetData>
      <sheetData sheetId="4080">
        <row r="8">
          <cell r="D8" t="str">
            <v>Paramaz Avedisian Building</v>
          </cell>
        </row>
      </sheetData>
      <sheetData sheetId="4081">
        <row r="8">
          <cell r="D8" t="str">
            <v>Paramaz Avedisian Building</v>
          </cell>
        </row>
      </sheetData>
      <sheetData sheetId="4082">
        <row r="8">
          <cell r="D8" t="str">
            <v>Paramaz Avedisian Building</v>
          </cell>
        </row>
      </sheetData>
      <sheetData sheetId="4083">
        <row r="8">
          <cell r="D8" t="str">
            <v>Paramaz Avedisian Building</v>
          </cell>
        </row>
      </sheetData>
      <sheetData sheetId="4084">
        <row r="8">
          <cell r="D8" t="str">
            <v>Paramaz Avedisian Building</v>
          </cell>
        </row>
      </sheetData>
      <sheetData sheetId="4085">
        <row r="8">
          <cell r="D8" t="str">
            <v>Paramaz Avedisian Building</v>
          </cell>
        </row>
      </sheetData>
      <sheetData sheetId="4086">
        <row r="8">
          <cell r="D8" t="str">
            <v>Paramaz Avedisian Building</v>
          </cell>
        </row>
      </sheetData>
      <sheetData sheetId="4087">
        <row r="8">
          <cell r="D8" t="str">
            <v>Paramaz Avedisian Building</v>
          </cell>
        </row>
      </sheetData>
      <sheetData sheetId="4088">
        <row r="8">
          <cell r="D8" t="str">
            <v>Paramaz Avedisian Building</v>
          </cell>
        </row>
      </sheetData>
      <sheetData sheetId="4089">
        <row r="8">
          <cell r="D8" t="str">
            <v>Paramaz Avedisian Building</v>
          </cell>
        </row>
      </sheetData>
      <sheetData sheetId="4090">
        <row r="8">
          <cell r="D8" t="str">
            <v>Paramaz Avedisian Building</v>
          </cell>
        </row>
      </sheetData>
      <sheetData sheetId="4091">
        <row r="8">
          <cell r="D8" t="str">
            <v>Paramaz Avedisian Building</v>
          </cell>
        </row>
      </sheetData>
      <sheetData sheetId="4092">
        <row r="8">
          <cell r="D8" t="str">
            <v>Paramaz Avedisian Building</v>
          </cell>
        </row>
      </sheetData>
      <sheetData sheetId="4093">
        <row r="8">
          <cell r="D8" t="str">
            <v>Paramaz Avedisian Building</v>
          </cell>
        </row>
      </sheetData>
      <sheetData sheetId="4094">
        <row r="8">
          <cell r="D8" t="str">
            <v>Paramaz Avedisian Building</v>
          </cell>
        </row>
      </sheetData>
      <sheetData sheetId="4095">
        <row r="8">
          <cell r="D8" t="str">
            <v>Paramaz Avedisian Building</v>
          </cell>
        </row>
      </sheetData>
      <sheetData sheetId="4096">
        <row r="8">
          <cell r="D8" t="str">
            <v>Paramaz Avedisian Building</v>
          </cell>
        </row>
      </sheetData>
      <sheetData sheetId="4097">
        <row r="8">
          <cell r="D8" t="str">
            <v>Paramaz Avedisian Building</v>
          </cell>
        </row>
      </sheetData>
      <sheetData sheetId="4098">
        <row r="8">
          <cell r="D8" t="str">
            <v>Paramaz Avedisian Building</v>
          </cell>
        </row>
      </sheetData>
      <sheetData sheetId="4099">
        <row r="8">
          <cell r="D8" t="str">
            <v>Paramaz Avedisian Building</v>
          </cell>
        </row>
      </sheetData>
      <sheetData sheetId="4100">
        <row r="8">
          <cell r="D8" t="str">
            <v>Paramaz Avedisian Building</v>
          </cell>
        </row>
      </sheetData>
      <sheetData sheetId="4101">
        <row r="8">
          <cell r="D8" t="str">
            <v>Paramaz Avedisian Building</v>
          </cell>
        </row>
      </sheetData>
      <sheetData sheetId="4102">
        <row r="8">
          <cell r="D8" t="str">
            <v>Paramaz Avedisian Building</v>
          </cell>
        </row>
      </sheetData>
      <sheetData sheetId="4103">
        <row r="8">
          <cell r="D8" t="str">
            <v>Paramaz Avedisian Building</v>
          </cell>
        </row>
      </sheetData>
      <sheetData sheetId="4104">
        <row r="8">
          <cell r="D8" t="str">
            <v>Paramaz Avedisian Building</v>
          </cell>
        </row>
      </sheetData>
      <sheetData sheetId="4105">
        <row r="8">
          <cell r="D8" t="str">
            <v>Paramaz Avedisian Building</v>
          </cell>
        </row>
      </sheetData>
      <sheetData sheetId="4106">
        <row r="8">
          <cell r="D8" t="str">
            <v>Paramaz Avedisian Building</v>
          </cell>
        </row>
      </sheetData>
      <sheetData sheetId="4107">
        <row r="8">
          <cell r="D8" t="str">
            <v>Paramaz Avedisian Building</v>
          </cell>
        </row>
      </sheetData>
      <sheetData sheetId="4108">
        <row r="8">
          <cell r="D8" t="str">
            <v>Paramaz Avedisian Building</v>
          </cell>
        </row>
      </sheetData>
      <sheetData sheetId="4109">
        <row r="8">
          <cell r="D8" t="str">
            <v>Paramaz Avedisian Building</v>
          </cell>
        </row>
      </sheetData>
      <sheetData sheetId="4110">
        <row r="8">
          <cell r="D8" t="str">
            <v>Paramaz Avedisian Building</v>
          </cell>
        </row>
      </sheetData>
      <sheetData sheetId="4111">
        <row r="8">
          <cell r="D8" t="str">
            <v>Paramaz Avedisian Building</v>
          </cell>
        </row>
      </sheetData>
      <sheetData sheetId="4112">
        <row r="8">
          <cell r="D8" t="str">
            <v>Paramaz Avedisian Building</v>
          </cell>
        </row>
      </sheetData>
      <sheetData sheetId="4113">
        <row r="8">
          <cell r="D8" t="str">
            <v>Paramaz Avedisian Building</v>
          </cell>
        </row>
      </sheetData>
      <sheetData sheetId="4114">
        <row r="8">
          <cell r="D8" t="str">
            <v>Paramaz Avedisian Building</v>
          </cell>
        </row>
      </sheetData>
      <sheetData sheetId="4115">
        <row r="8">
          <cell r="D8" t="str">
            <v>Paramaz Avedisian Building</v>
          </cell>
        </row>
      </sheetData>
      <sheetData sheetId="4116">
        <row r="8">
          <cell r="D8" t="str">
            <v>Paramaz Avedisian Building</v>
          </cell>
        </row>
      </sheetData>
      <sheetData sheetId="4117">
        <row r="8">
          <cell r="D8" t="str">
            <v>Paramaz Avedisian Building</v>
          </cell>
        </row>
      </sheetData>
      <sheetData sheetId="4118">
        <row r="8">
          <cell r="D8" t="str">
            <v>Paramaz Avedisian Building</v>
          </cell>
        </row>
      </sheetData>
      <sheetData sheetId="4119">
        <row r="8">
          <cell r="D8" t="str">
            <v>Paramaz Avedisian Building</v>
          </cell>
        </row>
      </sheetData>
      <sheetData sheetId="4120">
        <row r="8">
          <cell r="D8" t="str">
            <v>Paramaz Avedisian Building</v>
          </cell>
        </row>
      </sheetData>
      <sheetData sheetId="4121">
        <row r="8">
          <cell r="D8" t="str">
            <v>Paramaz Avedisian Building</v>
          </cell>
        </row>
      </sheetData>
      <sheetData sheetId="4122">
        <row r="8">
          <cell r="D8" t="str">
            <v>Paramaz Avedisian Building</v>
          </cell>
        </row>
      </sheetData>
      <sheetData sheetId="4123">
        <row r="8">
          <cell r="D8" t="str">
            <v>Paramaz Avedisian Building</v>
          </cell>
        </row>
      </sheetData>
      <sheetData sheetId="4124">
        <row r="8">
          <cell r="D8" t="str">
            <v>Paramaz Avedisian Building</v>
          </cell>
        </row>
      </sheetData>
      <sheetData sheetId="4125">
        <row r="8">
          <cell r="D8" t="str">
            <v>Paramaz Avedisian Building</v>
          </cell>
        </row>
      </sheetData>
      <sheetData sheetId="4126">
        <row r="8">
          <cell r="D8" t="str">
            <v>Paramaz Avedisian Building</v>
          </cell>
        </row>
      </sheetData>
      <sheetData sheetId="4127">
        <row r="8">
          <cell r="D8" t="str">
            <v>Paramaz Avedisian Building</v>
          </cell>
        </row>
      </sheetData>
      <sheetData sheetId="4128">
        <row r="8">
          <cell r="D8" t="str">
            <v>Paramaz Avedisian Building</v>
          </cell>
        </row>
      </sheetData>
      <sheetData sheetId="4129">
        <row r="8">
          <cell r="D8">
            <v>281.44000000000005</v>
          </cell>
        </row>
      </sheetData>
      <sheetData sheetId="4130">
        <row r="8">
          <cell r="D8" t="str">
            <v>Paramaz Avedisian Building</v>
          </cell>
        </row>
      </sheetData>
      <sheetData sheetId="4131">
        <row r="8">
          <cell r="D8" t="str">
            <v>Paramaz Avedisian Building</v>
          </cell>
        </row>
      </sheetData>
      <sheetData sheetId="4132">
        <row r="8">
          <cell r="D8" t="str">
            <v>Paramaz Avedisian Building</v>
          </cell>
        </row>
      </sheetData>
      <sheetData sheetId="4133">
        <row r="8">
          <cell r="D8" t="str">
            <v>Paramaz Avedisian Building</v>
          </cell>
        </row>
      </sheetData>
      <sheetData sheetId="4134">
        <row r="8">
          <cell r="D8">
            <v>281.44000000000005</v>
          </cell>
        </row>
      </sheetData>
      <sheetData sheetId="4135">
        <row r="8">
          <cell r="D8">
            <v>281.44000000000005</v>
          </cell>
        </row>
      </sheetData>
      <sheetData sheetId="4136">
        <row r="8">
          <cell r="D8">
            <v>281.44000000000005</v>
          </cell>
        </row>
      </sheetData>
      <sheetData sheetId="4137">
        <row r="8">
          <cell r="D8">
            <v>281.44000000000005</v>
          </cell>
        </row>
      </sheetData>
      <sheetData sheetId="4138">
        <row r="8">
          <cell r="D8">
            <v>281.44000000000005</v>
          </cell>
        </row>
      </sheetData>
      <sheetData sheetId="4139">
        <row r="8">
          <cell r="D8">
            <v>281.44000000000005</v>
          </cell>
        </row>
      </sheetData>
      <sheetData sheetId="4140">
        <row r="8">
          <cell r="D8" t="str">
            <v>Paramaz Avedisian Building</v>
          </cell>
        </row>
      </sheetData>
      <sheetData sheetId="4141">
        <row r="8">
          <cell r="D8" t="str">
            <v>Paramaz Avedisian Building</v>
          </cell>
        </row>
      </sheetData>
      <sheetData sheetId="4142">
        <row r="8">
          <cell r="D8">
            <v>281.44000000000005</v>
          </cell>
        </row>
      </sheetData>
      <sheetData sheetId="4143">
        <row r="8">
          <cell r="D8" t="str">
            <v>Paramaz Avedisian Building</v>
          </cell>
        </row>
      </sheetData>
      <sheetData sheetId="4144">
        <row r="8">
          <cell r="D8" t="str">
            <v>Paramaz Avedisian Building</v>
          </cell>
        </row>
      </sheetData>
      <sheetData sheetId="4145">
        <row r="8">
          <cell r="D8" t="str">
            <v>Paramaz Avedisian Building</v>
          </cell>
        </row>
      </sheetData>
      <sheetData sheetId="4146">
        <row r="8">
          <cell r="D8" t="str">
            <v>Paramaz Avedisian Building</v>
          </cell>
        </row>
      </sheetData>
      <sheetData sheetId="4147">
        <row r="8">
          <cell r="D8" t="str">
            <v>Paramaz Avedisian Building</v>
          </cell>
        </row>
      </sheetData>
      <sheetData sheetId="4148">
        <row r="8">
          <cell r="D8" t="str">
            <v>Paramaz Avedisian Building</v>
          </cell>
        </row>
      </sheetData>
      <sheetData sheetId="4149">
        <row r="8">
          <cell r="D8" t="str">
            <v>Paramaz Avedisian Building</v>
          </cell>
        </row>
      </sheetData>
      <sheetData sheetId="4150">
        <row r="8">
          <cell r="D8" t="str">
            <v>Paramaz Avedisian Building</v>
          </cell>
        </row>
      </sheetData>
      <sheetData sheetId="4151">
        <row r="8">
          <cell r="D8" t="str">
            <v>Paramaz Avedisian Building</v>
          </cell>
        </row>
      </sheetData>
      <sheetData sheetId="4152">
        <row r="8">
          <cell r="D8" t="str">
            <v>Paramaz Avedisian Building</v>
          </cell>
        </row>
      </sheetData>
      <sheetData sheetId="4153">
        <row r="8">
          <cell r="D8" t="str">
            <v>Paramaz Avedisian Building</v>
          </cell>
        </row>
      </sheetData>
      <sheetData sheetId="4154">
        <row r="8">
          <cell r="D8" t="str">
            <v>Paramaz Avedisian Building</v>
          </cell>
        </row>
      </sheetData>
      <sheetData sheetId="4155">
        <row r="8">
          <cell r="D8" t="str">
            <v>Paramaz Avedisian Building</v>
          </cell>
        </row>
      </sheetData>
      <sheetData sheetId="4156">
        <row r="8">
          <cell r="D8" t="str">
            <v>Paramaz Avedisian Building</v>
          </cell>
        </row>
      </sheetData>
      <sheetData sheetId="4157">
        <row r="8">
          <cell r="D8" t="str">
            <v>Paramaz Avedisian Building</v>
          </cell>
        </row>
      </sheetData>
      <sheetData sheetId="4158">
        <row r="8">
          <cell r="D8" t="str">
            <v>Paramaz Avedisian Building</v>
          </cell>
        </row>
      </sheetData>
      <sheetData sheetId="4159">
        <row r="8">
          <cell r="D8" t="str">
            <v>Paramaz Avedisian Building</v>
          </cell>
        </row>
      </sheetData>
      <sheetData sheetId="4160">
        <row r="8">
          <cell r="D8" t="str">
            <v>Paramaz Avedisian Building</v>
          </cell>
        </row>
      </sheetData>
      <sheetData sheetId="4161">
        <row r="8">
          <cell r="D8" t="str">
            <v>Paramaz Avedisian Building</v>
          </cell>
        </row>
      </sheetData>
      <sheetData sheetId="4162">
        <row r="8">
          <cell r="D8" t="str">
            <v>Paramaz Avedisian Building</v>
          </cell>
        </row>
      </sheetData>
      <sheetData sheetId="4163">
        <row r="8">
          <cell r="D8" t="str">
            <v>Paramaz Avedisian Building</v>
          </cell>
        </row>
      </sheetData>
      <sheetData sheetId="4164">
        <row r="8">
          <cell r="D8">
            <v>281.44000000000005</v>
          </cell>
        </row>
      </sheetData>
      <sheetData sheetId="4165">
        <row r="8">
          <cell r="D8">
            <v>281.44000000000005</v>
          </cell>
        </row>
      </sheetData>
      <sheetData sheetId="4166">
        <row r="8">
          <cell r="D8">
            <v>281.44000000000005</v>
          </cell>
        </row>
      </sheetData>
      <sheetData sheetId="4167">
        <row r="8">
          <cell r="D8">
            <v>281.44000000000005</v>
          </cell>
        </row>
      </sheetData>
      <sheetData sheetId="4168">
        <row r="8">
          <cell r="D8" t="str">
            <v>Paramaz Avedisian Building</v>
          </cell>
        </row>
      </sheetData>
      <sheetData sheetId="4169">
        <row r="8">
          <cell r="D8" t="str">
            <v>Paramaz Avedisian Building</v>
          </cell>
        </row>
      </sheetData>
      <sheetData sheetId="4170">
        <row r="8">
          <cell r="D8" t="str">
            <v>Paramaz Avedisian Building</v>
          </cell>
        </row>
      </sheetData>
      <sheetData sheetId="4171">
        <row r="8">
          <cell r="D8">
            <v>281.44000000000005</v>
          </cell>
        </row>
      </sheetData>
      <sheetData sheetId="4172">
        <row r="8">
          <cell r="D8">
            <v>281.44000000000005</v>
          </cell>
        </row>
      </sheetData>
      <sheetData sheetId="4173">
        <row r="8">
          <cell r="D8">
            <v>281.44000000000005</v>
          </cell>
        </row>
      </sheetData>
      <sheetData sheetId="4174">
        <row r="8">
          <cell r="D8" t="str">
            <v>Paramaz Avedisian Building</v>
          </cell>
        </row>
      </sheetData>
      <sheetData sheetId="4175">
        <row r="8">
          <cell r="D8">
            <v>281.44000000000005</v>
          </cell>
        </row>
      </sheetData>
      <sheetData sheetId="4176">
        <row r="8">
          <cell r="D8">
            <v>281.44000000000005</v>
          </cell>
        </row>
      </sheetData>
      <sheetData sheetId="4177">
        <row r="8">
          <cell r="D8">
            <v>281.44000000000005</v>
          </cell>
        </row>
      </sheetData>
      <sheetData sheetId="4178">
        <row r="8">
          <cell r="D8">
            <v>281.44000000000005</v>
          </cell>
        </row>
      </sheetData>
      <sheetData sheetId="4179">
        <row r="8">
          <cell r="D8">
            <v>281.44000000000005</v>
          </cell>
        </row>
      </sheetData>
      <sheetData sheetId="4180">
        <row r="8">
          <cell r="D8">
            <v>281.44000000000005</v>
          </cell>
        </row>
      </sheetData>
      <sheetData sheetId="4181">
        <row r="8">
          <cell r="D8">
            <v>281.44000000000005</v>
          </cell>
        </row>
      </sheetData>
      <sheetData sheetId="4182">
        <row r="8">
          <cell r="D8">
            <v>281.44000000000005</v>
          </cell>
        </row>
      </sheetData>
      <sheetData sheetId="4183">
        <row r="8">
          <cell r="D8">
            <v>281.44000000000005</v>
          </cell>
        </row>
      </sheetData>
      <sheetData sheetId="4184">
        <row r="8">
          <cell r="D8">
            <v>281.44000000000005</v>
          </cell>
        </row>
      </sheetData>
      <sheetData sheetId="4185">
        <row r="8">
          <cell r="D8">
            <v>281.44000000000005</v>
          </cell>
        </row>
      </sheetData>
      <sheetData sheetId="4186">
        <row r="8">
          <cell r="D8">
            <v>281.44000000000005</v>
          </cell>
        </row>
      </sheetData>
      <sheetData sheetId="4187">
        <row r="8">
          <cell r="D8">
            <v>281.44000000000005</v>
          </cell>
        </row>
      </sheetData>
      <sheetData sheetId="4188">
        <row r="8">
          <cell r="D8">
            <v>281.44000000000005</v>
          </cell>
        </row>
      </sheetData>
      <sheetData sheetId="4189">
        <row r="8">
          <cell r="D8">
            <v>281.44000000000005</v>
          </cell>
        </row>
      </sheetData>
      <sheetData sheetId="4190">
        <row r="8">
          <cell r="D8">
            <v>281.44000000000005</v>
          </cell>
        </row>
      </sheetData>
      <sheetData sheetId="4191">
        <row r="8">
          <cell r="D8">
            <v>281.44000000000005</v>
          </cell>
        </row>
      </sheetData>
      <sheetData sheetId="4192">
        <row r="8">
          <cell r="D8">
            <v>281.44000000000005</v>
          </cell>
        </row>
      </sheetData>
      <sheetData sheetId="4193">
        <row r="8">
          <cell r="D8">
            <v>281.44000000000005</v>
          </cell>
        </row>
      </sheetData>
      <sheetData sheetId="4194">
        <row r="8">
          <cell r="D8">
            <v>281.44000000000005</v>
          </cell>
        </row>
      </sheetData>
      <sheetData sheetId="4195">
        <row r="8">
          <cell r="D8">
            <v>281.44000000000005</v>
          </cell>
        </row>
      </sheetData>
      <sheetData sheetId="4196">
        <row r="8">
          <cell r="D8">
            <v>281.44000000000005</v>
          </cell>
        </row>
      </sheetData>
      <sheetData sheetId="4197">
        <row r="8">
          <cell r="D8">
            <v>281.44000000000005</v>
          </cell>
        </row>
      </sheetData>
      <sheetData sheetId="4198">
        <row r="8">
          <cell r="D8">
            <v>281.44000000000005</v>
          </cell>
        </row>
      </sheetData>
      <sheetData sheetId="4199">
        <row r="8">
          <cell r="D8">
            <v>281.44000000000005</v>
          </cell>
        </row>
      </sheetData>
      <sheetData sheetId="4200">
        <row r="8">
          <cell r="D8">
            <v>281.44000000000005</v>
          </cell>
        </row>
      </sheetData>
      <sheetData sheetId="4201">
        <row r="8">
          <cell r="D8">
            <v>281.44000000000005</v>
          </cell>
        </row>
      </sheetData>
      <sheetData sheetId="4202">
        <row r="8">
          <cell r="D8">
            <v>281.44000000000005</v>
          </cell>
        </row>
      </sheetData>
      <sheetData sheetId="4203">
        <row r="8">
          <cell r="D8">
            <v>281.44000000000005</v>
          </cell>
        </row>
      </sheetData>
      <sheetData sheetId="4204">
        <row r="8">
          <cell r="D8">
            <v>281.44000000000005</v>
          </cell>
        </row>
      </sheetData>
      <sheetData sheetId="4205">
        <row r="8">
          <cell r="D8">
            <v>281.44000000000005</v>
          </cell>
        </row>
      </sheetData>
      <sheetData sheetId="4206">
        <row r="8">
          <cell r="D8">
            <v>281.44000000000005</v>
          </cell>
        </row>
      </sheetData>
      <sheetData sheetId="4207">
        <row r="8">
          <cell r="D8">
            <v>281.44000000000005</v>
          </cell>
        </row>
      </sheetData>
      <sheetData sheetId="4208">
        <row r="8">
          <cell r="D8">
            <v>281.44000000000005</v>
          </cell>
        </row>
      </sheetData>
      <sheetData sheetId="4209">
        <row r="8">
          <cell r="D8">
            <v>281.44000000000005</v>
          </cell>
        </row>
      </sheetData>
      <sheetData sheetId="4210">
        <row r="8">
          <cell r="D8">
            <v>281.44000000000005</v>
          </cell>
        </row>
      </sheetData>
      <sheetData sheetId="4211">
        <row r="8">
          <cell r="D8">
            <v>281.44000000000005</v>
          </cell>
        </row>
      </sheetData>
      <sheetData sheetId="4212">
        <row r="8">
          <cell r="D8">
            <v>281.44000000000005</v>
          </cell>
        </row>
      </sheetData>
      <sheetData sheetId="4213">
        <row r="8">
          <cell r="D8">
            <v>281.44000000000005</v>
          </cell>
        </row>
      </sheetData>
      <sheetData sheetId="4214">
        <row r="8">
          <cell r="D8">
            <v>281.44000000000005</v>
          </cell>
        </row>
      </sheetData>
      <sheetData sheetId="4215">
        <row r="8">
          <cell r="D8">
            <v>281.44000000000005</v>
          </cell>
        </row>
      </sheetData>
      <sheetData sheetId="4216">
        <row r="8">
          <cell r="D8">
            <v>281.44000000000005</v>
          </cell>
        </row>
      </sheetData>
      <sheetData sheetId="4217">
        <row r="8">
          <cell r="D8">
            <v>281.44000000000005</v>
          </cell>
        </row>
      </sheetData>
      <sheetData sheetId="4218">
        <row r="8">
          <cell r="D8">
            <v>281.44000000000005</v>
          </cell>
        </row>
      </sheetData>
      <sheetData sheetId="4219">
        <row r="8">
          <cell r="D8">
            <v>281.44000000000005</v>
          </cell>
        </row>
      </sheetData>
      <sheetData sheetId="4220">
        <row r="8">
          <cell r="D8">
            <v>281.44000000000005</v>
          </cell>
        </row>
      </sheetData>
      <sheetData sheetId="4221">
        <row r="8">
          <cell r="D8">
            <v>281.44000000000005</v>
          </cell>
        </row>
      </sheetData>
      <sheetData sheetId="4222">
        <row r="8">
          <cell r="D8">
            <v>281.44000000000005</v>
          </cell>
        </row>
      </sheetData>
      <sheetData sheetId="4223">
        <row r="8">
          <cell r="D8">
            <v>281.44000000000005</v>
          </cell>
        </row>
      </sheetData>
      <sheetData sheetId="4224">
        <row r="8">
          <cell r="D8">
            <v>281.44000000000005</v>
          </cell>
        </row>
      </sheetData>
      <sheetData sheetId="4225">
        <row r="8">
          <cell r="D8">
            <v>281.44000000000005</v>
          </cell>
        </row>
      </sheetData>
      <sheetData sheetId="4226">
        <row r="8">
          <cell r="D8">
            <v>281.44000000000005</v>
          </cell>
        </row>
      </sheetData>
      <sheetData sheetId="4227">
        <row r="8">
          <cell r="D8">
            <v>281.44000000000005</v>
          </cell>
        </row>
      </sheetData>
      <sheetData sheetId="4228">
        <row r="8">
          <cell r="D8">
            <v>281.44000000000005</v>
          </cell>
        </row>
      </sheetData>
      <sheetData sheetId="4229">
        <row r="8">
          <cell r="D8">
            <v>281.44000000000005</v>
          </cell>
        </row>
      </sheetData>
      <sheetData sheetId="4230">
        <row r="8">
          <cell r="D8">
            <v>281.44000000000005</v>
          </cell>
        </row>
      </sheetData>
      <sheetData sheetId="4231">
        <row r="8">
          <cell r="D8">
            <v>281.44000000000005</v>
          </cell>
        </row>
      </sheetData>
      <sheetData sheetId="4232">
        <row r="8">
          <cell r="D8">
            <v>281.44000000000005</v>
          </cell>
        </row>
      </sheetData>
      <sheetData sheetId="4233">
        <row r="8">
          <cell r="D8">
            <v>281.44000000000005</v>
          </cell>
        </row>
      </sheetData>
      <sheetData sheetId="4234">
        <row r="8">
          <cell r="D8">
            <v>281.44000000000005</v>
          </cell>
        </row>
      </sheetData>
      <sheetData sheetId="4235">
        <row r="8">
          <cell r="D8">
            <v>281.44000000000005</v>
          </cell>
        </row>
      </sheetData>
      <sheetData sheetId="4236">
        <row r="8">
          <cell r="D8">
            <v>281.44000000000005</v>
          </cell>
        </row>
      </sheetData>
      <sheetData sheetId="4237">
        <row r="8">
          <cell r="D8">
            <v>281.44000000000005</v>
          </cell>
        </row>
      </sheetData>
      <sheetData sheetId="4238">
        <row r="8">
          <cell r="D8">
            <v>281.44000000000005</v>
          </cell>
        </row>
      </sheetData>
      <sheetData sheetId="4239">
        <row r="8">
          <cell r="D8">
            <v>281.44000000000005</v>
          </cell>
        </row>
      </sheetData>
      <sheetData sheetId="4240">
        <row r="8">
          <cell r="D8">
            <v>281.44000000000005</v>
          </cell>
        </row>
      </sheetData>
      <sheetData sheetId="4241">
        <row r="8">
          <cell r="D8">
            <v>281.44000000000005</v>
          </cell>
        </row>
      </sheetData>
      <sheetData sheetId="4242">
        <row r="8">
          <cell r="D8">
            <v>281.44000000000005</v>
          </cell>
        </row>
      </sheetData>
      <sheetData sheetId="4243">
        <row r="8">
          <cell r="D8">
            <v>281.44000000000005</v>
          </cell>
        </row>
      </sheetData>
      <sheetData sheetId="4244">
        <row r="8">
          <cell r="D8">
            <v>281.44000000000005</v>
          </cell>
        </row>
      </sheetData>
      <sheetData sheetId="4245">
        <row r="8">
          <cell r="D8">
            <v>281.44000000000005</v>
          </cell>
        </row>
      </sheetData>
      <sheetData sheetId="4246">
        <row r="8">
          <cell r="D8">
            <v>281.44000000000005</v>
          </cell>
        </row>
      </sheetData>
      <sheetData sheetId="4247">
        <row r="8">
          <cell r="D8">
            <v>281.44000000000005</v>
          </cell>
        </row>
      </sheetData>
      <sheetData sheetId="4248">
        <row r="8">
          <cell r="D8">
            <v>281.44000000000005</v>
          </cell>
        </row>
      </sheetData>
      <sheetData sheetId="4249">
        <row r="8">
          <cell r="D8">
            <v>281.44000000000005</v>
          </cell>
        </row>
      </sheetData>
      <sheetData sheetId="4250">
        <row r="8">
          <cell r="D8">
            <v>281.44000000000005</v>
          </cell>
        </row>
      </sheetData>
      <sheetData sheetId="4251">
        <row r="8">
          <cell r="D8">
            <v>281.44000000000005</v>
          </cell>
        </row>
      </sheetData>
      <sheetData sheetId="4252">
        <row r="8">
          <cell r="D8">
            <v>281.44000000000005</v>
          </cell>
        </row>
      </sheetData>
      <sheetData sheetId="4253">
        <row r="8">
          <cell r="D8">
            <v>281.44000000000005</v>
          </cell>
        </row>
      </sheetData>
      <sheetData sheetId="4254">
        <row r="8">
          <cell r="D8">
            <v>281.44000000000005</v>
          </cell>
        </row>
      </sheetData>
      <sheetData sheetId="4255">
        <row r="8">
          <cell r="D8">
            <v>281.44000000000005</v>
          </cell>
        </row>
      </sheetData>
      <sheetData sheetId="4256">
        <row r="8">
          <cell r="D8">
            <v>281.44000000000005</v>
          </cell>
        </row>
      </sheetData>
      <sheetData sheetId="4257">
        <row r="8">
          <cell r="D8">
            <v>281.44000000000005</v>
          </cell>
        </row>
      </sheetData>
      <sheetData sheetId="4258">
        <row r="8">
          <cell r="D8">
            <v>281.44000000000005</v>
          </cell>
        </row>
      </sheetData>
      <sheetData sheetId="4259">
        <row r="8">
          <cell r="D8">
            <v>281.44000000000005</v>
          </cell>
        </row>
      </sheetData>
      <sheetData sheetId="4260">
        <row r="8">
          <cell r="D8">
            <v>281.44000000000005</v>
          </cell>
        </row>
      </sheetData>
      <sheetData sheetId="4261">
        <row r="8">
          <cell r="D8">
            <v>281.44000000000005</v>
          </cell>
        </row>
      </sheetData>
      <sheetData sheetId="4262">
        <row r="8">
          <cell r="D8">
            <v>281.44000000000005</v>
          </cell>
        </row>
      </sheetData>
      <sheetData sheetId="4263">
        <row r="8">
          <cell r="D8">
            <v>281.44000000000005</v>
          </cell>
        </row>
      </sheetData>
      <sheetData sheetId="4264">
        <row r="8">
          <cell r="D8">
            <v>281.44000000000005</v>
          </cell>
        </row>
      </sheetData>
      <sheetData sheetId="4265">
        <row r="8">
          <cell r="D8">
            <v>281.44000000000005</v>
          </cell>
        </row>
      </sheetData>
      <sheetData sheetId="4266">
        <row r="8">
          <cell r="D8">
            <v>281.44000000000005</v>
          </cell>
        </row>
      </sheetData>
      <sheetData sheetId="4267">
        <row r="8">
          <cell r="D8" t="str">
            <v>Paramaz Avedisian Building</v>
          </cell>
        </row>
      </sheetData>
      <sheetData sheetId="4268">
        <row r="8">
          <cell r="D8">
            <v>281.44000000000005</v>
          </cell>
        </row>
      </sheetData>
      <sheetData sheetId="4269">
        <row r="8">
          <cell r="D8">
            <v>281.44000000000005</v>
          </cell>
        </row>
      </sheetData>
      <sheetData sheetId="4270">
        <row r="8">
          <cell r="D8">
            <v>281.44000000000005</v>
          </cell>
        </row>
      </sheetData>
      <sheetData sheetId="4271">
        <row r="8">
          <cell r="D8">
            <v>281.44000000000005</v>
          </cell>
        </row>
      </sheetData>
      <sheetData sheetId="4272">
        <row r="8">
          <cell r="D8" t="str">
            <v>Paramaz Avedisian Building</v>
          </cell>
        </row>
      </sheetData>
      <sheetData sheetId="4273">
        <row r="8">
          <cell r="D8" t="str">
            <v>Paramaz Avedisian Building</v>
          </cell>
        </row>
      </sheetData>
      <sheetData sheetId="4274">
        <row r="8">
          <cell r="D8" t="str">
            <v>Paramaz Avedisian Building</v>
          </cell>
        </row>
      </sheetData>
      <sheetData sheetId="4275">
        <row r="8">
          <cell r="D8" t="str">
            <v>Paramaz Avedisian Building</v>
          </cell>
        </row>
      </sheetData>
      <sheetData sheetId="4276">
        <row r="8">
          <cell r="D8">
            <v>281.44000000000005</v>
          </cell>
        </row>
      </sheetData>
      <sheetData sheetId="4277">
        <row r="8">
          <cell r="D8" t="str">
            <v>Paramaz Avedisian Building</v>
          </cell>
        </row>
      </sheetData>
      <sheetData sheetId="4278">
        <row r="8">
          <cell r="D8" t="str">
            <v>Paramaz Avedisian Building</v>
          </cell>
        </row>
      </sheetData>
      <sheetData sheetId="4279">
        <row r="8">
          <cell r="D8" t="str">
            <v>Paramaz Avedisian Building</v>
          </cell>
        </row>
      </sheetData>
      <sheetData sheetId="4280">
        <row r="8">
          <cell r="D8" t="str">
            <v>Paramaz Avedisian Building</v>
          </cell>
        </row>
      </sheetData>
      <sheetData sheetId="4281">
        <row r="8">
          <cell r="D8" t="str">
            <v>Paramaz Avedisian Building</v>
          </cell>
        </row>
      </sheetData>
      <sheetData sheetId="4282">
        <row r="8">
          <cell r="D8" t="str">
            <v>Paramaz Avedisian Building</v>
          </cell>
        </row>
      </sheetData>
      <sheetData sheetId="4283">
        <row r="8">
          <cell r="D8" t="str">
            <v>Paramaz Avedisian Building</v>
          </cell>
        </row>
      </sheetData>
      <sheetData sheetId="4284">
        <row r="8">
          <cell r="D8" t="str">
            <v>Paramaz Avedisian Building</v>
          </cell>
        </row>
      </sheetData>
      <sheetData sheetId="4285">
        <row r="8">
          <cell r="D8" t="str">
            <v>Paramaz Avedisian Building</v>
          </cell>
        </row>
      </sheetData>
      <sheetData sheetId="4286">
        <row r="8">
          <cell r="D8" t="str">
            <v>Paramaz Avedisian Building</v>
          </cell>
        </row>
      </sheetData>
      <sheetData sheetId="4287">
        <row r="8">
          <cell r="D8" t="str">
            <v>Paramaz Avedisian Building</v>
          </cell>
        </row>
      </sheetData>
      <sheetData sheetId="4288">
        <row r="8">
          <cell r="D8" t="str">
            <v>Paramaz Avedisian Building</v>
          </cell>
        </row>
      </sheetData>
      <sheetData sheetId="4289">
        <row r="8">
          <cell r="D8" t="str">
            <v>Paramaz Avedisian Building</v>
          </cell>
        </row>
      </sheetData>
      <sheetData sheetId="4290">
        <row r="8">
          <cell r="D8" t="str">
            <v>Paramaz Avedisian Building</v>
          </cell>
        </row>
      </sheetData>
      <sheetData sheetId="4291">
        <row r="8">
          <cell r="D8" t="str">
            <v>Paramaz Avedisian Building</v>
          </cell>
        </row>
      </sheetData>
      <sheetData sheetId="4292">
        <row r="8">
          <cell r="D8" t="str">
            <v>Paramaz Avedisian Building</v>
          </cell>
        </row>
      </sheetData>
      <sheetData sheetId="4293">
        <row r="8">
          <cell r="D8" t="str">
            <v>Paramaz Avedisian Building</v>
          </cell>
        </row>
      </sheetData>
      <sheetData sheetId="4294">
        <row r="8">
          <cell r="D8" t="str">
            <v>Paramaz Avedisian Building</v>
          </cell>
        </row>
      </sheetData>
      <sheetData sheetId="4295">
        <row r="8">
          <cell r="D8" t="str">
            <v>Paramaz Avedisian Building</v>
          </cell>
        </row>
      </sheetData>
      <sheetData sheetId="4296">
        <row r="8">
          <cell r="D8" t="str">
            <v>Paramaz Avedisian Building</v>
          </cell>
        </row>
      </sheetData>
      <sheetData sheetId="4297">
        <row r="8">
          <cell r="D8" t="str">
            <v>Paramaz Avedisian Building</v>
          </cell>
        </row>
      </sheetData>
      <sheetData sheetId="4298">
        <row r="8">
          <cell r="D8" t="str">
            <v>Paramaz Avedisian Building</v>
          </cell>
        </row>
      </sheetData>
      <sheetData sheetId="4299">
        <row r="8">
          <cell r="D8" t="str">
            <v>Paramaz Avedisian Building</v>
          </cell>
        </row>
      </sheetData>
      <sheetData sheetId="4300">
        <row r="8">
          <cell r="D8" t="str">
            <v>Paramaz Avedisian Building</v>
          </cell>
        </row>
      </sheetData>
      <sheetData sheetId="4301">
        <row r="8">
          <cell r="D8" t="str">
            <v>Paramaz Avedisian Building</v>
          </cell>
        </row>
      </sheetData>
      <sheetData sheetId="4302">
        <row r="8">
          <cell r="D8">
            <v>281.44000000000005</v>
          </cell>
        </row>
      </sheetData>
      <sheetData sheetId="4303">
        <row r="8">
          <cell r="D8" t="str">
            <v>Paramaz Avedisian Building</v>
          </cell>
        </row>
      </sheetData>
      <sheetData sheetId="4304">
        <row r="8">
          <cell r="D8" t="str">
            <v>Paramaz Avedisian Building</v>
          </cell>
        </row>
      </sheetData>
      <sheetData sheetId="4305">
        <row r="8">
          <cell r="D8" t="str">
            <v>Paramaz Avedisian Building</v>
          </cell>
        </row>
      </sheetData>
      <sheetData sheetId="4306">
        <row r="8">
          <cell r="D8" t="str">
            <v>Paramaz Avedisian Building</v>
          </cell>
        </row>
      </sheetData>
      <sheetData sheetId="4307">
        <row r="8">
          <cell r="D8" t="str">
            <v>Paramaz Avedisian Building</v>
          </cell>
        </row>
      </sheetData>
      <sheetData sheetId="4308">
        <row r="8">
          <cell r="D8" t="str">
            <v>Paramaz Avedisian Building</v>
          </cell>
        </row>
      </sheetData>
      <sheetData sheetId="4309">
        <row r="8">
          <cell r="D8" t="str">
            <v>Paramaz Avedisian Building</v>
          </cell>
        </row>
      </sheetData>
      <sheetData sheetId="4310">
        <row r="8">
          <cell r="D8" t="str">
            <v>Paramaz Avedisian Building</v>
          </cell>
        </row>
      </sheetData>
      <sheetData sheetId="4311">
        <row r="8">
          <cell r="D8" t="str">
            <v>Paramaz Avedisian Building</v>
          </cell>
        </row>
      </sheetData>
      <sheetData sheetId="4312">
        <row r="8">
          <cell r="D8" t="str">
            <v>Paramaz Avedisian Building</v>
          </cell>
        </row>
      </sheetData>
      <sheetData sheetId="4313">
        <row r="8">
          <cell r="D8" t="str">
            <v>Paramaz Avedisian Building</v>
          </cell>
        </row>
      </sheetData>
      <sheetData sheetId="4314">
        <row r="8">
          <cell r="D8" t="str">
            <v>Paramaz Avedisian Building</v>
          </cell>
        </row>
      </sheetData>
      <sheetData sheetId="4315">
        <row r="8">
          <cell r="D8" t="str">
            <v>Paramaz Avedisian Building</v>
          </cell>
        </row>
      </sheetData>
      <sheetData sheetId="4316">
        <row r="8">
          <cell r="D8" t="str">
            <v>Paramaz Avedisian Building</v>
          </cell>
        </row>
      </sheetData>
      <sheetData sheetId="4317">
        <row r="8">
          <cell r="D8" t="str">
            <v>Paramaz Avedisian Building</v>
          </cell>
        </row>
      </sheetData>
      <sheetData sheetId="4318">
        <row r="8">
          <cell r="D8" t="str">
            <v>Paramaz Avedisian Building</v>
          </cell>
        </row>
      </sheetData>
      <sheetData sheetId="4319">
        <row r="8">
          <cell r="D8" t="str">
            <v>Paramaz Avedisian Building</v>
          </cell>
        </row>
      </sheetData>
      <sheetData sheetId="4320">
        <row r="8">
          <cell r="D8" t="str">
            <v>Paramaz Avedisian Building</v>
          </cell>
        </row>
      </sheetData>
      <sheetData sheetId="4321">
        <row r="8">
          <cell r="D8" t="str">
            <v>Paramaz Avedisian Building</v>
          </cell>
        </row>
      </sheetData>
      <sheetData sheetId="4322">
        <row r="8">
          <cell r="D8" t="str">
            <v>Paramaz Avedisian Building</v>
          </cell>
        </row>
      </sheetData>
      <sheetData sheetId="4323">
        <row r="8">
          <cell r="D8" t="str">
            <v>Paramaz Avedisian Building</v>
          </cell>
        </row>
      </sheetData>
      <sheetData sheetId="4324">
        <row r="8">
          <cell r="D8" t="str">
            <v>Paramaz Avedisian Building</v>
          </cell>
        </row>
      </sheetData>
      <sheetData sheetId="4325">
        <row r="8">
          <cell r="D8" t="str">
            <v>Paramaz Avedisian Building</v>
          </cell>
        </row>
      </sheetData>
      <sheetData sheetId="4326">
        <row r="8">
          <cell r="D8" t="str">
            <v>Paramaz Avedisian Building</v>
          </cell>
        </row>
      </sheetData>
      <sheetData sheetId="4327">
        <row r="8">
          <cell r="D8" t="str">
            <v>Paramaz Avedisian Building</v>
          </cell>
        </row>
      </sheetData>
      <sheetData sheetId="4328">
        <row r="8">
          <cell r="D8" t="str">
            <v>Paramaz Avedisian Building</v>
          </cell>
        </row>
      </sheetData>
      <sheetData sheetId="4329">
        <row r="8">
          <cell r="D8" t="str">
            <v>Paramaz Avedisian Building</v>
          </cell>
        </row>
      </sheetData>
      <sheetData sheetId="4330">
        <row r="8">
          <cell r="D8" t="str">
            <v>Paramaz Avedisian Building</v>
          </cell>
        </row>
      </sheetData>
      <sheetData sheetId="4331">
        <row r="8">
          <cell r="D8" t="str">
            <v>Paramaz Avedisian Building</v>
          </cell>
        </row>
      </sheetData>
      <sheetData sheetId="4332">
        <row r="8">
          <cell r="D8">
            <v>281.44000000000005</v>
          </cell>
        </row>
      </sheetData>
      <sheetData sheetId="4333">
        <row r="8">
          <cell r="D8" t="str">
            <v>Paramaz Avedisian Building</v>
          </cell>
        </row>
      </sheetData>
      <sheetData sheetId="4334">
        <row r="8">
          <cell r="D8" t="str">
            <v>Paramaz Avedisian Building</v>
          </cell>
        </row>
      </sheetData>
      <sheetData sheetId="4335">
        <row r="8">
          <cell r="D8" t="str">
            <v>Paramaz Avedisian Building</v>
          </cell>
        </row>
      </sheetData>
      <sheetData sheetId="4336">
        <row r="8">
          <cell r="D8" t="str">
            <v>Paramaz Avedisian Building</v>
          </cell>
        </row>
      </sheetData>
      <sheetData sheetId="4337">
        <row r="8">
          <cell r="D8" t="str">
            <v>Paramaz Avedisian Building</v>
          </cell>
        </row>
      </sheetData>
      <sheetData sheetId="4338">
        <row r="8">
          <cell r="D8" t="str">
            <v>Paramaz Avedisian Building</v>
          </cell>
        </row>
      </sheetData>
      <sheetData sheetId="4339">
        <row r="8">
          <cell r="D8" t="str">
            <v>Paramaz Avedisian Building</v>
          </cell>
        </row>
      </sheetData>
      <sheetData sheetId="4340">
        <row r="8">
          <cell r="D8" t="str">
            <v>Paramaz Avedisian Building</v>
          </cell>
        </row>
      </sheetData>
      <sheetData sheetId="4341">
        <row r="8">
          <cell r="D8" t="str">
            <v>Paramaz Avedisian Building</v>
          </cell>
        </row>
      </sheetData>
      <sheetData sheetId="4342">
        <row r="8">
          <cell r="D8" t="str">
            <v>Paramaz Avedisian Building</v>
          </cell>
        </row>
      </sheetData>
      <sheetData sheetId="4343">
        <row r="8">
          <cell r="D8" t="str">
            <v>Paramaz Avedisian Building</v>
          </cell>
        </row>
      </sheetData>
      <sheetData sheetId="4344">
        <row r="8">
          <cell r="D8" t="str">
            <v>Paramaz Avedisian Building</v>
          </cell>
        </row>
      </sheetData>
      <sheetData sheetId="4345">
        <row r="8">
          <cell r="D8" t="str">
            <v>Paramaz Avedisian Building</v>
          </cell>
        </row>
      </sheetData>
      <sheetData sheetId="4346">
        <row r="8">
          <cell r="D8" t="str">
            <v>Paramaz Avedisian Building</v>
          </cell>
        </row>
      </sheetData>
      <sheetData sheetId="4347">
        <row r="8">
          <cell r="D8" t="str">
            <v>Paramaz Avedisian Building</v>
          </cell>
        </row>
      </sheetData>
      <sheetData sheetId="4348">
        <row r="8">
          <cell r="D8" t="str">
            <v>Paramaz Avedisian Building</v>
          </cell>
        </row>
      </sheetData>
      <sheetData sheetId="4349">
        <row r="8">
          <cell r="D8" t="str">
            <v>Paramaz Avedisian Building</v>
          </cell>
        </row>
      </sheetData>
      <sheetData sheetId="4350">
        <row r="8">
          <cell r="D8" t="str">
            <v>Paramaz Avedisian Building</v>
          </cell>
        </row>
      </sheetData>
      <sheetData sheetId="4351">
        <row r="8">
          <cell r="D8" t="str">
            <v>Paramaz Avedisian Building</v>
          </cell>
        </row>
      </sheetData>
      <sheetData sheetId="4352">
        <row r="8">
          <cell r="D8" t="str">
            <v>Paramaz Avedisian Building</v>
          </cell>
        </row>
      </sheetData>
      <sheetData sheetId="4353">
        <row r="8">
          <cell r="D8" t="str">
            <v>Paramaz Avedisian Building</v>
          </cell>
        </row>
      </sheetData>
      <sheetData sheetId="4354">
        <row r="8">
          <cell r="D8" t="str">
            <v>Paramaz Avedisian Building</v>
          </cell>
        </row>
      </sheetData>
      <sheetData sheetId="4355">
        <row r="8">
          <cell r="D8" t="str">
            <v>Paramaz Avedisian Building</v>
          </cell>
        </row>
      </sheetData>
      <sheetData sheetId="4356">
        <row r="8">
          <cell r="D8" t="str">
            <v>Paramaz Avedisian Building</v>
          </cell>
        </row>
      </sheetData>
      <sheetData sheetId="4357">
        <row r="8">
          <cell r="D8" t="str">
            <v>Paramaz Avedisian Building</v>
          </cell>
        </row>
      </sheetData>
      <sheetData sheetId="4358">
        <row r="8">
          <cell r="D8" t="str">
            <v>Paramaz Avedisian Building</v>
          </cell>
        </row>
      </sheetData>
      <sheetData sheetId="4359">
        <row r="8">
          <cell r="D8" t="str">
            <v>Paramaz Avedisian Building</v>
          </cell>
        </row>
      </sheetData>
      <sheetData sheetId="4360">
        <row r="8">
          <cell r="D8" t="str">
            <v>Paramaz Avedisian Building</v>
          </cell>
        </row>
      </sheetData>
      <sheetData sheetId="4361">
        <row r="8">
          <cell r="D8" t="str">
            <v>Paramaz Avedisian Building</v>
          </cell>
        </row>
      </sheetData>
      <sheetData sheetId="4362">
        <row r="8">
          <cell r="D8" t="str">
            <v>Paramaz Avedisian Building</v>
          </cell>
        </row>
      </sheetData>
      <sheetData sheetId="4363">
        <row r="8">
          <cell r="D8" t="str">
            <v>Paramaz Avedisian Building</v>
          </cell>
        </row>
      </sheetData>
      <sheetData sheetId="4364">
        <row r="8">
          <cell r="D8" t="str">
            <v>Paramaz Avedisian Building</v>
          </cell>
        </row>
      </sheetData>
      <sheetData sheetId="4365">
        <row r="8">
          <cell r="D8" t="str">
            <v>Paramaz Avedisian Building</v>
          </cell>
        </row>
      </sheetData>
      <sheetData sheetId="4366">
        <row r="8">
          <cell r="D8" t="str">
            <v>Paramaz Avedisian Building</v>
          </cell>
        </row>
      </sheetData>
      <sheetData sheetId="4367">
        <row r="8">
          <cell r="D8" t="str">
            <v>Paramaz Avedisian Building</v>
          </cell>
        </row>
      </sheetData>
      <sheetData sheetId="4368">
        <row r="8">
          <cell r="D8" t="str">
            <v>Paramaz Avedisian Building</v>
          </cell>
        </row>
      </sheetData>
      <sheetData sheetId="4369">
        <row r="8">
          <cell r="D8" t="str">
            <v>Paramaz Avedisian Building</v>
          </cell>
        </row>
      </sheetData>
      <sheetData sheetId="4370">
        <row r="8">
          <cell r="D8" t="str">
            <v>Paramaz Avedisian Building</v>
          </cell>
        </row>
      </sheetData>
      <sheetData sheetId="4371">
        <row r="8">
          <cell r="D8" t="str">
            <v>Paramaz Avedisian Building</v>
          </cell>
        </row>
      </sheetData>
      <sheetData sheetId="4372">
        <row r="8">
          <cell r="D8" t="str">
            <v>Paramaz Avedisian Building</v>
          </cell>
        </row>
      </sheetData>
      <sheetData sheetId="4373">
        <row r="8">
          <cell r="D8" t="str">
            <v>Paramaz Avedisian Building</v>
          </cell>
        </row>
      </sheetData>
      <sheetData sheetId="4374">
        <row r="8">
          <cell r="D8" t="str">
            <v>Paramaz Avedisian Building</v>
          </cell>
        </row>
      </sheetData>
      <sheetData sheetId="4375">
        <row r="8">
          <cell r="D8" t="str">
            <v>Paramaz Avedisian Building</v>
          </cell>
        </row>
      </sheetData>
      <sheetData sheetId="4376">
        <row r="8">
          <cell r="D8" t="str">
            <v>Paramaz Avedisian Building</v>
          </cell>
        </row>
      </sheetData>
      <sheetData sheetId="4377">
        <row r="8">
          <cell r="D8" t="str">
            <v>Paramaz Avedisian Building</v>
          </cell>
        </row>
      </sheetData>
      <sheetData sheetId="4378">
        <row r="8">
          <cell r="D8" t="str">
            <v>Paramaz Avedisian Building</v>
          </cell>
        </row>
      </sheetData>
      <sheetData sheetId="4379">
        <row r="8">
          <cell r="D8" t="str">
            <v>Paramaz Avedisian Building</v>
          </cell>
        </row>
      </sheetData>
      <sheetData sheetId="4380">
        <row r="8">
          <cell r="D8" t="str">
            <v>Paramaz Avedisian Building</v>
          </cell>
        </row>
      </sheetData>
      <sheetData sheetId="4381">
        <row r="8">
          <cell r="D8" t="str">
            <v>Paramaz Avedisian Building</v>
          </cell>
        </row>
      </sheetData>
      <sheetData sheetId="4382">
        <row r="8">
          <cell r="D8" t="str">
            <v>Paramaz Avedisian Building</v>
          </cell>
        </row>
      </sheetData>
      <sheetData sheetId="4383">
        <row r="8">
          <cell r="D8" t="str">
            <v>Paramaz Avedisian Building</v>
          </cell>
        </row>
      </sheetData>
      <sheetData sheetId="4384">
        <row r="8">
          <cell r="D8" t="str">
            <v>Paramaz Avedisian Building</v>
          </cell>
        </row>
      </sheetData>
      <sheetData sheetId="4385">
        <row r="8">
          <cell r="D8" t="str">
            <v>Paramaz Avedisian Building</v>
          </cell>
        </row>
      </sheetData>
      <sheetData sheetId="4386">
        <row r="8">
          <cell r="D8" t="str">
            <v>Paramaz Avedisian Building</v>
          </cell>
        </row>
      </sheetData>
      <sheetData sheetId="4387">
        <row r="8">
          <cell r="D8" t="str">
            <v>Paramaz Avedisian Building</v>
          </cell>
        </row>
      </sheetData>
      <sheetData sheetId="4388">
        <row r="8">
          <cell r="D8" t="str">
            <v>Paramaz Avedisian Building</v>
          </cell>
        </row>
      </sheetData>
      <sheetData sheetId="4389">
        <row r="8">
          <cell r="D8" t="str">
            <v>Paramaz Avedisian Building</v>
          </cell>
        </row>
      </sheetData>
      <sheetData sheetId="4390">
        <row r="8">
          <cell r="D8" t="str">
            <v>Paramaz Avedisian Building</v>
          </cell>
        </row>
      </sheetData>
      <sheetData sheetId="4391">
        <row r="8">
          <cell r="D8" t="str">
            <v>Paramaz Avedisian Building</v>
          </cell>
        </row>
      </sheetData>
      <sheetData sheetId="4392">
        <row r="8">
          <cell r="D8" t="str">
            <v>Paramaz Avedisian Building</v>
          </cell>
        </row>
      </sheetData>
      <sheetData sheetId="4393">
        <row r="8">
          <cell r="D8" t="str">
            <v>Paramaz Avedisian Building</v>
          </cell>
        </row>
      </sheetData>
      <sheetData sheetId="4394">
        <row r="8">
          <cell r="D8" t="str">
            <v>Paramaz Avedisian Building</v>
          </cell>
        </row>
      </sheetData>
      <sheetData sheetId="4395">
        <row r="8">
          <cell r="D8" t="str">
            <v>Paramaz Avedisian Building</v>
          </cell>
        </row>
      </sheetData>
      <sheetData sheetId="4396">
        <row r="8">
          <cell r="D8" t="str">
            <v>Paramaz Avedisian Building</v>
          </cell>
        </row>
      </sheetData>
      <sheetData sheetId="4397">
        <row r="8">
          <cell r="D8" t="str">
            <v>Paramaz Avedisian Building</v>
          </cell>
        </row>
      </sheetData>
      <sheetData sheetId="4398">
        <row r="8">
          <cell r="D8" t="str">
            <v>Paramaz Avedisian Building</v>
          </cell>
        </row>
      </sheetData>
      <sheetData sheetId="4399">
        <row r="8">
          <cell r="D8" t="str">
            <v>Paramaz Avedisian Building</v>
          </cell>
        </row>
      </sheetData>
      <sheetData sheetId="4400">
        <row r="8">
          <cell r="D8" t="str">
            <v>Paramaz Avedisian Building</v>
          </cell>
        </row>
      </sheetData>
      <sheetData sheetId="4401">
        <row r="8">
          <cell r="D8" t="str">
            <v>Paramaz Avedisian Building</v>
          </cell>
        </row>
      </sheetData>
      <sheetData sheetId="4402">
        <row r="8">
          <cell r="D8" t="str">
            <v>Paramaz Avedisian Building</v>
          </cell>
        </row>
      </sheetData>
      <sheetData sheetId="4403">
        <row r="8">
          <cell r="D8" t="str">
            <v>Paramaz Avedisian Building</v>
          </cell>
        </row>
      </sheetData>
      <sheetData sheetId="4404">
        <row r="8">
          <cell r="D8" t="str">
            <v>Paramaz Avedisian Building</v>
          </cell>
        </row>
      </sheetData>
      <sheetData sheetId="4405">
        <row r="8">
          <cell r="D8" t="str">
            <v>Paramaz Avedisian Building</v>
          </cell>
        </row>
      </sheetData>
      <sheetData sheetId="4406">
        <row r="8">
          <cell r="D8" t="str">
            <v>Paramaz Avedisian Building</v>
          </cell>
        </row>
      </sheetData>
      <sheetData sheetId="4407">
        <row r="8">
          <cell r="D8" t="str">
            <v>Paramaz Avedisian Building</v>
          </cell>
        </row>
      </sheetData>
      <sheetData sheetId="4408">
        <row r="8">
          <cell r="D8" t="str">
            <v>Paramaz Avedisian Building</v>
          </cell>
        </row>
      </sheetData>
      <sheetData sheetId="4409">
        <row r="8">
          <cell r="D8" t="str">
            <v>Paramaz Avedisian Building</v>
          </cell>
        </row>
      </sheetData>
      <sheetData sheetId="4410">
        <row r="8">
          <cell r="D8" t="str">
            <v>Paramaz Avedisian Building</v>
          </cell>
        </row>
      </sheetData>
      <sheetData sheetId="4411">
        <row r="8">
          <cell r="D8" t="str">
            <v>Paramaz Avedisian Building</v>
          </cell>
        </row>
      </sheetData>
      <sheetData sheetId="4412">
        <row r="8">
          <cell r="D8" t="str">
            <v>Paramaz Avedisian Building</v>
          </cell>
        </row>
      </sheetData>
      <sheetData sheetId="4413">
        <row r="8">
          <cell r="D8" t="str">
            <v>Paramaz Avedisian Building</v>
          </cell>
        </row>
      </sheetData>
      <sheetData sheetId="4414">
        <row r="8">
          <cell r="D8" t="str">
            <v>Paramaz Avedisian Building</v>
          </cell>
        </row>
      </sheetData>
      <sheetData sheetId="4415">
        <row r="8">
          <cell r="D8" t="str">
            <v>Paramaz Avedisian Building</v>
          </cell>
        </row>
      </sheetData>
      <sheetData sheetId="4416">
        <row r="8">
          <cell r="D8" t="str">
            <v>Paramaz Avedisian Building</v>
          </cell>
        </row>
      </sheetData>
      <sheetData sheetId="4417">
        <row r="8">
          <cell r="D8" t="str">
            <v>Paramaz Avedisian Building</v>
          </cell>
        </row>
      </sheetData>
      <sheetData sheetId="4418">
        <row r="8">
          <cell r="D8" t="str">
            <v>Paramaz Avedisian Building</v>
          </cell>
        </row>
      </sheetData>
      <sheetData sheetId="4419">
        <row r="8">
          <cell r="D8" t="str">
            <v>Paramaz Avedisian Building</v>
          </cell>
        </row>
      </sheetData>
      <sheetData sheetId="4420">
        <row r="8">
          <cell r="D8" t="str">
            <v>Paramaz Avedisian Building</v>
          </cell>
        </row>
      </sheetData>
      <sheetData sheetId="4421">
        <row r="8">
          <cell r="D8" t="str">
            <v>Paramaz Avedisian Building</v>
          </cell>
        </row>
      </sheetData>
      <sheetData sheetId="4422">
        <row r="8">
          <cell r="D8" t="str">
            <v>Paramaz Avedisian Building</v>
          </cell>
        </row>
      </sheetData>
      <sheetData sheetId="4423">
        <row r="8">
          <cell r="D8" t="str">
            <v>Paramaz Avedisian Building</v>
          </cell>
        </row>
      </sheetData>
      <sheetData sheetId="4424">
        <row r="8">
          <cell r="D8" t="str">
            <v>Paramaz Avedisian Building</v>
          </cell>
        </row>
      </sheetData>
      <sheetData sheetId="4425">
        <row r="8">
          <cell r="D8" t="str">
            <v>Paramaz Avedisian Building</v>
          </cell>
        </row>
      </sheetData>
      <sheetData sheetId="4426">
        <row r="8">
          <cell r="D8" t="str">
            <v>Paramaz Avedisian Building</v>
          </cell>
        </row>
      </sheetData>
      <sheetData sheetId="4427">
        <row r="8">
          <cell r="D8" t="str">
            <v>Paramaz Avedisian Building</v>
          </cell>
        </row>
      </sheetData>
      <sheetData sheetId="4428">
        <row r="8">
          <cell r="D8" t="str">
            <v>Paramaz Avedisian Building</v>
          </cell>
        </row>
      </sheetData>
      <sheetData sheetId="4429">
        <row r="8">
          <cell r="D8" t="str">
            <v>Paramaz Avedisian Building</v>
          </cell>
        </row>
      </sheetData>
      <sheetData sheetId="4430">
        <row r="8">
          <cell r="D8" t="str">
            <v>Paramaz Avedisian Building</v>
          </cell>
        </row>
      </sheetData>
      <sheetData sheetId="4431">
        <row r="8">
          <cell r="D8" t="str">
            <v>Paramaz Avedisian Building</v>
          </cell>
        </row>
      </sheetData>
      <sheetData sheetId="4432">
        <row r="8">
          <cell r="D8" t="str">
            <v>Paramaz Avedisian Building</v>
          </cell>
        </row>
      </sheetData>
      <sheetData sheetId="4433">
        <row r="8">
          <cell r="D8" t="str">
            <v>Paramaz Avedisian Building</v>
          </cell>
        </row>
      </sheetData>
      <sheetData sheetId="4434">
        <row r="8">
          <cell r="D8" t="str">
            <v>Paramaz Avedisian Building</v>
          </cell>
        </row>
      </sheetData>
      <sheetData sheetId="4435">
        <row r="8">
          <cell r="D8" t="str">
            <v>Paramaz Avedisian Building</v>
          </cell>
        </row>
      </sheetData>
      <sheetData sheetId="4436">
        <row r="8">
          <cell r="D8" t="str">
            <v>Paramaz Avedisian Building</v>
          </cell>
        </row>
      </sheetData>
      <sheetData sheetId="4437">
        <row r="8">
          <cell r="D8" t="str">
            <v>Paramaz Avedisian Building</v>
          </cell>
        </row>
      </sheetData>
      <sheetData sheetId="4438">
        <row r="8">
          <cell r="D8" t="str">
            <v>Paramaz Avedisian Building</v>
          </cell>
        </row>
      </sheetData>
      <sheetData sheetId="4439">
        <row r="8">
          <cell r="D8" t="str">
            <v>Paramaz Avedisian Building</v>
          </cell>
        </row>
      </sheetData>
      <sheetData sheetId="4440">
        <row r="8">
          <cell r="D8" t="str">
            <v>Paramaz Avedisian Building</v>
          </cell>
        </row>
      </sheetData>
      <sheetData sheetId="4441">
        <row r="8">
          <cell r="D8" t="str">
            <v>Paramaz Avedisian Building</v>
          </cell>
        </row>
      </sheetData>
      <sheetData sheetId="4442">
        <row r="8">
          <cell r="D8" t="str">
            <v>Paramaz Avedisian Building</v>
          </cell>
        </row>
      </sheetData>
      <sheetData sheetId="4443">
        <row r="8">
          <cell r="D8" t="str">
            <v>Paramaz Avedisian Building</v>
          </cell>
        </row>
      </sheetData>
      <sheetData sheetId="4444">
        <row r="8">
          <cell r="D8" t="str">
            <v>Paramaz Avedisian Building</v>
          </cell>
        </row>
      </sheetData>
      <sheetData sheetId="4445">
        <row r="8">
          <cell r="D8" t="str">
            <v>Paramaz Avedisian Building</v>
          </cell>
        </row>
      </sheetData>
      <sheetData sheetId="4446">
        <row r="8">
          <cell r="D8" t="str">
            <v>Paramaz Avedisian Building</v>
          </cell>
        </row>
      </sheetData>
      <sheetData sheetId="4447">
        <row r="8">
          <cell r="D8" t="str">
            <v>Paramaz Avedisian Building</v>
          </cell>
        </row>
      </sheetData>
      <sheetData sheetId="4448">
        <row r="8">
          <cell r="D8" t="str">
            <v>Paramaz Avedisian Building</v>
          </cell>
        </row>
      </sheetData>
      <sheetData sheetId="4449">
        <row r="8">
          <cell r="D8" t="str">
            <v>Paramaz Avedisian Building</v>
          </cell>
        </row>
      </sheetData>
      <sheetData sheetId="4450">
        <row r="8">
          <cell r="D8" t="str">
            <v>Paramaz Avedisian Building</v>
          </cell>
        </row>
      </sheetData>
      <sheetData sheetId="4451">
        <row r="8">
          <cell r="D8" t="str">
            <v>Paramaz Avedisian Building</v>
          </cell>
        </row>
      </sheetData>
      <sheetData sheetId="4452">
        <row r="8">
          <cell r="D8" t="str">
            <v>Paramaz Avedisian Building</v>
          </cell>
        </row>
      </sheetData>
      <sheetData sheetId="4453">
        <row r="8">
          <cell r="D8" t="str">
            <v>Paramaz Avedisian Building</v>
          </cell>
        </row>
      </sheetData>
      <sheetData sheetId="4454">
        <row r="8">
          <cell r="D8" t="str">
            <v>Paramaz Avedisian Building</v>
          </cell>
        </row>
      </sheetData>
      <sheetData sheetId="4455">
        <row r="8">
          <cell r="D8" t="str">
            <v>Paramaz Avedisian Building</v>
          </cell>
        </row>
      </sheetData>
      <sheetData sheetId="4456">
        <row r="8">
          <cell r="D8" t="str">
            <v>Paramaz Avedisian Building</v>
          </cell>
        </row>
      </sheetData>
      <sheetData sheetId="4457">
        <row r="8">
          <cell r="D8" t="str">
            <v>Paramaz Avedisian Building</v>
          </cell>
        </row>
      </sheetData>
      <sheetData sheetId="4458">
        <row r="8">
          <cell r="D8" t="str">
            <v>Paramaz Avedisian Building</v>
          </cell>
        </row>
      </sheetData>
      <sheetData sheetId="4459">
        <row r="8">
          <cell r="D8" t="str">
            <v>Paramaz Avedisian Building</v>
          </cell>
        </row>
      </sheetData>
      <sheetData sheetId="4460">
        <row r="8">
          <cell r="D8" t="str">
            <v>Paramaz Avedisian Building</v>
          </cell>
        </row>
      </sheetData>
      <sheetData sheetId="4461">
        <row r="8">
          <cell r="D8" t="str">
            <v>Paramaz Avedisian Building</v>
          </cell>
        </row>
      </sheetData>
      <sheetData sheetId="4462">
        <row r="8">
          <cell r="D8" t="str">
            <v>Paramaz Avedisian Building</v>
          </cell>
        </row>
      </sheetData>
      <sheetData sheetId="4463">
        <row r="8">
          <cell r="D8" t="str">
            <v>Paramaz Avedisian Building</v>
          </cell>
        </row>
      </sheetData>
      <sheetData sheetId="4464">
        <row r="8">
          <cell r="D8" t="str">
            <v>Paramaz Avedisian Building</v>
          </cell>
        </row>
      </sheetData>
      <sheetData sheetId="4465">
        <row r="8">
          <cell r="D8" t="str">
            <v>Paramaz Avedisian Building</v>
          </cell>
        </row>
      </sheetData>
      <sheetData sheetId="4466">
        <row r="8">
          <cell r="D8" t="str">
            <v>Paramaz Avedisian Building</v>
          </cell>
        </row>
      </sheetData>
      <sheetData sheetId="4467">
        <row r="8">
          <cell r="D8" t="str">
            <v>Paramaz Avedisian Building</v>
          </cell>
        </row>
      </sheetData>
      <sheetData sheetId="4468">
        <row r="8">
          <cell r="D8" t="str">
            <v>Paramaz Avedisian Building</v>
          </cell>
        </row>
      </sheetData>
      <sheetData sheetId="4469"/>
      <sheetData sheetId="4470"/>
      <sheetData sheetId="4471"/>
      <sheetData sheetId="4472"/>
      <sheetData sheetId="4473"/>
      <sheetData sheetId="4474"/>
      <sheetData sheetId="4475"/>
      <sheetData sheetId="4476"/>
      <sheetData sheetId="4477"/>
      <sheetData sheetId="4478"/>
      <sheetData sheetId="4479">
        <row r="8">
          <cell r="D8" t="str">
            <v>Paramaz Avedisian Building</v>
          </cell>
        </row>
      </sheetData>
      <sheetData sheetId="4480">
        <row r="8">
          <cell r="D8" t="str">
            <v>Paramaz Avedisian Building</v>
          </cell>
        </row>
      </sheetData>
      <sheetData sheetId="4481">
        <row r="8">
          <cell r="D8" t="str">
            <v>Paramaz Avedisian Building</v>
          </cell>
        </row>
      </sheetData>
      <sheetData sheetId="4482">
        <row r="8">
          <cell r="D8" t="str">
            <v>Paramaz Avedisian Building</v>
          </cell>
        </row>
      </sheetData>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row r="8">
          <cell r="D8" t="str">
            <v>Paramaz Avedisian Building</v>
          </cell>
        </row>
      </sheetData>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row r="8">
          <cell r="D8" t="str">
            <v>Paramaz Avedisian Building</v>
          </cell>
        </row>
      </sheetData>
      <sheetData sheetId="4531">
        <row r="8">
          <cell r="D8" t="str">
            <v>Paramaz Avedisian Building</v>
          </cell>
        </row>
      </sheetData>
      <sheetData sheetId="4532">
        <row r="8">
          <cell r="D8" t="str">
            <v>Paramaz Avedisian Building</v>
          </cell>
        </row>
      </sheetData>
      <sheetData sheetId="4533">
        <row r="8">
          <cell r="D8" t="str">
            <v>Paramaz Avedisian Building</v>
          </cell>
        </row>
      </sheetData>
      <sheetData sheetId="4534">
        <row r="8">
          <cell r="D8" t="str">
            <v>Paramaz Avedisian Building</v>
          </cell>
        </row>
      </sheetData>
      <sheetData sheetId="4535">
        <row r="8">
          <cell r="D8" t="str">
            <v>Paramaz Avedisian Building</v>
          </cell>
        </row>
      </sheetData>
      <sheetData sheetId="4536">
        <row r="8">
          <cell r="D8" t="str">
            <v>Paramaz Avedisian Building</v>
          </cell>
        </row>
      </sheetData>
      <sheetData sheetId="4537">
        <row r="8">
          <cell r="D8" t="str">
            <v>Paramaz Avedisian Building</v>
          </cell>
        </row>
      </sheetData>
      <sheetData sheetId="4538">
        <row r="8">
          <cell r="D8" t="str">
            <v>Paramaz Avedisian Building</v>
          </cell>
        </row>
      </sheetData>
      <sheetData sheetId="4539">
        <row r="8">
          <cell r="D8" t="str">
            <v>Paramaz Avedisian Building</v>
          </cell>
        </row>
      </sheetData>
      <sheetData sheetId="4540">
        <row r="8">
          <cell r="D8" t="str">
            <v>Paramaz Avedisian Building</v>
          </cell>
        </row>
      </sheetData>
      <sheetData sheetId="4541">
        <row r="8">
          <cell r="D8" t="str">
            <v>Paramaz Avedisian Building</v>
          </cell>
        </row>
      </sheetData>
      <sheetData sheetId="4542">
        <row r="8">
          <cell r="D8" t="str">
            <v>Paramaz Avedisian Building</v>
          </cell>
        </row>
      </sheetData>
      <sheetData sheetId="4543">
        <row r="8">
          <cell r="D8" t="str">
            <v>Paramaz Avedisian Building</v>
          </cell>
        </row>
      </sheetData>
      <sheetData sheetId="4544">
        <row r="8">
          <cell r="D8" t="str">
            <v>Paramaz Avedisian Building</v>
          </cell>
        </row>
      </sheetData>
      <sheetData sheetId="4545">
        <row r="8">
          <cell r="D8" t="str">
            <v>Paramaz Avedisian Building</v>
          </cell>
        </row>
      </sheetData>
      <sheetData sheetId="4546">
        <row r="8">
          <cell r="D8" t="str">
            <v>Paramaz Avedisian Building</v>
          </cell>
        </row>
      </sheetData>
      <sheetData sheetId="4547">
        <row r="8">
          <cell r="D8" t="str">
            <v>Paramaz Avedisian Building</v>
          </cell>
        </row>
      </sheetData>
      <sheetData sheetId="4548">
        <row r="8">
          <cell r="D8" t="str">
            <v>Paramaz Avedisian Building</v>
          </cell>
        </row>
      </sheetData>
      <sheetData sheetId="4549">
        <row r="8">
          <cell r="D8" t="str">
            <v>Paramaz Avedisian Building</v>
          </cell>
        </row>
      </sheetData>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row r="8">
          <cell r="D8" t="str">
            <v>Paramaz Avedisian Building</v>
          </cell>
        </row>
      </sheetData>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row r="8">
          <cell r="D8" t="str">
            <v>Paramaz Avedisian Building</v>
          </cell>
        </row>
      </sheetData>
      <sheetData sheetId="4632">
        <row r="8">
          <cell r="D8" t="str">
            <v>Paramaz Avedisian Building</v>
          </cell>
        </row>
      </sheetData>
      <sheetData sheetId="4633">
        <row r="8">
          <cell r="D8" t="str">
            <v>Paramaz Avedisian Building</v>
          </cell>
        </row>
      </sheetData>
      <sheetData sheetId="4634">
        <row r="8">
          <cell r="D8" t="str">
            <v>Paramaz Avedisian Building</v>
          </cell>
        </row>
      </sheetData>
      <sheetData sheetId="4635">
        <row r="8">
          <cell r="D8" t="str">
            <v>Paramaz Avedisian Building</v>
          </cell>
        </row>
      </sheetData>
      <sheetData sheetId="4636">
        <row r="8">
          <cell r="D8" t="str">
            <v>Paramaz Avedisian Building</v>
          </cell>
        </row>
      </sheetData>
      <sheetData sheetId="4637">
        <row r="8">
          <cell r="D8" t="str">
            <v>Paramaz Avedisian Building</v>
          </cell>
        </row>
      </sheetData>
      <sheetData sheetId="4638">
        <row r="8">
          <cell r="D8" t="str">
            <v>Paramaz Avedisian Building</v>
          </cell>
        </row>
      </sheetData>
      <sheetData sheetId="4639">
        <row r="8">
          <cell r="D8" t="str">
            <v>Paramaz Avedisian Building</v>
          </cell>
        </row>
      </sheetData>
      <sheetData sheetId="4640">
        <row r="8">
          <cell r="D8" t="str">
            <v>Paramaz Avedisian Building</v>
          </cell>
        </row>
      </sheetData>
      <sheetData sheetId="4641">
        <row r="8">
          <cell r="D8" t="str">
            <v>Paramaz Avedisian Building</v>
          </cell>
        </row>
      </sheetData>
      <sheetData sheetId="4642">
        <row r="8">
          <cell r="D8" t="str">
            <v>Paramaz Avedisian Building</v>
          </cell>
        </row>
      </sheetData>
      <sheetData sheetId="4643">
        <row r="8">
          <cell r="D8" t="str">
            <v>Paramaz Avedisian Building</v>
          </cell>
        </row>
      </sheetData>
      <sheetData sheetId="4644">
        <row r="8">
          <cell r="D8" t="str">
            <v>Paramaz Avedisian Building</v>
          </cell>
        </row>
      </sheetData>
      <sheetData sheetId="4645">
        <row r="8">
          <cell r="D8" t="str">
            <v>Paramaz Avedisian Building</v>
          </cell>
        </row>
      </sheetData>
      <sheetData sheetId="4646">
        <row r="8">
          <cell r="D8" t="str">
            <v>Paramaz Avedisian Building</v>
          </cell>
        </row>
      </sheetData>
      <sheetData sheetId="4647">
        <row r="8">
          <cell r="D8" t="str">
            <v>Paramaz Avedisian Building</v>
          </cell>
        </row>
      </sheetData>
      <sheetData sheetId="4648">
        <row r="8">
          <cell r="D8" t="str">
            <v>Paramaz Avedisian Building</v>
          </cell>
        </row>
      </sheetData>
      <sheetData sheetId="4649">
        <row r="8">
          <cell r="D8" t="str">
            <v>Paramaz Avedisian Building</v>
          </cell>
        </row>
      </sheetData>
      <sheetData sheetId="4650">
        <row r="8">
          <cell r="D8" t="str">
            <v>Paramaz Avedisian Building</v>
          </cell>
        </row>
      </sheetData>
      <sheetData sheetId="4651"/>
      <sheetData sheetId="4652">
        <row r="8">
          <cell r="D8" t="str">
            <v>Paramaz Avedisian Building</v>
          </cell>
        </row>
      </sheetData>
      <sheetData sheetId="4653">
        <row r="8">
          <cell r="D8" t="str">
            <v>Paramaz Avedisian Building</v>
          </cell>
        </row>
      </sheetData>
      <sheetData sheetId="4654">
        <row r="8">
          <cell r="D8" t="str">
            <v>Paramaz Avedisian Building</v>
          </cell>
        </row>
      </sheetData>
      <sheetData sheetId="4655">
        <row r="8">
          <cell r="D8" t="str">
            <v>Paramaz Avedisian Building</v>
          </cell>
        </row>
      </sheetData>
      <sheetData sheetId="4656">
        <row r="8">
          <cell r="D8" t="str">
            <v>Paramaz Avedisian Building</v>
          </cell>
        </row>
      </sheetData>
      <sheetData sheetId="4657">
        <row r="8">
          <cell r="D8" t="str">
            <v>Paramaz Avedisian Building</v>
          </cell>
        </row>
      </sheetData>
      <sheetData sheetId="4658">
        <row r="8">
          <cell r="D8" t="str">
            <v>Paramaz Avedisian Building</v>
          </cell>
        </row>
      </sheetData>
      <sheetData sheetId="4659">
        <row r="8">
          <cell r="D8" t="str">
            <v>Paramaz Avedisian Building</v>
          </cell>
        </row>
      </sheetData>
      <sheetData sheetId="4660">
        <row r="8">
          <cell r="D8" t="str">
            <v>Paramaz Avedisian Building</v>
          </cell>
        </row>
      </sheetData>
      <sheetData sheetId="4661">
        <row r="8">
          <cell r="D8" t="str">
            <v>Paramaz Avedisian Building</v>
          </cell>
        </row>
      </sheetData>
      <sheetData sheetId="4662">
        <row r="8">
          <cell r="D8" t="str">
            <v>Paramaz Avedisian Building</v>
          </cell>
        </row>
      </sheetData>
      <sheetData sheetId="4663">
        <row r="8">
          <cell r="D8" t="str">
            <v>Paramaz Avedisian Building</v>
          </cell>
        </row>
      </sheetData>
      <sheetData sheetId="4664">
        <row r="8">
          <cell r="D8" t="str">
            <v>Paramaz Avedisian Building</v>
          </cell>
        </row>
      </sheetData>
      <sheetData sheetId="4665">
        <row r="8">
          <cell r="D8" t="str">
            <v>Paramaz Avedisian Building</v>
          </cell>
        </row>
      </sheetData>
      <sheetData sheetId="4666">
        <row r="8">
          <cell r="D8" t="str">
            <v>Paramaz Avedisian Building</v>
          </cell>
        </row>
      </sheetData>
      <sheetData sheetId="4667">
        <row r="8">
          <cell r="D8" t="str">
            <v>Paramaz Avedisian Building</v>
          </cell>
        </row>
      </sheetData>
      <sheetData sheetId="4668">
        <row r="8">
          <cell r="D8" t="str">
            <v>Paramaz Avedisian Building</v>
          </cell>
        </row>
      </sheetData>
      <sheetData sheetId="4669">
        <row r="8">
          <cell r="D8" t="str">
            <v>Paramaz Avedisian Building</v>
          </cell>
        </row>
      </sheetData>
      <sheetData sheetId="4670">
        <row r="8">
          <cell r="D8" t="str">
            <v>Paramaz Avedisian Building</v>
          </cell>
        </row>
      </sheetData>
      <sheetData sheetId="4671">
        <row r="8">
          <cell r="D8" t="str">
            <v>Paramaz Avedisian Building</v>
          </cell>
        </row>
      </sheetData>
      <sheetData sheetId="4672">
        <row r="8">
          <cell r="D8" t="str">
            <v>Paramaz Avedisian Building</v>
          </cell>
        </row>
      </sheetData>
      <sheetData sheetId="4673">
        <row r="8">
          <cell r="D8" t="str">
            <v>Paramaz Avedisian Building</v>
          </cell>
        </row>
      </sheetData>
      <sheetData sheetId="4674">
        <row r="8">
          <cell r="D8" t="str">
            <v>Paramaz Avedisian Building</v>
          </cell>
        </row>
      </sheetData>
      <sheetData sheetId="4675">
        <row r="8">
          <cell r="D8" t="str">
            <v>Paramaz Avedisian Building</v>
          </cell>
        </row>
      </sheetData>
      <sheetData sheetId="4676">
        <row r="8">
          <cell r="D8" t="str">
            <v>Paramaz Avedisian Building</v>
          </cell>
        </row>
      </sheetData>
      <sheetData sheetId="4677">
        <row r="8">
          <cell r="D8" t="str">
            <v>Paramaz Avedisian Building</v>
          </cell>
        </row>
      </sheetData>
      <sheetData sheetId="4678">
        <row r="8">
          <cell r="D8" t="str">
            <v>Paramaz Avedisian Building</v>
          </cell>
        </row>
      </sheetData>
      <sheetData sheetId="4679">
        <row r="8">
          <cell r="D8" t="str">
            <v>Paramaz Avedisian Building</v>
          </cell>
        </row>
      </sheetData>
      <sheetData sheetId="4680">
        <row r="8">
          <cell r="D8" t="str">
            <v>Paramaz Avedisian Building</v>
          </cell>
        </row>
      </sheetData>
      <sheetData sheetId="4681">
        <row r="8">
          <cell r="D8" t="str">
            <v>Paramaz Avedisian Building</v>
          </cell>
        </row>
      </sheetData>
      <sheetData sheetId="4682">
        <row r="8">
          <cell r="D8" t="str">
            <v>Paramaz Avedisian Building</v>
          </cell>
        </row>
      </sheetData>
      <sheetData sheetId="4683">
        <row r="8">
          <cell r="D8" t="str">
            <v>Paramaz Avedisian Building</v>
          </cell>
        </row>
      </sheetData>
      <sheetData sheetId="4684">
        <row r="8">
          <cell r="D8" t="str">
            <v>Paramaz Avedisian Building</v>
          </cell>
        </row>
      </sheetData>
      <sheetData sheetId="4685">
        <row r="8">
          <cell r="D8" t="str">
            <v>Paramaz Avedisian Building</v>
          </cell>
        </row>
      </sheetData>
      <sheetData sheetId="4686">
        <row r="8">
          <cell r="D8" t="str">
            <v>Paramaz Avedisian Building</v>
          </cell>
        </row>
      </sheetData>
      <sheetData sheetId="4687">
        <row r="8">
          <cell r="D8" t="str">
            <v>Paramaz Avedisian Building</v>
          </cell>
        </row>
      </sheetData>
      <sheetData sheetId="4688">
        <row r="8">
          <cell r="D8" t="str">
            <v>Paramaz Avedisian Building</v>
          </cell>
        </row>
      </sheetData>
      <sheetData sheetId="4689">
        <row r="8">
          <cell r="D8" t="str">
            <v>Paramaz Avedisian Building</v>
          </cell>
        </row>
      </sheetData>
      <sheetData sheetId="4690">
        <row r="8">
          <cell r="D8" t="str">
            <v>Paramaz Avedisian Building</v>
          </cell>
        </row>
      </sheetData>
      <sheetData sheetId="4691">
        <row r="8">
          <cell r="D8" t="str">
            <v>Paramaz Avedisian Building</v>
          </cell>
        </row>
      </sheetData>
      <sheetData sheetId="4692">
        <row r="8">
          <cell r="D8" t="str">
            <v>Paramaz Avedisian Building</v>
          </cell>
        </row>
      </sheetData>
      <sheetData sheetId="4693">
        <row r="8">
          <cell r="D8" t="str">
            <v>Paramaz Avedisian Building</v>
          </cell>
        </row>
      </sheetData>
      <sheetData sheetId="4694">
        <row r="8">
          <cell r="D8" t="str">
            <v>Paramaz Avedisian Building</v>
          </cell>
        </row>
      </sheetData>
      <sheetData sheetId="4695">
        <row r="8">
          <cell r="D8" t="str">
            <v>Paramaz Avedisian Building</v>
          </cell>
        </row>
      </sheetData>
      <sheetData sheetId="4696">
        <row r="8">
          <cell r="D8" t="str">
            <v>Paramaz Avedisian Building</v>
          </cell>
        </row>
      </sheetData>
      <sheetData sheetId="4697">
        <row r="8">
          <cell r="D8" t="str">
            <v>Paramaz Avedisian Building</v>
          </cell>
        </row>
      </sheetData>
      <sheetData sheetId="4698">
        <row r="8">
          <cell r="D8" t="str">
            <v>Paramaz Avedisian Building</v>
          </cell>
        </row>
      </sheetData>
      <sheetData sheetId="4699">
        <row r="8">
          <cell r="D8" t="str">
            <v>Paramaz Avedisian Building</v>
          </cell>
        </row>
      </sheetData>
      <sheetData sheetId="4700">
        <row r="8">
          <cell r="D8" t="str">
            <v>Paramaz Avedisian Building</v>
          </cell>
        </row>
      </sheetData>
      <sheetData sheetId="4701">
        <row r="8">
          <cell r="D8" t="str">
            <v>Paramaz Avedisian Building</v>
          </cell>
        </row>
      </sheetData>
      <sheetData sheetId="4702">
        <row r="8">
          <cell r="D8" t="str">
            <v>Paramaz Avedisian Building</v>
          </cell>
        </row>
      </sheetData>
      <sheetData sheetId="4703">
        <row r="8">
          <cell r="D8" t="str">
            <v>Paramaz Avedisian Building</v>
          </cell>
        </row>
      </sheetData>
      <sheetData sheetId="4704">
        <row r="8">
          <cell r="D8" t="str">
            <v>Paramaz Avedisian Building</v>
          </cell>
        </row>
      </sheetData>
      <sheetData sheetId="4705">
        <row r="8">
          <cell r="D8" t="str">
            <v>Paramaz Avedisian Building</v>
          </cell>
        </row>
      </sheetData>
      <sheetData sheetId="4706">
        <row r="8">
          <cell r="D8" t="str">
            <v>Paramaz Avedisian Building</v>
          </cell>
        </row>
      </sheetData>
      <sheetData sheetId="4707">
        <row r="8">
          <cell r="D8" t="str">
            <v>Paramaz Avedisian Building</v>
          </cell>
        </row>
      </sheetData>
      <sheetData sheetId="4708">
        <row r="8">
          <cell r="D8" t="str">
            <v>Paramaz Avedisian Building</v>
          </cell>
        </row>
      </sheetData>
      <sheetData sheetId="4709">
        <row r="8">
          <cell r="D8" t="str">
            <v>Paramaz Avedisian Building</v>
          </cell>
        </row>
      </sheetData>
      <sheetData sheetId="4710">
        <row r="8">
          <cell r="D8" t="str">
            <v>Paramaz Avedisian Building</v>
          </cell>
        </row>
      </sheetData>
      <sheetData sheetId="4711">
        <row r="8">
          <cell r="D8" t="str">
            <v>Paramaz Avedisian Building</v>
          </cell>
        </row>
      </sheetData>
      <sheetData sheetId="4712">
        <row r="8">
          <cell r="D8" t="str">
            <v>Paramaz Avedisian Building</v>
          </cell>
        </row>
      </sheetData>
      <sheetData sheetId="4713">
        <row r="8">
          <cell r="D8" t="str">
            <v>Paramaz Avedisian Building</v>
          </cell>
        </row>
      </sheetData>
      <sheetData sheetId="4714">
        <row r="8">
          <cell r="D8" t="str">
            <v>Paramaz Avedisian Building</v>
          </cell>
        </row>
      </sheetData>
      <sheetData sheetId="4715">
        <row r="8">
          <cell r="D8" t="str">
            <v>Paramaz Avedisian Building</v>
          </cell>
        </row>
      </sheetData>
      <sheetData sheetId="4716">
        <row r="8">
          <cell r="D8" t="str">
            <v>Paramaz Avedisian Building</v>
          </cell>
        </row>
      </sheetData>
      <sheetData sheetId="4717">
        <row r="8">
          <cell r="D8" t="str">
            <v>Paramaz Avedisian Building</v>
          </cell>
        </row>
      </sheetData>
      <sheetData sheetId="4718">
        <row r="8">
          <cell r="D8" t="str">
            <v>Paramaz Avedisian Building</v>
          </cell>
        </row>
      </sheetData>
      <sheetData sheetId="4719">
        <row r="8">
          <cell r="D8" t="str">
            <v>Paramaz Avedisian Building</v>
          </cell>
        </row>
      </sheetData>
      <sheetData sheetId="4720">
        <row r="8">
          <cell r="D8" t="str">
            <v>Paramaz Avedisian Building</v>
          </cell>
        </row>
      </sheetData>
      <sheetData sheetId="4721">
        <row r="8">
          <cell r="D8" t="str">
            <v>Paramaz Avedisian Building</v>
          </cell>
        </row>
      </sheetData>
      <sheetData sheetId="4722">
        <row r="8">
          <cell r="D8" t="str">
            <v>Paramaz Avedisian Building</v>
          </cell>
        </row>
      </sheetData>
      <sheetData sheetId="4723">
        <row r="8">
          <cell r="D8" t="str">
            <v>Paramaz Avedisian Building</v>
          </cell>
        </row>
      </sheetData>
      <sheetData sheetId="4724">
        <row r="8">
          <cell r="D8" t="str">
            <v>Paramaz Avedisian Building</v>
          </cell>
        </row>
      </sheetData>
      <sheetData sheetId="4725">
        <row r="8">
          <cell r="D8" t="str">
            <v>Paramaz Avedisian Building</v>
          </cell>
        </row>
      </sheetData>
      <sheetData sheetId="4726">
        <row r="8">
          <cell r="D8" t="str">
            <v>Paramaz Avedisian Building</v>
          </cell>
        </row>
      </sheetData>
      <sheetData sheetId="4727">
        <row r="8">
          <cell r="D8" t="str">
            <v>Paramaz Avedisian Building</v>
          </cell>
        </row>
      </sheetData>
      <sheetData sheetId="4728">
        <row r="8">
          <cell r="D8" t="str">
            <v>Paramaz Avedisian Building</v>
          </cell>
        </row>
      </sheetData>
      <sheetData sheetId="4729">
        <row r="8">
          <cell r="D8" t="str">
            <v>Paramaz Avedisian Building</v>
          </cell>
        </row>
      </sheetData>
      <sheetData sheetId="4730">
        <row r="8">
          <cell r="D8" t="str">
            <v>Paramaz Avedisian Building</v>
          </cell>
        </row>
      </sheetData>
      <sheetData sheetId="4731">
        <row r="8">
          <cell r="D8" t="str">
            <v>Paramaz Avedisian Building</v>
          </cell>
        </row>
      </sheetData>
      <sheetData sheetId="4732">
        <row r="8">
          <cell r="D8" t="str">
            <v>Paramaz Avedisian Building</v>
          </cell>
        </row>
      </sheetData>
      <sheetData sheetId="4733">
        <row r="8">
          <cell r="D8" t="str">
            <v>Paramaz Avedisian Building</v>
          </cell>
        </row>
      </sheetData>
      <sheetData sheetId="4734">
        <row r="8">
          <cell r="D8" t="str">
            <v>Paramaz Avedisian Building</v>
          </cell>
        </row>
      </sheetData>
      <sheetData sheetId="4735">
        <row r="8">
          <cell r="D8" t="str">
            <v>Paramaz Avedisian Building</v>
          </cell>
        </row>
      </sheetData>
      <sheetData sheetId="4736">
        <row r="8">
          <cell r="D8" t="str">
            <v>Paramaz Avedisian Building</v>
          </cell>
        </row>
      </sheetData>
      <sheetData sheetId="4737">
        <row r="8">
          <cell r="D8" t="str">
            <v>Paramaz Avedisian Building</v>
          </cell>
        </row>
      </sheetData>
      <sheetData sheetId="4738">
        <row r="8">
          <cell r="D8" t="str">
            <v>Paramaz Avedisian Building</v>
          </cell>
        </row>
      </sheetData>
      <sheetData sheetId="4739">
        <row r="8">
          <cell r="D8" t="str">
            <v>Paramaz Avedisian Building</v>
          </cell>
        </row>
      </sheetData>
      <sheetData sheetId="4740">
        <row r="8">
          <cell r="D8" t="str">
            <v>Paramaz Avedisian Building</v>
          </cell>
        </row>
      </sheetData>
      <sheetData sheetId="4741">
        <row r="8">
          <cell r="D8" t="str">
            <v>Paramaz Avedisian Building</v>
          </cell>
        </row>
      </sheetData>
      <sheetData sheetId="4742">
        <row r="8">
          <cell r="D8" t="str">
            <v>Paramaz Avedisian Building</v>
          </cell>
        </row>
      </sheetData>
      <sheetData sheetId="4743">
        <row r="8">
          <cell r="D8" t="str">
            <v>Paramaz Avedisian Building</v>
          </cell>
        </row>
      </sheetData>
      <sheetData sheetId="4744">
        <row r="8">
          <cell r="D8" t="str">
            <v>Paramaz Avedisian Building</v>
          </cell>
        </row>
      </sheetData>
      <sheetData sheetId="4745">
        <row r="8">
          <cell r="D8" t="str">
            <v>Paramaz Avedisian Building</v>
          </cell>
        </row>
      </sheetData>
      <sheetData sheetId="4746">
        <row r="8">
          <cell r="D8" t="str">
            <v>Paramaz Avedisian Building</v>
          </cell>
        </row>
      </sheetData>
      <sheetData sheetId="4747">
        <row r="8">
          <cell r="D8" t="str">
            <v>Paramaz Avedisian Building</v>
          </cell>
        </row>
      </sheetData>
      <sheetData sheetId="4748">
        <row r="8">
          <cell r="D8" t="str">
            <v>Paramaz Avedisian Building</v>
          </cell>
        </row>
      </sheetData>
      <sheetData sheetId="4749">
        <row r="8">
          <cell r="D8" t="str">
            <v>Paramaz Avedisian Building</v>
          </cell>
        </row>
      </sheetData>
      <sheetData sheetId="4750">
        <row r="8">
          <cell r="D8" t="str">
            <v>Paramaz Avedisian Building</v>
          </cell>
        </row>
      </sheetData>
      <sheetData sheetId="4751">
        <row r="8">
          <cell r="D8" t="str">
            <v>Paramaz Avedisian Building</v>
          </cell>
        </row>
      </sheetData>
      <sheetData sheetId="4752">
        <row r="8">
          <cell r="D8" t="str">
            <v>Paramaz Avedisian Building</v>
          </cell>
        </row>
      </sheetData>
      <sheetData sheetId="4753">
        <row r="8">
          <cell r="D8" t="str">
            <v>Paramaz Avedisian Building</v>
          </cell>
        </row>
      </sheetData>
      <sheetData sheetId="4754">
        <row r="8">
          <cell r="D8" t="str">
            <v>Paramaz Avedisian Building</v>
          </cell>
        </row>
      </sheetData>
      <sheetData sheetId="4755">
        <row r="8">
          <cell r="D8" t="str">
            <v>Paramaz Avedisian Building</v>
          </cell>
        </row>
      </sheetData>
      <sheetData sheetId="4756">
        <row r="8">
          <cell r="D8" t="str">
            <v>Paramaz Avedisian Building</v>
          </cell>
        </row>
      </sheetData>
      <sheetData sheetId="4757">
        <row r="8">
          <cell r="D8" t="str">
            <v>Paramaz Avedisian Building</v>
          </cell>
        </row>
      </sheetData>
      <sheetData sheetId="4758">
        <row r="8">
          <cell r="D8" t="str">
            <v>Paramaz Avedisian Building</v>
          </cell>
        </row>
      </sheetData>
      <sheetData sheetId="4759">
        <row r="8">
          <cell r="D8" t="str">
            <v>Paramaz Avedisian Building</v>
          </cell>
        </row>
      </sheetData>
      <sheetData sheetId="4760">
        <row r="8">
          <cell r="D8" t="str">
            <v>Paramaz Avedisian Building</v>
          </cell>
        </row>
      </sheetData>
      <sheetData sheetId="4761">
        <row r="8">
          <cell r="D8" t="str">
            <v>Paramaz Avedisian Building</v>
          </cell>
        </row>
      </sheetData>
      <sheetData sheetId="4762">
        <row r="8">
          <cell r="D8" t="str">
            <v>Paramaz Avedisian Building</v>
          </cell>
        </row>
      </sheetData>
      <sheetData sheetId="4763">
        <row r="8">
          <cell r="D8" t="str">
            <v>Paramaz Avedisian Building</v>
          </cell>
        </row>
      </sheetData>
      <sheetData sheetId="4764">
        <row r="8">
          <cell r="D8" t="str">
            <v>Paramaz Avedisian Building</v>
          </cell>
        </row>
      </sheetData>
      <sheetData sheetId="4765">
        <row r="8">
          <cell r="D8" t="str">
            <v>Paramaz Avedisian Building</v>
          </cell>
        </row>
      </sheetData>
      <sheetData sheetId="4766">
        <row r="8">
          <cell r="D8" t="str">
            <v>Paramaz Avedisian Building</v>
          </cell>
        </row>
      </sheetData>
      <sheetData sheetId="4767">
        <row r="8">
          <cell r="D8" t="str">
            <v>Paramaz Avedisian Building</v>
          </cell>
        </row>
      </sheetData>
      <sheetData sheetId="4768">
        <row r="8">
          <cell r="D8" t="str">
            <v>Paramaz Avedisian Building</v>
          </cell>
        </row>
      </sheetData>
      <sheetData sheetId="4769">
        <row r="8">
          <cell r="D8" t="str">
            <v>Paramaz Avedisian Building</v>
          </cell>
        </row>
      </sheetData>
      <sheetData sheetId="4770">
        <row r="8">
          <cell r="D8" t="str">
            <v>Paramaz Avedisian Building</v>
          </cell>
        </row>
      </sheetData>
      <sheetData sheetId="4771">
        <row r="8">
          <cell r="D8" t="str">
            <v>Paramaz Avedisian Building</v>
          </cell>
        </row>
      </sheetData>
      <sheetData sheetId="4772">
        <row r="8">
          <cell r="D8" t="str">
            <v>Paramaz Avedisian Building</v>
          </cell>
        </row>
      </sheetData>
      <sheetData sheetId="4773">
        <row r="8">
          <cell r="D8" t="str">
            <v>Paramaz Avedisian Building</v>
          </cell>
        </row>
      </sheetData>
      <sheetData sheetId="4774">
        <row r="8">
          <cell r="D8" t="str">
            <v>Paramaz Avedisian Building</v>
          </cell>
        </row>
      </sheetData>
      <sheetData sheetId="4775">
        <row r="8">
          <cell r="D8" t="str">
            <v>Paramaz Avedisian Building</v>
          </cell>
        </row>
      </sheetData>
      <sheetData sheetId="4776">
        <row r="8">
          <cell r="D8" t="str">
            <v>Paramaz Avedisian Building</v>
          </cell>
        </row>
      </sheetData>
      <sheetData sheetId="4777">
        <row r="8">
          <cell r="D8" t="str">
            <v>Paramaz Avedisian Building</v>
          </cell>
        </row>
      </sheetData>
      <sheetData sheetId="4778">
        <row r="8">
          <cell r="D8" t="str">
            <v>Paramaz Avedisian Building</v>
          </cell>
        </row>
      </sheetData>
      <sheetData sheetId="4779">
        <row r="8">
          <cell r="D8" t="str">
            <v>Paramaz Avedisian Building</v>
          </cell>
        </row>
      </sheetData>
      <sheetData sheetId="4780">
        <row r="8">
          <cell r="D8" t="str">
            <v>Paramaz Avedisian Building</v>
          </cell>
        </row>
      </sheetData>
      <sheetData sheetId="4781">
        <row r="8">
          <cell r="D8" t="str">
            <v>Paramaz Avedisian Building</v>
          </cell>
        </row>
      </sheetData>
      <sheetData sheetId="4782">
        <row r="8">
          <cell r="D8" t="str">
            <v>Paramaz Avedisian Building</v>
          </cell>
        </row>
      </sheetData>
      <sheetData sheetId="4783">
        <row r="8">
          <cell r="D8" t="str">
            <v>Paramaz Avedisian Building</v>
          </cell>
        </row>
      </sheetData>
      <sheetData sheetId="4784">
        <row r="8">
          <cell r="D8" t="str">
            <v>Paramaz Avedisian Building</v>
          </cell>
        </row>
      </sheetData>
      <sheetData sheetId="4785">
        <row r="8">
          <cell r="D8" t="str">
            <v>Paramaz Avedisian Building</v>
          </cell>
        </row>
      </sheetData>
      <sheetData sheetId="4786">
        <row r="8">
          <cell r="D8" t="str">
            <v>Paramaz Avedisian Building</v>
          </cell>
        </row>
      </sheetData>
      <sheetData sheetId="4787">
        <row r="8">
          <cell r="D8" t="str">
            <v>Paramaz Avedisian Building</v>
          </cell>
        </row>
      </sheetData>
      <sheetData sheetId="4788">
        <row r="8">
          <cell r="D8" t="str">
            <v>Paramaz Avedisian Building</v>
          </cell>
        </row>
      </sheetData>
      <sheetData sheetId="4789">
        <row r="8">
          <cell r="D8" t="str">
            <v>Paramaz Avedisian Building</v>
          </cell>
        </row>
      </sheetData>
      <sheetData sheetId="4790">
        <row r="8">
          <cell r="D8" t="str">
            <v>Paramaz Avedisian Building</v>
          </cell>
        </row>
      </sheetData>
      <sheetData sheetId="4791">
        <row r="8">
          <cell r="D8" t="str">
            <v>Paramaz Avedisian Building</v>
          </cell>
        </row>
      </sheetData>
      <sheetData sheetId="4792">
        <row r="8">
          <cell r="D8" t="str">
            <v>Paramaz Avedisian Building</v>
          </cell>
        </row>
      </sheetData>
      <sheetData sheetId="4793">
        <row r="8">
          <cell r="D8" t="str">
            <v>Paramaz Avedisian Building</v>
          </cell>
        </row>
      </sheetData>
      <sheetData sheetId="4794">
        <row r="8">
          <cell r="D8" t="str">
            <v>Paramaz Avedisian Building</v>
          </cell>
        </row>
      </sheetData>
      <sheetData sheetId="4795">
        <row r="8">
          <cell r="D8" t="str">
            <v>Paramaz Avedisian Building</v>
          </cell>
        </row>
      </sheetData>
      <sheetData sheetId="4796">
        <row r="8">
          <cell r="D8" t="str">
            <v>Paramaz Avedisian Building</v>
          </cell>
        </row>
      </sheetData>
      <sheetData sheetId="4797">
        <row r="8">
          <cell r="D8" t="str">
            <v>Paramaz Avedisian Building</v>
          </cell>
        </row>
      </sheetData>
      <sheetData sheetId="4798">
        <row r="8">
          <cell r="D8" t="str">
            <v>Paramaz Avedisian Building</v>
          </cell>
        </row>
      </sheetData>
      <sheetData sheetId="4799">
        <row r="8">
          <cell r="D8" t="str">
            <v>Paramaz Avedisian Building</v>
          </cell>
        </row>
      </sheetData>
      <sheetData sheetId="4800">
        <row r="8">
          <cell r="D8" t="str">
            <v>Paramaz Avedisian Building</v>
          </cell>
        </row>
      </sheetData>
      <sheetData sheetId="4801">
        <row r="8">
          <cell r="D8" t="str">
            <v>Paramaz Avedisian Building</v>
          </cell>
        </row>
      </sheetData>
      <sheetData sheetId="4802">
        <row r="8">
          <cell r="D8" t="str">
            <v>Paramaz Avedisian Building</v>
          </cell>
        </row>
      </sheetData>
      <sheetData sheetId="4803">
        <row r="8">
          <cell r="D8" t="str">
            <v>Paramaz Avedisian Building</v>
          </cell>
        </row>
      </sheetData>
      <sheetData sheetId="4804">
        <row r="8">
          <cell r="D8" t="str">
            <v>Paramaz Avedisian Building</v>
          </cell>
        </row>
      </sheetData>
      <sheetData sheetId="4805">
        <row r="8">
          <cell r="D8" t="str">
            <v>Paramaz Avedisian Building</v>
          </cell>
        </row>
      </sheetData>
      <sheetData sheetId="4806">
        <row r="8">
          <cell r="D8" t="str">
            <v>Paramaz Avedisian Building</v>
          </cell>
        </row>
      </sheetData>
      <sheetData sheetId="4807">
        <row r="8">
          <cell r="D8" t="str">
            <v>Paramaz Avedisian Building</v>
          </cell>
        </row>
      </sheetData>
      <sheetData sheetId="4808">
        <row r="8">
          <cell r="D8" t="str">
            <v>Paramaz Avedisian Building</v>
          </cell>
        </row>
      </sheetData>
      <sheetData sheetId="4809">
        <row r="8">
          <cell r="D8" t="str">
            <v>Paramaz Avedisian Building</v>
          </cell>
        </row>
      </sheetData>
      <sheetData sheetId="4810">
        <row r="8">
          <cell r="D8" t="str">
            <v>Paramaz Avedisian Building</v>
          </cell>
        </row>
      </sheetData>
      <sheetData sheetId="4811">
        <row r="8">
          <cell r="D8" t="str">
            <v>Paramaz Avedisian Building</v>
          </cell>
        </row>
      </sheetData>
      <sheetData sheetId="4812">
        <row r="8">
          <cell r="D8" t="str">
            <v>Paramaz Avedisian Building</v>
          </cell>
        </row>
      </sheetData>
      <sheetData sheetId="4813">
        <row r="8">
          <cell r="D8" t="str">
            <v>Paramaz Avedisian Building</v>
          </cell>
        </row>
      </sheetData>
      <sheetData sheetId="4814">
        <row r="8">
          <cell r="D8" t="str">
            <v>Paramaz Avedisian Building</v>
          </cell>
        </row>
      </sheetData>
      <sheetData sheetId="4815">
        <row r="8">
          <cell r="D8" t="str">
            <v>Paramaz Avedisian Building</v>
          </cell>
        </row>
      </sheetData>
      <sheetData sheetId="4816">
        <row r="8">
          <cell r="D8" t="str">
            <v>Paramaz Avedisian Building</v>
          </cell>
        </row>
      </sheetData>
      <sheetData sheetId="4817">
        <row r="8">
          <cell r="D8" t="str">
            <v>Paramaz Avedisian Building</v>
          </cell>
        </row>
      </sheetData>
      <sheetData sheetId="4818">
        <row r="8">
          <cell r="D8" t="str">
            <v>Paramaz Avedisian Building</v>
          </cell>
        </row>
      </sheetData>
      <sheetData sheetId="4819">
        <row r="8">
          <cell r="D8" t="str">
            <v>Paramaz Avedisian Building</v>
          </cell>
        </row>
      </sheetData>
      <sheetData sheetId="4820">
        <row r="8">
          <cell r="D8" t="str">
            <v>Paramaz Avedisian Building</v>
          </cell>
        </row>
      </sheetData>
      <sheetData sheetId="4821">
        <row r="8">
          <cell r="D8" t="str">
            <v>Paramaz Avedisian Building</v>
          </cell>
        </row>
      </sheetData>
      <sheetData sheetId="4822">
        <row r="8">
          <cell r="D8" t="str">
            <v>Paramaz Avedisian Building</v>
          </cell>
        </row>
      </sheetData>
      <sheetData sheetId="4823">
        <row r="8">
          <cell r="D8" t="str">
            <v>Paramaz Avedisian Building</v>
          </cell>
        </row>
      </sheetData>
      <sheetData sheetId="4824">
        <row r="8">
          <cell r="D8" t="str">
            <v>Paramaz Avedisian Building</v>
          </cell>
        </row>
      </sheetData>
      <sheetData sheetId="4825">
        <row r="8">
          <cell r="D8" t="str">
            <v>Paramaz Avedisian Building</v>
          </cell>
        </row>
      </sheetData>
      <sheetData sheetId="4826">
        <row r="8">
          <cell r="D8" t="str">
            <v>Paramaz Avedisian Building</v>
          </cell>
        </row>
      </sheetData>
      <sheetData sheetId="4827">
        <row r="8">
          <cell r="D8" t="str">
            <v>Paramaz Avedisian Building</v>
          </cell>
        </row>
      </sheetData>
      <sheetData sheetId="4828">
        <row r="8">
          <cell r="D8" t="str">
            <v>Paramaz Avedisian Building</v>
          </cell>
        </row>
      </sheetData>
      <sheetData sheetId="4829">
        <row r="8">
          <cell r="D8" t="str">
            <v>Paramaz Avedisian Building</v>
          </cell>
        </row>
      </sheetData>
      <sheetData sheetId="4830">
        <row r="8">
          <cell r="D8" t="str">
            <v>Paramaz Avedisian Building</v>
          </cell>
        </row>
      </sheetData>
      <sheetData sheetId="4831">
        <row r="8">
          <cell r="D8" t="str">
            <v>Paramaz Avedisian Building</v>
          </cell>
        </row>
      </sheetData>
      <sheetData sheetId="4832">
        <row r="8">
          <cell r="D8" t="str">
            <v>Paramaz Avedisian Building</v>
          </cell>
        </row>
      </sheetData>
      <sheetData sheetId="4833">
        <row r="8">
          <cell r="D8" t="str">
            <v>Paramaz Avedisian Building</v>
          </cell>
        </row>
      </sheetData>
      <sheetData sheetId="4834">
        <row r="8">
          <cell r="D8" t="str">
            <v>Paramaz Avedisian Building</v>
          </cell>
        </row>
      </sheetData>
      <sheetData sheetId="4835">
        <row r="8">
          <cell r="D8" t="str">
            <v>Paramaz Avedisian Building</v>
          </cell>
        </row>
      </sheetData>
      <sheetData sheetId="4836">
        <row r="8">
          <cell r="D8" t="str">
            <v>Paramaz Avedisian Building</v>
          </cell>
        </row>
      </sheetData>
      <sheetData sheetId="4837">
        <row r="8">
          <cell r="D8" t="str">
            <v>Paramaz Avedisian Building</v>
          </cell>
        </row>
      </sheetData>
      <sheetData sheetId="4838">
        <row r="8">
          <cell r="D8" t="str">
            <v>Paramaz Avedisian Building</v>
          </cell>
        </row>
      </sheetData>
      <sheetData sheetId="4839">
        <row r="8">
          <cell r="D8" t="str">
            <v>Paramaz Avedisian Building</v>
          </cell>
        </row>
      </sheetData>
      <sheetData sheetId="4840">
        <row r="8">
          <cell r="D8" t="str">
            <v>Paramaz Avedisian Building</v>
          </cell>
        </row>
      </sheetData>
      <sheetData sheetId="4841">
        <row r="8">
          <cell r="D8" t="str">
            <v>Paramaz Avedisian Building</v>
          </cell>
        </row>
      </sheetData>
      <sheetData sheetId="4842">
        <row r="8">
          <cell r="D8" t="str">
            <v>Paramaz Avedisian Building</v>
          </cell>
        </row>
      </sheetData>
      <sheetData sheetId="4843">
        <row r="8">
          <cell r="D8" t="str">
            <v>Paramaz Avedisian Building</v>
          </cell>
        </row>
      </sheetData>
      <sheetData sheetId="4844">
        <row r="8">
          <cell r="D8" t="str">
            <v>Paramaz Avedisian Building</v>
          </cell>
        </row>
      </sheetData>
      <sheetData sheetId="4845">
        <row r="8">
          <cell r="D8" t="str">
            <v>Paramaz Avedisian Building</v>
          </cell>
        </row>
      </sheetData>
      <sheetData sheetId="4846">
        <row r="8">
          <cell r="D8" t="str">
            <v>Paramaz Avedisian Building</v>
          </cell>
        </row>
      </sheetData>
      <sheetData sheetId="4847">
        <row r="8">
          <cell r="D8" t="str">
            <v>Paramaz Avedisian Building</v>
          </cell>
        </row>
      </sheetData>
      <sheetData sheetId="4848">
        <row r="8">
          <cell r="D8" t="str">
            <v>Paramaz Avedisian Building</v>
          </cell>
        </row>
      </sheetData>
      <sheetData sheetId="4849">
        <row r="8">
          <cell r="D8" t="str">
            <v>Paramaz Avedisian Building</v>
          </cell>
        </row>
      </sheetData>
      <sheetData sheetId="4850">
        <row r="8">
          <cell r="D8" t="str">
            <v>Paramaz Avedisian Building</v>
          </cell>
        </row>
      </sheetData>
      <sheetData sheetId="4851">
        <row r="8">
          <cell r="D8" t="str">
            <v>Paramaz Avedisian Building</v>
          </cell>
        </row>
      </sheetData>
      <sheetData sheetId="4852">
        <row r="8">
          <cell r="D8" t="str">
            <v>Paramaz Avedisian Building</v>
          </cell>
        </row>
      </sheetData>
      <sheetData sheetId="4853">
        <row r="8">
          <cell r="D8" t="str">
            <v>Paramaz Avedisian Building</v>
          </cell>
        </row>
      </sheetData>
      <sheetData sheetId="4854">
        <row r="8">
          <cell r="D8" t="str">
            <v>Paramaz Avedisian Building</v>
          </cell>
        </row>
      </sheetData>
      <sheetData sheetId="4855">
        <row r="8">
          <cell r="D8" t="str">
            <v>Paramaz Avedisian Building</v>
          </cell>
        </row>
      </sheetData>
      <sheetData sheetId="4856">
        <row r="8">
          <cell r="D8" t="str">
            <v>Paramaz Avedisian Building</v>
          </cell>
        </row>
      </sheetData>
      <sheetData sheetId="4857">
        <row r="8">
          <cell r="D8" t="str">
            <v>Paramaz Avedisian Building</v>
          </cell>
        </row>
      </sheetData>
      <sheetData sheetId="4858">
        <row r="8">
          <cell r="D8" t="str">
            <v>Paramaz Avedisian Building</v>
          </cell>
        </row>
      </sheetData>
      <sheetData sheetId="4859">
        <row r="8">
          <cell r="D8" t="str">
            <v>Paramaz Avedisian Building</v>
          </cell>
        </row>
      </sheetData>
      <sheetData sheetId="4860">
        <row r="8">
          <cell r="D8" t="str">
            <v>Paramaz Avedisian Building</v>
          </cell>
        </row>
      </sheetData>
      <sheetData sheetId="4861">
        <row r="8">
          <cell r="D8" t="str">
            <v>Paramaz Avedisian Building</v>
          </cell>
        </row>
      </sheetData>
      <sheetData sheetId="4862">
        <row r="8">
          <cell r="D8" t="str">
            <v>Paramaz Avedisian Building</v>
          </cell>
        </row>
      </sheetData>
      <sheetData sheetId="4863">
        <row r="8">
          <cell r="D8" t="str">
            <v>Paramaz Avedisian Building</v>
          </cell>
        </row>
      </sheetData>
      <sheetData sheetId="4864">
        <row r="8">
          <cell r="D8" t="str">
            <v>Paramaz Avedisian Building</v>
          </cell>
        </row>
      </sheetData>
      <sheetData sheetId="4865">
        <row r="8">
          <cell r="D8" t="str">
            <v>Paramaz Avedisian Building</v>
          </cell>
        </row>
      </sheetData>
      <sheetData sheetId="4866">
        <row r="8">
          <cell r="D8" t="str">
            <v>Paramaz Avedisian Building</v>
          </cell>
        </row>
      </sheetData>
      <sheetData sheetId="4867">
        <row r="8">
          <cell r="D8" t="str">
            <v>Paramaz Avedisian Building</v>
          </cell>
        </row>
      </sheetData>
      <sheetData sheetId="4868">
        <row r="8">
          <cell r="D8" t="str">
            <v>Paramaz Avedisian Building</v>
          </cell>
        </row>
      </sheetData>
      <sheetData sheetId="4869">
        <row r="8">
          <cell r="D8" t="str">
            <v>Paramaz Avedisian Building</v>
          </cell>
        </row>
      </sheetData>
      <sheetData sheetId="4870">
        <row r="8">
          <cell r="D8" t="str">
            <v>Paramaz Avedisian Building</v>
          </cell>
        </row>
      </sheetData>
      <sheetData sheetId="4871">
        <row r="8">
          <cell r="D8" t="str">
            <v>Paramaz Avedisian Building</v>
          </cell>
        </row>
      </sheetData>
      <sheetData sheetId="4872">
        <row r="8">
          <cell r="D8" t="str">
            <v>Paramaz Avedisian Building</v>
          </cell>
        </row>
      </sheetData>
      <sheetData sheetId="4873">
        <row r="8">
          <cell r="D8" t="str">
            <v>Paramaz Avedisian Building</v>
          </cell>
        </row>
      </sheetData>
      <sheetData sheetId="4874">
        <row r="8">
          <cell r="D8" t="str">
            <v>Paramaz Avedisian Building</v>
          </cell>
        </row>
      </sheetData>
      <sheetData sheetId="4875">
        <row r="8">
          <cell r="D8" t="str">
            <v>Paramaz Avedisian Building</v>
          </cell>
        </row>
      </sheetData>
      <sheetData sheetId="4876">
        <row r="8">
          <cell r="D8" t="str">
            <v>Paramaz Avedisian Building</v>
          </cell>
        </row>
      </sheetData>
      <sheetData sheetId="4877">
        <row r="8">
          <cell r="D8" t="str">
            <v>Paramaz Avedisian Building</v>
          </cell>
        </row>
      </sheetData>
      <sheetData sheetId="4878">
        <row r="8">
          <cell r="D8" t="str">
            <v>Paramaz Avedisian Building</v>
          </cell>
        </row>
      </sheetData>
      <sheetData sheetId="4879">
        <row r="8">
          <cell r="D8" t="str">
            <v>Paramaz Avedisian Building</v>
          </cell>
        </row>
      </sheetData>
      <sheetData sheetId="4880">
        <row r="8">
          <cell r="D8" t="str">
            <v>Paramaz Avedisian Building</v>
          </cell>
        </row>
      </sheetData>
      <sheetData sheetId="4881">
        <row r="8">
          <cell r="D8" t="str">
            <v>Paramaz Avedisian Building</v>
          </cell>
        </row>
      </sheetData>
      <sheetData sheetId="4882">
        <row r="8">
          <cell r="D8" t="str">
            <v>Paramaz Avedisian Building</v>
          </cell>
        </row>
      </sheetData>
      <sheetData sheetId="4883">
        <row r="8">
          <cell r="D8" t="str">
            <v>Paramaz Avedisian Building</v>
          </cell>
        </row>
      </sheetData>
      <sheetData sheetId="4884">
        <row r="8">
          <cell r="D8" t="str">
            <v>Paramaz Avedisian Building</v>
          </cell>
        </row>
      </sheetData>
      <sheetData sheetId="4885">
        <row r="8">
          <cell r="D8" t="str">
            <v>Paramaz Avedisian Building</v>
          </cell>
        </row>
      </sheetData>
      <sheetData sheetId="4886">
        <row r="8">
          <cell r="D8" t="str">
            <v>Paramaz Avedisian Building</v>
          </cell>
        </row>
      </sheetData>
      <sheetData sheetId="4887">
        <row r="8">
          <cell r="D8" t="str">
            <v>Paramaz Avedisian Building</v>
          </cell>
        </row>
      </sheetData>
      <sheetData sheetId="4888">
        <row r="8">
          <cell r="D8" t="str">
            <v>Paramaz Avedisian Building</v>
          </cell>
        </row>
      </sheetData>
      <sheetData sheetId="4889">
        <row r="8">
          <cell r="D8" t="str">
            <v>Paramaz Avedisian Building</v>
          </cell>
        </row>
      </sheetData>
      <sheetData sheetId="4890">
        <row r="8">
          <cell r="D8" t="str">
            <v>Paramaz Avedisian Building</v>
          </cell>
        </row>
      </sheetData>
      <sheetData sheetId="4891">
        <row r="8">
          <cell r="D8" t="str">
            <v>Paramaz Avedisian Building</v>
          </cell>
        </row>
      </sheetData>
      <sheetData sheetId="4892">
        <row r="8">
          <cell r="D8" t="str">
            <v>Paramaz Avedisian Building</v>
          </cell>
        </row>
      </sheetData>
      <sheetData sheetId="4893">
        <row r="8">
          <cell r="D8" t="str">
            <v>Paramaz Avedisian Building</v>
          </cell>
        </row>
      </sheetData>
      <sheetData sheetId="4894">
        <row r="8">
          <cell r="D8" t="str">
            <v>Paramaz Avedisian Building</v>
          </cell>
        </row>
      </sheetData>
      <sheetData sheetId="4895">
        <row r="8">
          <cell r="D8" t="str">
            <v>Paramaz Avedisian Building</v>
          </cell>
        </row>
      </sheetData>
      <sheetData sheetId="4896">
        <row r="8">
          <cell r="D8" t="str">
            <v>Paramaz Avedisian Building</v>
          </cell>
        </row>
      </sheetData>
      <sheetData sheetId="4897">
        <row r="8">
          <cell r="D8" t="str">
            <v>Paramaz Avedisian Building</v>
          </cell>
        </row>
      </sheetData>
      <sheetData sheetId="4898">
        <row r="8">
          <cell r="D8" t="str">
            <v>Paramaz Avedisian Building</v>
          </cell>
        </row>
      </sheetData>
      <sheetData sheetId="4899">
        <row r="8">
          <cell r="D8" t="str">
            <v>Paramaz Avedisian Building</v>
          </cell>
        </row>
      </sheetData>
      <sheetData sheetId="4900">
        <row r="8">
          <cell r="D8" t="str">
            <v>Paramaz Avedisian Building</v>
          </cell>
        </row>
      </sheetData>
      <sheetData sheetId="4901">
        <row r="8">
          <cell r="D8" t="str">
            <v>Paramaz Avedisian Building</v>
          </cell>
        </row>
      </sheetData>
      <sheetData sheetId="4902">
        <row r="8">
          <cell r="D8" t="str">
            <v>Paramaz Avedisian Building</v>
          </cell>
        </row>
      </sheetData>
      <sheetData sheetId="4903">
        <row r="8">
          <cell r="D8" t="str">
            <v>Paramaz Avedisian Building</v>
          </cell>
        </row>
      </sheetData>
      <sheetData sheetId="4904">
        <row r="8">
          <cell r="D8" t="str">
            <v>Paramaz Avedisian Building</v>
          </cell>
        </row>
      </sheetData>
      <sheetData sheetId="4905">
        <row r="8">
          <cell r="D8" t="str">
            <v>Paramaz Avedisian Building</v>
          </cell>
        </row>
      </sheetData>
      <sheetData sheetId="4906">
        <row r="8">
          <cell r="D8" t="str">
            <v>Paramaz Avedisian Building</v>
          </cell>
        </row>
      </sheetData>
      <sheetData sheetId="4907">
        <row r="8">
          <cell r="D8" t="str">
            <v>Paramaz Avedisian Building</v>
          </cell>
        </row>
      </sheetData>
      <sheetData sheetId="4908">
        <row r="8">
          <cell r="D8" t="str">
            <v>Paramaz Avedisian Building</v>
          </cell>
        </row>
      </sheetData>
      <sheetData sheetId="4909">
        <row r="8">
          <cell r="D8" t="str">
            <v>Paramaz Avedisian Building</v>
          </cell>
        </row>
      </sheetData>
      <sheetData sheetId="4910">
        <row r="8">
          <cell r="D8" t="str">
            <v>Paramaz Avedisian Building</v>
          </cell>
        </row>
      </sheetData>
      <sheetData sheetId="4911">
        <row r="8">
          <cell r="D8" t="str">
            <v>Paramaz Avedisian Building</v>
          </cell>
        </row>
      </sheetData>
      <sheetData sheetId="4912">
        <row r="8">
          <cell r="D8" t="str">
            <v>Paramaz Avedisian Building</v>
          </cell>
        </row>
      </sheetData>
      <sheetData sheetId="4913">
        <row r="8">
          <cell r="D8" t="str">
            <v>Paramaz Avedisian Building</v>
          </cell>
        </row>
      </sheetData>
      <sheetData sheetId="4914">
        <row r="8">
          <cell r="D8" t="str">
            <v>Paramaz Avedisian Building</v>
          </cell>
        </row>
      </sheetData>
      <sheetData sheetId="4915">
        <row r="8">
          <cell r="D8" t="str">
            <v>Paramaz Avedisian Building</v>
          </cell>
        </row>
      </sheetData>
      <sheetData sheetId="4916">
        <row r="8">
          <cell r="D8" t="str">
            <v>Paramaz Avedisian Building</v>
          </cell>
        </row>
      </sheetData>
      <sheetData sheetId="4917">
        <row r="8">
          <cell r="D8" t="str">
            <v>Paramaz Avedisian Building</v>
          </cell>
        </row>
      </sheetData>
      <sheetData sheetId="4918">
        <row r="8">
          <cell r="D8" t="str">
            <v>Paramaz Avedisian Building</v>
          </cell>
        </row>
      </sheetData>
      <sheetData sheetId="4919">
        <row r="8">
          <cell r="D8" t="str">
            <v>Paramaz Avedisian Building</v>
          </cell>
        </row>
      </sheetData>
      <sheetData sheetId="4920">
        <row r="8">
          <cell r="D8" t="str">
            <v>Paramaz Avedisian Building</v>
          </cell>
        </row>
      </sheetData>
      <sheetData sheetId="4921">
        <row r="8">
          <cell r="D8" t="str">
            <v>Paramaz Avedisian Building</v>
          </cell>
        </row>
      </sheetData>
      <sheetData sheetId="4922">
        <row r="8">
          <cell r="D8" t="str">
            <v>Paramaz Avedisian Building</v>
          </cell>
        </row>
      </sheetData>
      <sheetData sheetId="4923">
        <row r="8">
          <cell r="D8" t="str">
            <v>Paramaz Avedisian Building</v>
          </cell>
        </row>
      </sheetData>
      <sheetData sheetId="4924">
        <row r="8">
          <cell r="D8" t="str">
            <v>Paramaz Avedisian Building</v>
          </cell>
        </row>
      </sheetData>
      <sheetData sheetId="4925">
        <row r="8">
          <cell r="D8" t="str">
            <v>Paramaz Avedisian Building</v>
          </cell>
        </row>
      </sheetData>
      <sheetData sheetId="4926">
        <row r="8">
          <cell r="D8" t="str">
            <v>Paramaz Avedisian Building</v>
          </cell>
        </row>
      </sheetData>
      <sheetData sheetId="4927">
        <row r="8">
          <cell r="D8" t="str">
            <v>Paramaz Avedisian Building</v>
          </cell>
        </row>
      </sheetData>
      <sheetData sheetId="4928">
        <row r="8">
          <cell r="D8" t="str">
            <v>Paramaz Avedisian Building</v>
          </cell>
        </row>
      </sheetData>
      <sheetData sheetId="4929">
        <row r="8">
          <cell r="D8" t="str">
            <v>Paramaz Avedisian Building</v>
          </cell>
        </row>
      </sheetData>
      <sheetData sheetId="4930">
        <row r="8">
          <cell r="D8" t="str">
            <v>Paramaz Avedisian Building</v>
          </cell>
        </row>
      </sheetData>
      <sheetData sheetId="4931">
        <row r="8">
          <cell r="D8" t="str">
            <v>Paramaz Avedisian Building</v>
          </cell>
        </row>
      </sheetData>
      <sheetData sheetId="4932">
        <row r="8">
          <cell r="D8" t="str">
            <v>Paramaz Avedisian Building</v>
          </cell>
        </row>
      </sheetData>
      <sheetData sheetId="4933">
        <row r="8">
          <cell r="D8" t="str">
            <v>Paramaz Avedisian Building</v>
          </cell>
        </row>
      </sheetData>
      <sheetData sheetId="4934">
        <row r="8">
          <cell r="D8" t="str">
            <v>Paramaz Avedisian Building</v>
          </cell>
        </row>
      </sheetData>
      <sheetData sheetId="4935">
        <row r="8">
          <cell r="D8" t="str">
            <v>Paramaz Avedisian Building</v>
          </cell>
        </row>
      </sheetData>
      <sheetData sheetId="4936">
        <row r="8">
          <cell r="D8" t="str">
            <v>Paramaz Avedisian Building</v>
          </cell>
        </row>
      </sheetData>
      <sheetData sheetId="4937">
        <row r="8">
          <cell r="D8" t="str">
            <v>Paramaz Avedisian Building</v>
          </cell>
        </row>
      </sheetData>
      <sheetData sheetId="4938">
        <row r="8">
          <cell r="D8" t="str">
            <v>Paramaz Avedisian Building</v>
          </cell>
        </row>
      </sheetData>
      <sheetData sheetId="4939">
        <row r="8">
          <cell r="D8" t="str">
            <v>Paramaz Avedisian Building</v>
          </cell>
        </row>
      </sheetData>
      <sheetData sheetId="4940">
        <row r="8">
          <cell r="D8" t="str">
            <v>Paramaz Avedisian Building</v>
          </cell>
        </row>
      </sheetData>
      <sheetData sheetId="4941">
        <row r="8">
          <cell r="D8" t="str">
            <v>Paramaz Avedisian Building</v>
          </cell>
        </row>
      </sheetData>
      <sheetData sheetId="4942">
        <row r="8">
          <cell r="D8" t="str">
            <v>Paramaz Avedisian Building</v>
          </cell>
        </row>
      </sheetData>
      <sheetData sheetId="4943">
        <row r="8">
          <cell r="D8" t="str">
            <v>Paramaz Avedisian Building</v>
          </cell>
        </row>
      </sheetData>
      <sheetData sheetId="4944">
        <row r="8">
          <cell r="D8" t="str">
            <v>Paramaz Avedisian Building</v>
          </cell>
        </row>
      </sheetData>
      <sheetData sheetId="4945">
        <row r="8">
          <cell r="D8" t="str">
            <v>Paramaz Avedisian Building</v>
          </cell>
        </row>
      </sheetData>
      <sheetData sheetId="4946">
        <row r="8">
          <cell r="D8" t="str">
            <v>Paramaz Avedisian Building</v>
          </cell>
        </row>
      </sheetData>
      <sheetData sheetId="4947">
        <row r="8">
          <cell r="D8" t="str">
            <v>Paramaz Avedisian Building</v>
          </cell>
        </row>
      </sheetData>
      <sheetData sheetId="4948">
        <row r="8">
          <cell r="D8" t="str">
            <v>Paramaz Avedisian Building</v>
          </cell>
        </row>
      </sheetData>
      <sheetData sheetId="4949">
        <row r="8">
          <cell r="D8" t="str">
            <v>Paramaz Avedisian Building</v>
          </cell>
        </row>
      </sheetData>
      <sheetData sheetId="4950">
        <row r="8">
          <cell r="D8" t="str">
            <v>Paramaz Avedisian Building</v>
          </cell>
        </row>
      </sheetData>
      <sheetData sheetId="4951">
        <row r="8">
          <cell r="D8" t="str">
            <v>Paramaz Avedisian Building</v>
          </cell>
        </row>
      </sheetData>
      <sheetData sheetId="4952">
        <row r="8">
          <cell r="D8" t="str">
            <v>Paramaz Avedisian Building</v>
          </cell>
        </row>
      </sheetData>
      <sheetData sheetId="4953">
        <row r="8">
          <cell r="D8" t="str">
            <v>Paramaz Avedisian Building</v>
          </cell>
        </row>
      </sheetData>
      <sheetData sheetId="4954">
        <row r="8">
          <cell r="D8" t="str">
            <v>Paramaz Avedisian Building</v>
          </cell>
        </row>
      </sheetData>
      <sheetData sheetId="4955">
        <row r="8">
          <cell r="D8" t="str">
            <v>Paramaz Avedisian Building</v>
          </cell>
        </row>
      </sheetData>
      <sheetData sheetId="4956">
        <row r="8">
          <cell r="D8" t="str">
            <v>Paramaz Avedisian Building</v>
          </cell>
        </row>
      </sheetData>
      <sheetData sheetId="4957">
        <row r="8">
          <cell r="D8" t="str">
            <v>Paramaz Avedisian Building</v>
          </cell>
        </row>
      </sheetData>
      <sheetData sheetId="4958">
        <row r="8">
          <cell r="D8" t="str">
            <v>Paramaz Avedisian Building</v>
          </cell>
        </row>
      </sheetData>
      <sheetData sheetId="4959">
        <row r="8">
          <cell r="D8" t="str">
            <v>Paramaz Avedisian Building</v>
          </cell>
        </row>
      </sheetData>
      <sheetData sheetId="4960">
        <row r="8">
          <cell r="D8" t="str">
            <v>Paramaz Avedisian Building</v>
          </cell>
        </row>
      </sheetData>
      <sheetData sheetId="4961">
        <row r="8">
          <cell r="D8" t="str">
            <v>Paramaz Avedisian Building</v>
          </cell>
        </row>
      </sheetData>
      <sheetData sheetId="4962">
        <row r="8">
          <cell r="D8" t="str">
            <v>Paramaz Avedisian Building</v>
          </cell>
        </row>
      </sheetData>
      <sheetData sheetId="4963">
        <row r="8">
          <cell r="D8" t="str">
            <v>Paramaz Avedisian Building</v>
          </cell>
        </row>
      </sheetData>
      <sheetData sheetId="4964">
        <row r="8">
          <cell r="D8" t="str">
            <v>Paramaz Avedisian Building</v>
          </cell>
        </row>
      </sheetData>
      <sheetData sheetId="4965">
        <row r="8">
          <cell r="D8" t="str">
            <v>Paramaz Avedisian Building</v>
          </cell>
        </row>
      </sheetData>
      <sheetData sheetId="4966">
        <row r="8">
          <cell r="D8" t="str">
            <v>Paramaz Avedisian Building</v>
          </cell>
        </row>
      </sheetData>
      <sheetData sheetId="4967">
        <row r="8">
          <cell r="D8" t="str">
            <v>Paramaz Avedisian Building</v>
          </cell>
        </row>
      </sheetData>
      <sheetData sheetId="4968">
        <row r="8">
          <cell r="D8" t="str">
            <v>Paramaz Avedisian Building</v>
          </cell>
        </row>
      </sheetData>
      <sheetData sheetId="4969">
        <row r="8">
          <cell r="D8" t="str">
            <v>Paramaz Avedisian Building</v>
          </cell>
        </row>
      </sheetData>
      <sheetData sheetId="4970">
        <row r="8">
          <cell r="D8" t="str">
            <v>Paramaz Avedisian Building</v>
          </cell>
        </row>
      </sheetData>
      <sheetData sheetId="4971">
        <row r="8">
          <cell r="D8" t="str">
            <v>Paramaz Avedisian Building</v>
          </cell>
        </row>
      </sheetData>
      <sheetData sheetId="4972">
        <row r="8">
          <cell r="D8" t="str">
            <v>Paramaz Avedisian Building</v>
          </cell>
        </row>
      </sheetData>
      <sheetData sheetId="4973">
        <row r="8">
          <cell r="D8" t="str">
            <v>Paramaz Avedisian Building</v>
          </cell>
        </row>
      </sheetData>
      <sheetData sheetId="4974">
        <row r="8">
          <cell r="D8" t="str">
            <v>Paramaz Avedisian Building</v>
          </cell>
        </row>
      </sheetData>
      <sheetData sheetId="4975">
        <row r="8">
          <cell r="D8" t="str">
            <v>Paramaz Avedisian Building</v>
          </cell>
        </row>
      </sheetData>
      <sheetData sheetId="4976">
        <row r="8">
          <cell r="D8" t="str">
            <v>Paramaz Avedisian Building</v>
          </cell>
        </row>
      </sheetData>
      <sheetData sheetId="4977">
        <row r="8">
          <cell r="D8" t="str">
            <v>Paramaz Avedisian Building</v>
          </cell>
        </row>
      </sheetData>
      <sheetData sheetId="4978">
        <row r="8">
          <cell r="D8" t="str">
            <v>Paramaz Avedisian Building</v>
          </cell>
        </row>
      </sheetData>
      <sheetData sheetId="4979">
        <row r="8">
          <cell r="D8" t="str">
            <v>Paramaz Avedisian Building</v>
          </cell>
        </row>
      </sheetData>
      <sheetData sheetId="4980">
        <row r="8">
          <cell r="D8" t="str">
            <v>Paramaz Avedisian Building</v>
          </cell>
        </row>
      </sheetData>
      <sheetData sheetId="4981">
        <row r="8">
          <cell r="D8" t="str">
            <v>Paramaz Avedisian Building</v>
          </cell>
        </row>
      </sheetData>
      <sheetData sheetId="4982">
        <row r="8">
          <cell r="D8" t="str">
            <v>Paramaz Avedisian Building</v>
          </cell>
        </row>
      </sheetData>
      <sheetData sheetId="4983">
        <row r="8">
          <cell r="D8" t="str">
            <v>Paramaz Avedisian Building</v>
          </cell>
        </row>
      </sheetData>
      <sheetData sheetId="4984">
        <row r="8">
          <cell r="D8" t="str">
            <v>Paramaz Avedisian Building</v>
          </cell>
        </row>
      </sheetData>
      <sheetData sheetId="4985">
        <row r="8">
          <cell r="D8" t="str">
            <v>Paramaz Avedisian Building</v>
          </cell>
        </row>
      </sheetData>
      <sheetData sheetId="4986">
        <row r="8">
          <cell r="D8" t="str">
            <v>Paramaz Avedisian Building</v>
          </cell>
        </row>
      </sheetData>
      <sheetData sheetId="4987">
        <row r="8">
          <cell r="D8" t="str">
            <v>Paramaz Avedisian Building</v>
          </cell>
        </row>
      </sheetData>
      <sheetData sheetId="4988">
        <row r="8">
          <cell r="D8" t="str">
            <v>Paramaz Avedisian Building</v>
          </cell>
        </row>
      </sheetData>
      <sheetData sheetId="4989">
        <row r="8">
          <cell r="D8" t="str">
            <v>Paramaz Avedisian Building</v>
          </cell>
        </row>
      </sheetData>
      <sheetData sheetId="4990">
        <row r="8">
          <cell r="D8" t="str">
            <v>Paramaz Avedisian Building</v>
          </cell>
        </row>
      </sheetData>
      <sheetData sheetId="4991">
        <row r="8">
          <cell r="D8" t="str">
            <v>Paramaz Avedisian Building</v>
          </cell>
        </row>
      </sheetData>
      <sheetData sheetId="4992">
        <row r="8">
          <cell r="D8" t="str">
            <v>Paramaz Avedisian Building</v>
          </cell>
        </row>
      </sheetData>
      <sheetData sheetId="4993">
        <row r="8">
          <cell r="D8" t="str">
            <v>Paramaz Avedisian Building</v>
          </cell>
        </row>
      </sheetData>
      <sheetData sheetId="4994">
        <row r="8">
          <cell r="D8" t="str">
            <v>Paramaz Avedisian Building</v>
          </cell>
        </row>
      </sheetData>
      <sheetData sheetId="4995">
        <row r="8">
          <cell r="D8" t="str">
            <v>Paramaz Avedisian Building</v>
          </cell>
        </row>
      </sheetData>
      <sheetData sheetId="4996">
        <row r="8">
          <cell r="D8" t="str">
            <v>Paramaz Avedisian Building</v>
          </cell>
        </row>
      </sheetData>
      <sheetData sheetId="4997">
        <row r="8">
          <cell r="D8" t="str">
            <v>Paramaz Avedisian Building</v>
          </cell>
        </row>
      </sheetData>
      <sheetData sheetId="4998">
        <row r="8">
          <cell r="D8" t="str">
            <v>Paramaz Avedisian Building</v>
          </cell>
        </row>
      </sheetData>
      <sheetData sheetId="4999">
        <row r="8">
          <cell r="D8" t="str">
            <v>Paramaz Avedisian Building</v>
          </cell>
        </row>
      </sheetData>
      <sheetData sheetId="5000">
        <row r="8">
          <cell r="D8" t="str">
            <v>Paramaz Avedisian Building</v>
          </cell>
        </row>
      </sheetData>
      <sheetData sheetId="5001">
        <row r="8">
          <cell r="D8" t="str">
            <v>Paramaz Avedisian Building</v>
          </cell>
        </row>
      </sheetData>
      <sheetData sheetId="5002">
        <row r="8">
          <cell r="D8" t="str">
            <v>Paramaz Avedisian Building</v>
          </cell>
        </row>
      </sheetData>
      <sheetData sheetId="5003">
        <row r="8">
          <cell r="D8" t="str">
            <v>Paramaz Avedisian Building</v>
          </cell>
        </row>
      </sheetData>
      <sheetData sheetId="5004">
        <row r="8">
          <cell r="D8" t="str">
            <v>Paramaz Avedisian Building</v>
          </cell>
        </row>
      </sheetData>
      <sheetData sheetId="5005">
        <row r="8">
          <cell r="D8" t="str">
            <v>Paramaz Avedisian Building</v>
          </cell>
        </row>
      </sheetData>
      <sheetData sheetId="5006">
        <row r="8">
          <cell r="D8" t="str">
            <v>Paramaz Avedisian Building</v>
          </cell>
        </row>
      </sheetData>
      <sheetData sheetId="5007">
        <row r="8">
          <cell r="D8" t="str">
            <v>Paramaz Avedisian Building</v>
          </cell>
        </row>
      </sheetData>
      <sheetData sheetId="5008">
        <row r="8">
          <cell r="D8" t="str">
            <v>Paramaz Avedisian Building</v>
          </cell>
        </row>
      </sheetData>
      <sheetData sheetId="5009">
        <row r="8">
          <cell r="D8" t="str">
            <v>Paramaz Avedisian Building</v>
          </cell>
        </row>
      </sheetData>
      <sheetData sheetId="5010">
        <row r="8">
          <cell r="D8" t="str">
            <v>Paramaz Avedisian Building</v>
          </cell>
        </row>
      </sheetData>
      <sheetData sheetId="5011">
        <row r="8">
          <cell r="D8" t="str">
            <v>Paramaz Avedisian Building</v>
          </cell>
        </row>
      </sheetData>
      <sheetData sheetId="5012">
        <row r="8">
          <cell r="D8" t="str">
            <v>Paramaz Avedisian Building</v>
          </cell>
        </row>
      </sheetData>
      <sheetData sheetId="5013">
        <row r="8">
          <cell r="D8" t="str">
            <v>Paramaz Avedisian Building</v>
          </cell>
        </row>
      </sheetData>
      <sheetData sheetId="5014">
        <row r="8">
          <cell r="D8" t="str">
            <v>Paramaz Avedisian Building</v>
          </cell>
        </row>
      </sheetData>
      <sheetData sheetId="5015">
        <row r="8">
          <cell r="D8" t="str">
            <v>Paramaz Avedisian Building</v>
          </cell>
        </row>
      </sheetData>
      <sheetData sheetId="5016">
        <row r="8">
          <cell r="D8" t="str">
            <v>Paramaz Avedisian Building</v>
          </cell>
        </row>
      </sheetData>
      <sheetData sheetId="5017">
        <row r="8">
          <cell r="D8" t="str">
            <v>Paramaz Avedisian Building</v>
          </cell>
        </row>
      </sheetData>
      <sheetData sheetId="5018">
        <row r="8">
          <cell r="D8" t="str">
            <v>Paramaz Avedisian Building</v>
          </cell>
        </row>
      </sheetData>
      <sheetData sheetId="5019">
        <row r="8">
          <cell r="D8" t="str">
            <v>Paramaz Avedisian Building</v>
          </cell>
        </row>
      </sheetData>
      <sheetData sheetId="5020">
        <row r="8">
          <cell r="D8" t="str">
            <v>Paramaz Avedisian Building</v>
          </cell>
        </row>
      </sheetData>
      <sheetData sheetId="5021">
        <row r="8">
          <cell r="D8" t="str">
            <v>Paramaz Avedisian Building</v>
          </cell>
        </row>
      </sheetData>
      <sheetData sheetId="5022">
        <row r="8">
          <cell r="D8" t="str">
            <v>Paramaz Avedisian Building</v>
          </cell>
        </row>
      </sheetData>
      <sheetData sheetId="5023">
        <row r="8">
          <cell r="D8" t="str">
            <v>Paramaz Avedisian Building</v>
          </cell>
        </row>
      </sheetData>
      <sheetData sheetId="5024">
        <row r="8">
          <cell r="D8" t="str">
            <v>Paramaz Avedisian Building</v>
          </cell>
        </row>
      </sheetData>
      <sheetData sheetId="5025">
        <row r="8">
          <cell r="D8" t="str">
            <v>Paramaz Avedisian Building</v>
          </cell>
        </row>
      </sheetData>
      <sheetData sheetId="5026">
        <row r="8">
          <cell r="D8" t="str">
            <v>Paramaz Avedisian Building</v>
          </cell>
        </row>
      </sheetData>
      <sheetData sheetId="5027">
        <row r="8">
          <cell r="D8" t="str">
            <v>Paramaz Avedisian Building</v>
          </cell>
        </row>
      </sheetData>
      <sheetData sheetId="5028">
        <row r="8">
          <cell r="D8" t="str">
            <v>Paramaz Avedisian Building</v>
          </cell>
        </row>
      </sheetData>
      <sheetData sheetId="5029">
        <row r="8">
          <cell r="D8" t="str">
            <v>Paramaz Avedisian Building</v>
          </cell>
        </row>
      </sheetData>
      <sheetData sheetId="5030">
        <row r="8">
          <cell r="D8" t="str">
            <v>Paramaz Avedisian Building</v>
          </cell>
        </row>
      </sheetData>
      <sheetData sheetId="5031">
        <row r="8">
          <cell r="D8" t="str">
            <v>Paramaz Avedisian Building</v>
          </cell>
        </row>
      </sheetData>
      <sheetData sheetId="5032">
        <row r="8">
          <cell r="D8" t="str">
            <v>Paramaz Avedisian Building</v>
          </cell>
        </row>
      </sheetData>
      <sheetData sheetId="5033">
        <row r="8">
          <cell r="D8" t="str">
            <v>Paramaz Avedisian Building</v>
          </cell>
        </row>
      </sheetData>
      <sheetData sheetId="5034">
        <row r="8">
          <cell r="D8" t="str">
            <v>Paramaz Avedisian Building</v>
          </cell>
        </row>
      </sheetData>
      <sheetData sheetId="5035">
        <row r="8">
          <cell r="D8" t="str">
            <v>Paramaz Avedisian Building</v>
          </cell>
        </row>
      </sheetData>
      <sheetData sheetId="5036">
        <row r="8">
          <cell r="D8" t="str">
            <v>Paramaz Avedisian Building</v>
          </cell>
        </row>
      </sheetData>
      <sheetData sheetId="5037">
        <row r="8">
          <cell r="D8" t="str">
            <v>Paramaz Avedisian Building</v>
          </cell>
        </row>
      </sheetData>
      <sheetData sheetId="5038">
        <row r="8">
          <cell r="D8" t="str">
            <v>Paramaz Avedisian Building</v>
          </cell>
        </row>
      </sheetData>
      <sheetData sheetId="5039">
        <row r="8">
          <cell r="D8" t="str">
            <v>Paramaz Avedisian Building</v>
          </cell>
        </row>
      </sheetData>
      <sheetData sheetId="5040">
        <row r="8">
          <cell r="D8" t="str">
            <v>Paramaz Avedisian Building</v>
          </cell>
        </row>
      </sheetData>
      <sheetData sheetId="5041">
        <row r="8">
          <cell r="D8" t="str">
            <v>Paramaz Avedisian Building</v>
          </cell>
        </row>
      </sheetData>
      <sheetData sheetId="5042">
        <row r="8">
          <cell r="D8" t="str">
            <v>Paramaz Avedisian Building</v>
          </cell>
        </row>
      </sheetData>
      <sheetData sheetId="5043">
        <row r="8">
          <cell r="D8" t="str">
            <v>Paramaz Avedisian Building</v>
          </cell>
        </row>
      </sheetData>
      <sheetData sheetId="5044">
        <row r="8">
          <cell r="D8" t="str">
            <v>Paramaz Avedisian Building</v>
          </cell>
        </row>
      </sheetData>
      <sheetData sheetId="5045">
        <row r="8">
          <cell r="D8" t="str">
            <v>Paramaz Avedisian Building</v>
          </cell>
        </row>
      </sheetData>
      <sheetData sheetId="5046">
        <row r="8">
          <cell r="D8" t="str">
            <v>Paramaz Avedisian Building</v>
          </cell>
        </row>
      </sheetData>
      <sheetData sheetId="5047">
        <row r="8">
          <cell r="D8" t="str">
            <v>Paramaz Avedisian Building</v>
          </cell>
        </row>
      </sheetData>
      <sheetData sheetId="5048">
        <row r="8">
          <cell r="D8" t="str">
            <v>Paramaz Avedisian Building</v>
          </cell>
        </row>
      </sheetData>
      <sheetData sheetId="5049">
        <row r="8">
          <cell r="D8" t="str">
            <v>Paramaz Avedisian Building</v>
          </cell>
        </row>
      </sheetData>
      <sheetData sheetId="5050">
        <row r="8">
          <cell r="D8" t="str">
            <v>Paramaz Avedisian Building</v>
          </cell>
        </row>
      </sheetData>
      <sheetData sheetId="5051">
        <row r="8">
          <cell r="D8" t="str">
            <v>Paramaz Avedisian Building</v>
          </cell>
        </row>
      </sheetData>
      <sheetData sheetId="5052">
        <row r="8">
          <cell r="D8" t="str">
            <v>Paramaz Avedisian Building</v>
          </cell>
        </row>
      </sheetData>
      <sheetData sheetId="5053">
        <row r="8">
          <cell r="D8" t="str">
            <v>Paramaz Avedisian Building</v>
          </cell>
        </row>
      </sheetData>
      <sheetData sheetId="5054">
        <row r="8">
          <cell r="D8" t="str">
            <v>Paramaz Avedisian Building</v>
          </cell>
        </row>
      </sheetData>
      <sheetData sheetId="5055">
        <row r="8">
          <cell r="D8" t="str">
            <v>Paramaz Avedisian Building</v>
          </cell>
        </row>
      </sheetData>
      <sheetData sheetId="5056">
        <row r="8">
          <cell r="D8" t="str">
            <v>Paramaz Avedisian Building</v>
          </cell>
        </row>
      </sheetData>
      <sheetData sheetId="5057">
        <row r="8">
          <cell r="D8" t="str">
            <v>Paramaz Avedisian Building</v>
          </cell>
        </row>
      </sheetData>
      <sheetData sheetId="5058">
        <row r="8">
          <cell r="D8" t="str">
            <v>Paramaz Avedisian Building</v>
          </cell>
        </row>
      </sheetData>
      <sheetData sheetId="5059">
        <row r="8">
          <cell r="D8" t="str">
            <v>Paramaz Avedisian Building</v>
          </cell>
        </row>
      </sheetData>
      <sheetData sheetId="5060">
        <row r="8">
          <cell r="D8" t="str">
            <v>Paramaz Avedisian Building</v>
          </cell>
        </row>
      </sheetData>
      <sheetData sheetId="5061">
        <row r="8">
          <cell r="D8" t="str">
            <v>Paramaz Avedisian Building</v>
          </cell>
        </row>
      </sheetData>
      <sheetData sheetId="5062">
        <row r="8">
          <cell r="D8" t="str">
            <v>Paramaz Avedisian Building</v>
          </cell>
        </row>
      </sheetData>
      <sheetData sheetId="5063">
        <row r="8">
          <cell r="D8" t="str">
            <v>Paramaz Avedisian Building</v>
          </cell>
        </row>
      </sheetData>
      <sheetData sheetId="5064">
        <row r="8">
          <cell r="D8" t="str">
            <v>Paramaz Avedisian Building</v>
          </cell>
        </row>
      </sheetData>
      <sheetData sheetId="5065">
        <row r="8">
          <cell r="D8" t="str">
            <v>Paramaz Avedisian Building</v>
          </cell>
        </row>
      </sheetData>
      <sheetData sheetId="5066">
        <row r="8">
          <cell r="D8" t="str">
            <v>Paramaz Avedisian Building</v>
          </cell>
        </row>
      </sheetData>
      <sheetData sheetId="5067">
        <row r="8">
          <cell r="D8" t="str">
            <v>Paramaz Avedisian Building</v>
          </cell>
        </row>
      </sheetData>
      <sheetData sheetId="5068">
        <row r="8">
          <cell r="D8" t="str">
            <v>Paramaz Avedisian Building</v>
          </cell>
        </row>
      </sheetData>
      <sheetData sheetId="5069">
        <row r="8">
          <cell r="D8" t="str">
            <v>Paramaz Avedisian Building</v>
          </cell>
        </row>
      </sheetData>
      <sheetData sheetId="5070">
        <row r="8">
          <cell r="D8" t="str">
            <v>Paramaz Avedisian Building</v>
          </cell>
        </row>
      </sheetData>
      <sheetData sheetId="5071">
        <row r="8">
          <cell r="D8" t="str">
            <v>Paramaz Avedisian Building</v>
          </cell>
        </row>
      </sheetData>
      <sheetData sheetId="5072">
        <row r="8">
          <cell r="D8" t="str">
            <v>Paramaz Avedisian Building</v>
          </cell>
        </row>
      </sheetData>
      <sheetData sheetId="5073">
        <row r="8">
          <cell r="D8" t="str">
            <v>Paramaz Avedisian Building</v>
          </cell>
        </row>
      </sheetData>
      <sheetData sheetId="5074">
        <row r="8">
          <cell r="D8" t="str">
            <v>Paramaz Avedisian Building</v>
          </cell>
        </row>
      </sheetData>
      <sheetData sheetId="5075">
        <row r="8">
          <cell r="D8" t="str">
            <v>Paramaz Avedisian Building</v>
          </cell>
        </row>
      </sheetData>
      <sheetData sheetId="5076">
        <row r="8">
          <cell r="D8" t="str">
            <v>Paramaz Avedisian Building</v>
          </cell>
        </row>
      </sheetData>
      <sheetData sheetId="5077">
        <row r="8">
          <cell r="D8" t="str">
            <v>Paramaz Avedisian Building</v>
          </cell>
        </row>
      </sheetData>
      <sheetData sheetId="5078">
        <row r="8">
          <cell r="D8" t="str">
            <v>Paramaz Avedisian Building</v>
          </cell>
        </row>
      </sheetData>
      <sheetData sheetId="5079">
        <row r="8">
          <cell r="D8" t="str">
            <v>Paramaz Avedisian Building</v>
          </cell>
        </row>
      </sheetData>
      <sheetData sheetId="5080">
        <row r="8">
          <cell r="D8" t="str">
            <v>Paramaz Avedisian Building</v>
          </cell>
        </row>
      </sheetData>
      <sheetData sheetId="5081">
        <row r="8">
          <cell r="D8" t="str">
            <v>Paramaz Avedisian Building</v>
          </cell>
        </row>
      </sheetData>
      <sheetData sheetId="5082">
        <row r="8">
          <cell r="D8" t="str">
            <v>Paramaz Avedisian Building</v>
          </cell>
        </row>
      </sheetData>
      <sheetData sheetId="5083">
        <row r="8">
          <cell r="D8" t="str">
            <v>Paramaz Avedisian Building</v>
          </cell>
        </row>
      </sheetData>
      <sheetData sheetId="5084">
        <row r="8">
          <cell r="D8" t="str">
            <v>Paramaz Avedisian Building</v>
          </cell>
        </row>
      </sheetData>
      <sheetData sheetId="5085">
        <row r="8">
          <cell r="D8" t="str">
            <v>Paramaz Avedisian Building</v>
          </cell>
        </row>
      </sheetData>
      <sheetData sheetId="5086">
        <row r="8">
          <cell r="D8" t="str">
            <v>Paramaz Avedisian Building</v>
          </cell>
        </row>
      </sheetData>
      <sheetData sheetId="5087">
        <row r="8">
          <cell r="D8" t="str">
            <v>Paramaz Avedisian Building</v>
          </cell>
        </row>
      </sheetData>
      <sheetData sheetId="5088">
        <row r="8">
          <cell r="D8" t="str">
            <v>Paramaz Avedisian Building</v>
          </cell>
        </row>
      </sheetData>
      <sheetData sheetId="5089">
        <row r="8">
          <cell r="D8" t="str">
            <v>Paramaz Avedisian Building</v>
          </cell>
        </row>
      </sheetData>
      <sheetData sheetId="5090">
        <row r="8">
          <cell r="D8" t="str">
            <v>Paramaz Avedisian Building</v>
          </cell>
        </row>
      </sheetData>
      <sheetData sheetId="5091">
        <row r="8">
          <cell r="D8" t="str">
            <v>Paramaz Avedisian Building</v>
          </cell>
        </row>
      </sheetData>
      <sheetData sheetId="5092">
        <row r="8">
          <cell r="D8" t="str">
            <v>Paramaz Avedisian Building</v>
          </cell>
        </row>
      </sheetData>
      <sheetData sheetId="5093">
        <row r="8">
          <cell r="D8" t="str">
            <v>Paramaz Avedisian Building</v>
          </cell>
        </row>
      </sheetData>
      <sheetData sheetId="5094">
        <row r="8">
          <cell r="D8" t="str">
            <v>Paramaz Avedisian Building</v>
          </cell>
        </row>
      </sheetData>
      <sheetData sheetId="5095">
        <row r="8">
          <cell r="D8" t="str">
            <v>Paramaz Avedisian Building</v>
          </cell>
        </row>
      </sheetData>
      <sheetData sheetId="5096">
        <row r="8">
          <cell r="D8" t="str">
            <v>Paramaz Avedisian Building</v>
          </cell>
        </row>
      </sheetData>
      <sheetData sheetId="5097">
        <row r="8">
          <cell r="D8" t="str">
            <v>Paramaz Avedisian Building</v>
          </cell>
        </row>
      </sheetData>
      <sheetData sheetId="5098">
        <row r="8">
          <cell r="D8" t="str">
            <v>Paramaz Avedisian Building</v>
          </cell>
        </row>
      </sheetData>
      <sheetData sheetId="5099">
        <row r="8">
          <cell r="D8" t="str">
            <v>Paramaz Avedisian Building</v>
          </cell>
        </row>
      </sheetData>
      <sheetData sheetId="5100">
        <row r="8">
          <cell r="D8" t="str">
            <v>Paramaz Avedisian Building</v>
          </cell>
        </row>
      </sheetData>
      <sheetData sheetId="5101">
        <row r="8">
          <cell r="D8" t="str">
            <v>Paramaz Avedisian Building</v>
          </cell>
        </row>
      </sheetData>
      <sheetData sheetId="5102">
        <row r="8">
          <cell r="D8" t="str">
            <v>Paramaz Avedisian Building</v>
          </cell>
        </row>
      </sheetData>
      <sheetData sheetId="5103">
        <row r="8">
          <cell r="D8" t="str">
            <v>Paramaz Avedisian Building</v>
          </cell>
        </row>
      </sheetData>
      <sheetData sheetId="5104">
        <row r="8">
          <cell r="D8" t="str">
            <v>Paramaz Avedisian Building</v>
          </cell>
        </row>
      </sheetData>
      <sheetData sheetId="5105">
        <row r="8">
          <cell r="D8" t="str">
            <v>Paramaz Avedisian Building</v>
          </cell>
        </row>
      </sheetData>
      <sheetData sheetId="5106">
        <row r="8">
          <cell r="D8" t="str">
            <v>Paramaz Avedisian Building</v>
          </cell>
        </row>
      </sheetData>
      <sheetData sheetId="5107">
        <row r="8">
          <cell r="D8" t="str">
            <v>Paramaz Avedisian Building</v>
          </cell>
        </row>
      </sheetData>
      <sheetData sheetId="5108">
        <row r="8">
          <cell r="D8" t="str">
            <v>Paramaz Avedisian Building</v>
          </cell>
        </row>
      </sheetData>
      <sheetData sheetId="5109">
        <row r="8">
          <cell r="D8" t="str">
            <v>Paramaz Avedisian Building</v>
          </cell>
        </row>
      </sheetData>
      <sheetData sheetId="5110">
        <row r="8">
          <cell r="D8" t="str">
            <v>Paramaz Avedisian Building</v>
          </cell>
        </row>
      </sheetData>
      <sheetData sheetId="5111">
        <row r="8">
          <cell r="D8" t="str">
            <v>Paramaz Avedisian Building</v>
          </cell>
        </row>
      </sheetData>
      <sheetData sheetId="5112">
        <row r="8">
          <cell r="D8" t="str">
            <v>Paramaz Avedisian Building</v>
          </cell>
        </row>
      </sheetData>
      <sheetData sheetId="5113">
        <row r="8">
          <cell r="D8" t="str">
            <v>Paramaz Avedisian Building</v>
          </cell>
        </row>
      </sheetData>
      <sheetData sheetId="5114">
        <row r="8">
          <cell r="D8" t="str">
            <v>Paramaz Avedisian Building</v>
          </cell>
        </row>
      </sheetData>
      <sheetData sheetId="5115">
        <row r="8">
          <cell r="D8" t="str">
            <v>Paramaz Avedisian Building</v>
          </cell>
        </row>
      </sheetData>
      <sheetData sheetId="5116">
        <row r="8">
          <cell r="D8" t="str">
            <v>Paramaz Avedisian Building</v>
          </cell>
        </row>
      </sheetData>
      <sheetData sheetId="5117">
        <row r="8">
          <cell r="D8" t="str">
            <v>Paramaz Avedisian Building</v>
          </cell>
        </row>
      </sheetData>
      <sheetData sheetId="5118">
        <row r="8">
          <cell r="D8" t="str">
            <v>Paramaz Avedisian Building</v>
          </cell>
        </row>
      </sheetData>
      <sheetData sheetId="5119">
        <row r="8">
          <cell r="D8" t="str">
            <v>Paramaz Avedisian Building</v>
          </cell>
        </row>
      </sheetData>
      <sheetData sheetId="5120">
        <row r="8">
          <cell r="D8" t="str">
            <v>Paramaz Avedisian Building</v>
          </cell>
        </row>
      </sheetData>
      <sheetData sheetId="5121">
        <row r="8">
          <cell r="D8" t="str">
            <v>Paramaz Avedisian Building</v>
          </cell>
        </row>
      </sheetData>
      <sheetData sheetId="5122">
        <row r="8">
          <cell r="D8" t="str">
            <v>Paramaz Avedisian Building</v>
          </cell>
        </row>
      </sheetData>
      <sheetData sheetId="5123">
        <row r="8">
          <cell r="D8" t="str">
            <v>Paramaz Avedisian Building</v>
          </cell>
        </row>
      </sheetData>
      <sheetData sheetId="5124">
        <row r="8">
          <cell r="D8" t="str">
            <v>Paramaz Avedisian Building</v>
          </cell>
        </row>
      </sheetData>
      <sheetData sheetId="5125">
        <row r="8">
          <cell r="D8" t="str">
            <v>Paramaz Avedisian Building</v>
          </cell>
        </row>
      </sheetData>
      <sheetData sheetId="5126">
        <row r="8">
          <cell r="D8" t="str">
            <v>Paramaz Avedisian Building</v>
          </cell>
        </row>
      </sheetData>
      <sheetData sheetId="5127">
        <row r="8">
          <cell r="D8" t="str">
            <v>Paramaz Avedisian Building</v>
          </cell>
        </row>
      </sheetData>
      <sheetData sheetId="5128">
        <row r="8">
          <cell r="D8" t="str">
            <v>Paramaz Avedisian Building</v>
          </cell>
        </row>
      </sheetData>
      <sheetData sheetId="5129">
        <row r="8">
          <cell r="D8" t="str">
            <v>Paramaz Avedisian Building</v>
          </cell>
        </row>
      </sheetData>
      <sheetData sheetId="5130">
        <row r="8">
          <cell r="D8" t="str">
            <v>Paramaz Avedisian Building</v>
          </cell>
        </row>
      </sheetData>
      <sheetData sheetId="5131">
        <row r="8">
          <cell r="D8" t="str">
            <v>Paramaz Avedisian Building</v>
          </cell>
        </row>
      </sheetData>
      <sheetData sheetId="5132">
        <row r="8">
          <cell r="D8" t="str">
            <v>Paramaz Avedisian Building</v>
          </cell>
        </row>
      </sheetData>
      <sheetData sheetId="5133">
        <row r="8">
          <cell r="D8" t="str">
            <v>Paramaz Avedisian Building</v>
          </cell>
        </row>
      </sheetData>
      <sheetData sheetId="5134">
        <row r="8">
          <cell r="D8" t="str">
            <v>Paramaz Avedisian Building</v>
          </cell>
        </row>
      </sheetData>
      <sheetData sheetId="5135">
        <row r="8">
          <cell r="D8" t="str">
            <v>Paramaz Avedisian Building</v>
          </cell>
        </row>
      </sheetData>
      <sheetData sheetId="5136">
        <row r="8">
          <cell r="D8" t="str">
            <v>Paramaz Avedisian Building</v>
          </cell>
        </row>
      </sheetData>
      <sheetData sheetId="5137">
        <row r="8">
          <cell r="D8" t="str">
            <v>Paramaz Avedisian Building</v>
          </cell>
        </row>
      </sheetData>
      <sheetData sheetId="5138">
        <row r="8">
          <cell r="D8" t="str">
            <v>Paramaz Avedisian Building</v>
          </cell>
        </row>
      </sheetData>
      <sheetData sheetId="5139">
        <row r="8">
          <cell r="D8" t="str">
            <v>Paramaz Avedisian Building</v>
          </cell>
        </row>
      </sheetData>
      <sheetData sheetId="5140">
        <row r="8">
          <cell r="D8" t="str">
            <v>Paramaz Avedisian Building</v>
          </cell>
        </row>
      </sheetData>
      <sheetData sheetId="5141">
        <row r="8">
          <cell r="D8" t="str">
            <v>Paramaz Avedisian Building</v>
          </cell>
        </row>
      </sheetData>
      <sheetData sheetId="5142">
        <row r="8">
          <cell r="D8" t="str">
            <v>Paramaz Avedisian Building</v>
          </cell>
        </row>
      </sheetData>
      <sheetData sheetId="5143">
        <row r="8">
          <cell r="D8" t="str">
            <v>Paramaz Avedisian Building</v>
          </cell>
        </row>
      </sheetData>
      <sheetData sheetId="5144">
        <row r="8">
          <cell r="D8" t="str">
            <v>Paramaz Avedisian Building</v>
          </cell>
        </row>
      </sheetData>
      <sheetData sheetId="5145">
        <row r="8">
          <cell r="D8" t="str">
            <v>Paramaz Avedisian Building</v>
          </cell>
        </row>
      </sheetData>
      <sheetData sheetId="5146">
        <row r="8">
          <cell r="D8" t="str">
            <v>Paramaz Avedisian Building</v>
          </cell>
        </row>
      </sheetData>
      <sheetData sheetId="5147">
        <row r="8">
          <cell r="D8" t="str">
            <v>Paramaz Avedisian Building</v>
          </cell>
        </row>
      </sheetData>
      <sheetData sheetId="5148">
        <row r="8">
          <cell r="D8" t="str">
            <v>Paramaz Avedisian Building</v>
          </cell>
        </row>
      </sheetData>
      <sheetData sheetId="5149">
        <row r="8">
          <cell r="D8" t="str">
            <v>Paramaz Avedisian Building</v>
          </cell>
        </row>
      </sheetData>
      <sheetData sheetId="5150">
        <row r="8">
          <cell r="D8" t="str">
            <v>Paramaz Avedisian Building</v>
          </cell>
        </row>
      </sheetData>
      <sheetData sheetId="5151">
        <row r="8">
          <cell r="D8" t="str">
            <v>Paramaz Avedisian Building</v>
          </cell>
        </row>
      </sheetData>
      <sheetData sheetId="5152">
        <row r="8">
          <cell r="D8" t="str">
            <v>Paramaz Avedisian Building</v>
          </cell>
        </row>
      </sheetData>
      <sheetData sheetId="5153">
        <row r="8">
          <cell r="D8" t="str">
            <v>Paramaz Avedisian Building</v>
          </cell>
        </row>
      </sheetData>
      <sheetData sheetId="5154">
        <row r="8">
          <cell r="D8" t="str">
            <v>Paramaz Avedisian Building</v>
          </cell>
        </row>
      </sheetData>
      <sheetData sheetId="5155">
        <row r="8">
          <cell r="D8" t="str">
            <v>Paramaz Avedisian Building</v>
          </cell>
        </row>
      </sheetData>
      <sheetData sheetId="5156">
        <row r="8">
          <cell r="D8" t="str">
            <v>Paramaz Avedisian Building</v>
          </cell>
        </row>
      </sheetData>
      <sheetData sheetId="5157">
        <row r="8">
          <cell r="D8" t="str">
            <v>Paramaz Avedisian Building</v>
          </cell>
        </row>
      </sheetData>
      <sheetData sheetId="5158">
        <row r="8">
          <cell r="D8" t="str">
            <v>Paramaz Avedisian Building</v>
          </cell>
        </row>
      </sheetData>
      <sheetData sheetId="5159">
        <row r="8">
          <cell r="D8" t="str">
            <v>Paramaz Avedisian Building</v>
          </cell>
        </row>
      </sheetData>
      <sheetData sheetId="5160">
        <row r="8">
          <cell r="D8" t="str">
            <v>Paramaz Avedisian Building</v>
          </cell>
        </row>
      </sheetData>
      <sheetData sheetId="5161">
        <row r="8">
          <cell r="D8" t="str">
            <v>Paramaz Avedisian Building</v>
          </cell>
        </row>
      </sheetData>
      <sheetData sheetId="5162">
        <row r="8">
          <cell r="D8" t="str">
            <v>Paramaz Avedisian Building</v>
          </cell>
        </row>
      </sheetData>
      <sheetData sheetId="5163">
        <row r="8">
          <cell r="D8" t="str">
            <v>Paramaz Avedisian Building</v>
          </cell>
        </row>
      </sheetData>
      <sheetData sheetId="5164">
        <row r="8">
          <cell r="D8" t="str">
            <v>Paramaz Avedisian Building</v>
          </cell>
        </row>
      </sheetData>
      <sheetData sheetId="5165">
        <row r="8">
          <cell r="D8" t="str">
            <v>Paramaz Avedisian Building</v>
          </cell>
        </row>
      </sheetData>
      <sheetData sheetId="5166">
        <row r="8">
          <cell r="D8" t="str">
            <v>Paramaz Avedisian Building</v>
          </cell>
        </row>
      </sheetData>
      <sheetData sheetId="5167">
        <row r="8">
          <cell r="D8" t="str">
            <v>Paramaz Avedisian Building</v>
          </cell>
        </row>
      </sheetData>
      <sheetData sheetId="5168">
        <row r="8">
          <cell r="D8" t="str">
            <v>Paramaz Avedisian Building</v>
          </cell>
        </row>
      </sheetData>
      <sheetData sheetId="5169">
        <row r="8">
          <cell r="D8" t="str">
            <v>Paramaz Avedisian Building</v>
          </cell>
        </row>
      </sheetData>
      <sheetData sheetId="5170">
        <row r="8">
          <cell r="D8" t="str">
            <v>Paramaz Avedisian Building</v>
          </cell>
        </row>
      </sheetData>
      <sheetData sheetId="5171">
        <row r="8">
          <cell r="D8" t="str">
            <v>Paramaz Avedisian Building</v>
          </cell>
        </row>
      </sheetData>
      <sheetData sheetId="5172">
        <row r="8">
          <cell r="D8" t="str">
            <v>Paramaz Avedisian Building</v>
          </cell>
        </row>
      </sheetData>
      <sheetData sheetId="5173">
        <row r="8">
          <cell r="D8" t="str">
            <v>Paramaz Avedisian Building</v>
          </cell>
        </row>
      </sheetData>
      <sheetData sheetId="5174">
        <row r="8">
          <cell r="D8" t="str">
            <v>Paramaz Avedisian Building</v>
          </cell>
        </row>
      </sheetData>
      <sheetData sheetId="5175">
        <row r="8">
          <cell r="D8" t="str">
            <v>Paramaz Avedisian Building</v>
          </cell>
        </row>
      </sheetData>
      <sheetData sheetId="5176">
        <row r="8">
          <cell r="D8" t="str">
            <v>Paramaz Avedisian Building</v>
          </cell>
        </row>
      </sheetData>
      <sheetData sheetId="5177">
        <row r="8">
          <cell r="D8" t="str">
            <v>Paramaz Avedisian Building</v>
          </cell>
        </row>
      </sheetData>
      <sheetData sheetId="5178">
        <row r="8">
          <cell r="D8" t="str">
            <v>Paramaz Avedisian Building</v>
          </cell>
        </row>
      </sheetData>
      <sheetData sheetId="5179">
        <row r="8">
          <cell r="D8" t="str">
            <v>Paramaz Avedisian Building</v>
          </cell>
        </row>
      </sheetData>
      <sheetData sheetId="5180">
        <row r="8">
          <cell r="D8" t="str">
            <v>Paramaz Avedisian Building</v>
          </cell>
        </row>
      </sheetData>
      <sheetData sheetId="5181">
        <row r="8">
          <cell r="D8" t="str">
            <v>Paramaz Avedisian Building</v>
          </cell>
        </row>
      </sheetData>
      <sheetData sheetId="5182">
        <row r="8">
          <cell r="D8" t="str">
            <v>Paramaz Avedisian Building</v>
          </cell>
        </row>
      </sheetData>
      <sheetData sheetId="5183">
        <row r="8">
          <cell r="D8" t="str">
            <v>Paramaz Avedisian Building</v>
          </cell>
        </row>
      </sheetData>
      <sheetData sheetId="5184">
        <row r="8">
          <cell r="D8" t="str">
            <v>Paramaz Avedisian Building</v>
          </cell>
        </row>
      </sheetData>
      <sheetData sheetId="5185">
        <row r="8">
          <cell r="D8" t="str">
            <v>Paramaz Avedisian Building</v>
          </cell>
        </row>
      </sheetData>
      <sheetData sheetId="5186">
        <row r="8">
          <cell r="D8" t="str">
            <v>Paramaz Avedisian Building</v>
          </cell>
        </row>
      </sheetData>
      <sheetData sheetId="5187">
        <row r="8">
          <cell r="D8" t="str">
            <v>Paramaz Avedisian Building</v>
          </cell>
        </row>
      </sheetData>
      <sheetData sheetId="5188">
        <row r="8">
          <cell r="D8" t="str">
            <v>Paramaz Avedisian Building</v>
          </cell>
        </row>
      </sheetData>
      <sheetData sheetId="5189">
        <row r="8">
          <cell r="D8" t="str">
            <v>Paramaz Avedisian Building</v>
          </cell>
        </row>
      </sheetData>
      <sheetData sheetId="5190">
        <row r="8">
          <cell r="D8" t="str">
            <v>Paramaz Avedisian Building</v>
          </cell>
        </row>
      </sheetData>
      <sheetData sheetId="5191">
        <row r="8">
          <cell r="D8" t="str">
            <v>Paramaz Avedisian Building</v>
          </cell>
        </row>
      </sheetData>
      <sheetData sheetId="5192">
        <row r="8">
          <cell r="D8" t="str">
            <v>Paramaz Avedisian Building</v>
          </cell>
        </row>
      </sheetData>
      <sheetData sheetId="5193">
        <row r="8">
          <cell r="D8" t="str">
            <v>Paramaz Avedisian Building</v>
          </cell>
        </row>
      </sheetData>
      <sheetData sheetId="5194">
        <row r="8">
          <cell r="D8" t="str">
            <v>Paramaz Avedisian Building</v>
          </cell>
        </row>
      </sheetData>
      <sheetData sheetId="5195">
        <row r="8">
          <cell r="D8" t="str">
            <v>Paramaz Avedisian Building</v>
          </cell>
        </row>
      </sheetData>
      <sheetData sheetId="5196">
        <row r="8">
          <cell r="D8" t="str">
            <v>Paramaz Avedisian Building</v>
          </cell>
        </row>
      </sheetData>
      <sheetData sheetId="5197">
        <row r="8">
          <cell r="D8" t="str">
            <v>Paramaz Avedisian Building</v>
          </cell>
        </row>
      </sheetData>
      <sheetData sheetId="5198">
        <row r="8">
          <cell r="D8" t="str">
            <v>Paramaz Avedisian Building</v>
          </cell>
        </row>
      </sheetData>
      <sheetData sheetId="5199">
        <row r="8">
          <cell r="D8" t="str">
            <v>Paramaz Avedisian Building</v>
          </cell>
        </row>
      </sheetData>
      <sheetData sheetId="5200">
        <row r="8">
          <cell r="D8" t="str">
            <v>Paramaz Avedisian Building</v>
          </cell>
        </row>
      </sheetData>
      <sheetData sheetId="5201">
        <row r="8">
          <cell r="D8" t="str">
            <v>Paramaz Avedisian Building</v>
          </cell>
        </row>
      </sheetData>
      <sheetData sheetId="5202">
        <row r="8">
          <cell r="D8" t="str">
            <v>Paramaz Avedisian Building</v>
          </cell>
        </row>
      </sheetData>
      <sheetData sheetId="5203">
        <row r="8">
          <cell r="D8" t="str">
            <v>Paramaz Avedisian Building</v>
          </cell>
        </row>
      </sheetData>
      <sheetData sheetId="5204">
        <row r="8">
          <cell r="D8" t="str">
            <v>Paramaz Avedisian Building</v>
          </cell>
        </row>
      </sheetData>
      <sheetData sheetId="5205">
        <row r="8">
          <cell r="D8" t="str">
            <v>Paramaz Avedisian Building</v>
          </cell>
        </row>
      </sheetData>
      <sheetData sheetId="5206">
        <row r="8">
          <cell r="D8" t="str">
            <v>Paramaz Avedisian Building</v>
          </cell>
        </row>
      </sheetData>
      <sheetData sheetId="5207">
        <row r="8">
          <cell r="D8" t="str">
            <v>Paramaz Avedisian Building</v>
          </cell>
        </row>
      </sheetData>
      <sheetData sheetId="5208">
        <row r="8">
          <cell r="D8" t="str">
            <v>Paramaz Avedisian Building</v>
          </cell>
        </row>
      </sheetData>
      <sheetData sheetId="5209">
        <row r="8">
          <cell r="D8" t="str">
            <v>Paramaz Avedisian Building</v>
          </cell>
        </row>
      </sheetData>
      <sheetData sheetId="5210">
        <row r="8">
          <cell r="D8" t="str">
            <v>Paramaz Avedisian Building</v>
          </cell>
        </row>
      </sheetData>
      <sheetData sheetId="5211">
        <row r="8">
          <cell r="D8" t="str">
            <v>Paramaz Avedisian Building</v>
          </cell>
        </row>
      </sheetData>
      <sheetData sheetId="5212">
        <row r="8">
          <cell r="D8" t="str">
            <v>Paramaz Avedisian Building</v>
          </cell>
        </row>
      </sheetData>
      <sheetData sheetId="5213">
        <row r="8">
          <cell r="D8" t="str">
            <v>Paramaz Avedisian Building</v>
          </cell>
        </row>
      </sheetData>
      <sheetData sheetId="5214"/>
      <sheetData sheetId="5215"/>
      <sheetData sheetId="5216"/>
      <sheetData sheetId="5217"/>
      <sheetData sheetId="5218">
        <row r="8">
          <cell r="D8" t="str">
            <v>Paramaz Avedisian Building</v>
          </cell>
        </row>
      </sheetData>
      <sheetData sheetId="5219"/>
      <sheetData sheetId="5220"/>
      <sheetData sheetId="5221"/>
      <sheetData sheetId="5222"/>
      <sheetData sheetId="5223"/>
      <sheetData sheetId="5224"/>
      <sheetData sheetId="5225">
        <row r="8">
          <cell r="D8" t="str">
            <v>Paramaz Avedisian Building</v>
          </cell>
        </row>
      </sheetData>
      <sheetData sheetId="5226"/>
      <sheetData sheetId="5227"/>
      <sheetData sheetId="5228">
        <row r="8">
          <cell r="D8" t="str">
            <v>Paramaz Avedisian Building</v>
          </cell>
        </row>
      </sheetData>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row r="8">
          <cell r="D8" t="str">
            <v>Paramaz Avedisian Building</v>
          </cell>
        </row>
      </sheetData>
      <sheetData sheetId="5242">
        <row r="8">
          <cell r="D8" t="str">
            <v>Paramaz Avedisian Building</v>
          </cell>
        </row>
      </sheetData>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row r="8">
          <cell r="D8" t="str">
            <v>Paramaz Avedisian Building</v>
          </cell>
        </row>
      </sheetData>
      <sheetData sheetId="5291">
        <row r="8">
          <cell r="D8" t="str">
            <v>Paramaz Avedisian Building</v>
          </cell>
        </row>
      </sheetData>
      <sheetData sheetId="5292">
        <row r="8">
          <cell r="D8" t="str">
            <v>Paramaz Avedisian Building</v>
          </cell>
        </row>
      </sheetData>
      <sheetData sheetId="5293">
        <row r="8">
          <cell r="D8" t="str">
            <v>Paramaz Avedisian Building</v>
          </cell>
        </row>
      </sheetData>
      <sheetData sheetId="5294">
        <row r="8">
          <cell r="D8" t="str">
            <v>Paramaz Avedisian Building</v>
          </cell>
        </row>
      </sheetData>
      <sheetData sheetId="5295">
        <row r="8">
          <cell r="D8" t="str">
            <v>Paramaz Avedisian Building</v>
          </cell>
        </row>
      </sheetData>
      <sheetData sheetId="5296">
        <row r="8">
          <cell r="D8" t="str">
            <v>Paramaz Avedisian Building</v>
          </cell>
        </row>
      </sheetData>
      <sheetData sheetId="5297">
        <row r="8">
          <cell r="D8" t="str">
            <v>Paramaz Avedisian Building</v>
          </cell>
        </row>
      </sheetData>
      <sheetData sheetId="5298">
        <row r="8">
          <cell r="D8" t="str">
            <v>Paramaz Avedisian Building</v>
          </cell>
        </row>
      </sheetData>
      <sheetData sheetId="5299">
        <row r="8">
          <cell r="D8" t="str">
            <v>Paramaz Avedisian Building</v>
          </cell>
        </row>
      </sheetData>
      <sheetData sheetId="5300">
        <row r="8">
          <cell r="D8" t="str">
            <v>Paramaz Avedisian Building</v>
          </cell>
        </row>
      </sheetData>
      <sheetData sheetId="5301">
        <row r="8">
          <cell r="D8" t="str">
            <v>Paramaz Avedisian Building</v>
          </cell>
        </row>
      </sheetData>
      <sheetData sheetId="5302">
        <row r="8">
          <cell r="D8" t="str">
            <v>Paramaz Avedisian Building</v>
          </cell>
        </row>
      </sheetData>
      <sheetData sheetId="5303">
        <row r="8">
          <cell r="D8" t="str">
            <v>Paramaz Avedisian Building</v>
          </cell>
        </row>
      </sheetData>
      <sheetData sheetId="5304">
        <row r="8">
          <cell r="D8" t="str">
            <v>Paramaz Avedisian Building</v>
          </cell>
        </row>
      </sheetData>
      <sheetData sheetId="5305">
        <row r="8">
          <cell r="D8" t="str">
            <v>Paramaz Avedisian Building</v>
          </cell>
        </row>
      </sheetData>
      <sheetData sheetId="5306">
        <row r="8">
          <cell r="D8" t="str">
            <v>Paramaz Avedisian Building</v>
          </cell>
        </row>
      </sheetData>
      <sheetData sheetId="5307">
        <row r="8">
          <cell r="D8" t="str">
            <v>Paramaz Avedisian Building</v>
          </cell>
        </row>
      </sheetData>
      <sheetData sheetId="5308">
        <row r="8">
          <cell r="D8" t="str">
            <v>Paramaz Avedisian Building</v>
          </cell>
        </row>
      </sheetData>
      <sheetData sheetId="5309">
        <row r="8">
          <cell r="D8" t="str">
            <v>Paramaz Avedisian Building</v>
          </cell>
        </row>
      </sheetData>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row r="8">
          <cell r="D8" t="str">
            <v>Paramaz Avedisian Building</v>
          </cell>
        </row>
      </sheetData>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row r="8">
          <cell r="D8" t="str">
            <v>Paramaz Avedisian Building</v>
          </cell>
        </row>
      </sheetData>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8">
          <cell r="D8" t="str">
            <v>Paramaz Avedisian Building</v>
          </cell>
        </row>
      </sheetData>
      <sheetData sheetId="6207"/>
      <sheetData sheetId="6208"/>
      <sheetData sheetId="6209"/>
      <sheetData sheetId="6210">
        <row r="8">
          <cell r="D8" t="str">
            <v>Paramaz Avedisian Building</v>
          </cell>
        </row>
      </sheetData>
      <sheetData sheetId="6211">
        <row r="8">
          <cell r="D8" t="str">
            <v>Paramaz Avedisian Building</v>
          </cell>
        </row>
      </sheetData>
      <sheetData sheetId="6212">
        <row r="8">
          <cell r="D8" t="str">
            <v>Paramaz Avedisian Building</v>
          </cell>
        </row>
      </sheetData>
      <sheetData sheetId="6213">
        <row r="8">
          <cell r="D8" t="str">
            <v>Paramaz Avedisian Building</v>
          </cell>
        </row>
      </sheetData>
      <sheetData sheetId="6214">
        <row r="8">
          <cell r="D8" t="str">
            <v>Paramaz Avedisian Building</v>
          </cell>
        </row>
      </sheetData>
      <sheetData sheetId="6215">
        <row r="8">
          <cell r="D8" t="str">
            <v>Paramaz Avedisian Building</v>
          </cell>
        </row>
      </sheetData>
      <sheetData sheetId="6216">
        <row r="8">
          <cell r="D8" t="str">
            <v>Paramaz Avedisian Building</v>
          </cell>
        </row>
      </sheetData>
      <sheetData sheetId="6217">
        <row r="8">
          <cell r="D8" t="str">
            <v>Paramaz Avedisian Building</v>
          </cell>
        </row>
      </sheetData>
      <sheetData sheetId="6218">
        <row r="8">
          <cell r="D8" t="str">
            <v>Paramaz Avedisian Building</v>
          </cell>
        </row>
      </sheetData>
      <sheetData sheetId="6219">
        <row r="8">
          <cell r="D8" t="str">
            <v>Paramaz Avedisian Building</v>
          </cell>
        </row>
      </sheetData>
      <sheetData sheetId="6220">
        <row r="8">
          <cell r="D8" t="str">
            <v>Paramaz Avedisian Building</v>
          </cell>
        </row>
      </sheetData>
      <sheetData sheetId="6221">
        <row r="8">
          <cell r="D8" t="str">
            <v>Paramaz Avedisian Building</v>
          </cell>
        </row>
      </sheetData>
      <sheetData sheetId="6222">
        <row r="8">
          <cell r="D8" t="str">
            <v>Paramaz Avedisian Building</v>
          </cell>
        </row>
      </sheetData>
      <sheetData sheetId="6223">
        <row r="8">
          <cell r="D8" t="str">
            <v>Paramaz Avedisian Building</v>
          </cell>
        </row>
      </sheetData>
      <sheetData sheetId="6224">
        <row r="8">
          <cell r="D8" t="str">
            <v>Paramaz Avedisian Building</v>
          </cell>
        </row>
      </sheetData>
      <sheetData sheetId="6225">
        <row r="8">
          <cell r="D8" t="str">
            <v>Paramaz Avedisian Building</v>
          </cell>
        </row>
      </sheetData>
      <sheetData sheetId="6226">
        <row r="8">
          <cell r="D8" t="str">
            <v>Paramaz Avedisian Building</v>
          </cell>
        </row>
      </sheetData>
      <sheetData sheetId="6227">
        <row r="8">
          <cell r="D8" t="str">
            <v>Paramaz Avedisian Building</v>
          </cell>
        </row>
      </sheetData>
      <sheetData sheetId="6228">
        <row r="8">
          <cell r="D8" t="str">
            <v>Paramaz Avedisian Building</v>
          </cell>
        </row>
      </sheetData>
      <sheetData sheetId="6229">
        <row r="8">
          <cell r="D8" t="str">
            <v>Paramaz Avedisian Building</v>
          </cell>
        </row>
      </sheetData>
      <sheetData sheetId="6230">
        <row r="8">
          <cell r="D8" t="str">
            <v>Paramaz Avedisian Building</v>
          </cell>
        </row>
      </sheetData>
      <sheetData sheetId="6231">
        <row r="8">
          <cell r="D8" t="str">
            <v>Paramaz Avedisian Building</v>
          </cell>
        </row>
      </sheetData>
      <sheetData sheetId="6232">
        <row r="8">
          <cell r="D8" t="str">
            <v>Paramaz Avedisian Building</v>
          </cell>
        </row>
      </sheetData>
      <sheetData sheetId="6233">
        <row r="8">
          <cell r="D8" t="str">
            <v>Paramaz Avedisian Building</v>
          </cell>
        </row>
      </sheetData>
      <sheetData sheetId="6234">
        <row r="8">
          <cell r="D8" t="str">
            <v>Paramaz Avedisian Building</v>
          </cell>
        </row>
      </sheetData>
      <sheetData sheetId="6235">
        <row r="8">
          <cell r="D8" t="str">
            <v>Paramaz Avedisian Building</v>
          </cell>
        </row>
      </sheetData>
      <sheetData sheetId="6236">
        <row r="8">
          <cell r="D8" t="str">
            <v>Paramaz Avedisian Building</v>
          </cell>
        </row>
      </sheetData>
      <sheetData sheetId="6237">
        <row r="8">
          <cell r="D8" t="str">
            <v>Paramaz Avedisian Building</v>
          </cell>
        </row>
      </sheetData>
      <sheetData sheetId="6238">
        <row r="8">
          <cell r="D8" t="str">
            <v>Paramaz Avedisian Building</v>
          </cell>
        </row>
      </sheetData>
      <sheetData sheetId="6239">
        <row r="8">
          <cell r="D8" t="str">
            <v>Paramaz Avedisian Building</v>
          </cell>
        </row>
      </sheetData>
      <sheetData sheetId="6240">
        <row r="8">
          <cell r="D8" t="str">
            <v>Paramaz Avedisian Building</v>
          </cell>
        </row>
      </sheetData>
      <sheetData sheetId="6241">
        <row r="8">
          <cell r="D8" t="str">
            <v>Paramaz Avedisian Building</v>
          </cell>
        </row>
      </sheetData>
      <sheetData sheetId="6242">
        <row r="8">
          <cell r="D8" t="str">
            <v>Paramaz Avedisian Building</v>
          </cell>
        </row>
      </sheetData>
      <sheetData sheetId="6243">
        <row r="8">
          <cell r="D8" t="str">
            <v>Paramaz Avedisian Building</v>
          </cell>
        </row>
      </sheetData>
      <sheetData sheetId="6244">
        <row r="8">
          <cell r="D8" t="str">
            <v>Paramaz Avedisian Building</v>
          </cell>
        </row>
      </sheetData>
      <sheetData sheetId="6245">
        <row r="8">
          <cell r="D8" t="str">
            <v>Paramaz Avedisian Building</v>
          </cell>
        </row>
      </sheetData>
      <sheetData sheetId="6246">
        <row r="8">
          <cell r="D8" t="str">
            <v>Paramaz Avedisian Building</v>
          </cell>
        </row>
      </sheetData>
      <sheetData sheetId="6247">
        <row r="8">
          <cell r="D8" t="str">
            <v>Paramaz Avedisian Building</v>
          </cell>
        </row>
      </sheetData>
      <sheetData sheetId="6248">
        <row r="8">
          <cell r="D8" t="str">
            <v>Paramaz Avedisian Building</v>
          </cell>
        </row>
      </sheetData>
      <sheetData sheetId="6249">
        <row r="8">
          <cell r="D8" t="str">
            <v>Paramaz Avedisian Building</v>
          </cell>
        </row>
      </sheetData>
      <sheetData sheetId="6250">
        <row r="8">
          <cell r="D8" t="str">
            <v>Paramaz Avedisian Building</v>
          </cell>
        </row>
      </sheetData>
      <sheetData sheetId="6251">
        <row r="8">
          <cell r="D8" t="str">
            <v>Paramaz Avedisian Building</v>
          </cell>
        </row>
      </sheetData>
      <sheetData sheetId="6252">
        <row r="8">
          <cell r="D8" t="str">
            <v>Paramaz Avedisian Building</v>
          </cell>
        </row>
      </sheetData>
      <sheetData sheetId="6253">
        <row r="8">
          <cell r="D8" t="str">
            <v>Paramaz Avedisian Building</v>
          </cell>
        </row>
      </sheetData>
      <sheetData sheetId="6254">
        <row r="8">
          <cell r="D8" t="str">
            <v>Paramaz Avedisian Building</v>
          </cell>
        </row>
      </sheetData>
      <sheetData sheetId="6255">
        <row r="8">
          <cell r="D8" t="str">
            <v>Paramaz Avedisian Building</v>
          </cell>
        </row>
      </sheetData>
      <sheetData sheetId="6256">
        <row r="8">
          <cell r="D8" t="str">
            <v>Paramaz Avedisian Building</v>
          </cell>
        </row>
      </sheetData>
      <sheetData sheetId="6257">
        <row r="8">
          <cell r="D8" t="str">
            <v>Paramaz Avedisian Building</v>
          </cell>
        </row>
      </sheetData>
      <sheetData sheetId="6258">
        <row r="8">
          <cell r="D8" t="str">
            <v>Paramaz Avedisian Building</v>
          </cell>
        </row>
      </sheetData>
      <sheetData sheetId="6259">
        <row r="8">
          <cell r="D8" t="str">
            <v>Paramaz Avedisian Building</v>
          </cell>
        </row>
      </sheetData>
      <sheetData sheetId="6260">
        <row r="8">
          <cell r="D8" t="str">
            <v>Paramaz Avedisian Building</v>
          </cell>
        </row>
      </sheetData>
      <sheetData sheetId="6261">
        <row r="8">
          <cell r="D8" t="str">
            <v>Paramaz Avedisian Building</v>
          </cell>
        </row>
      </sheetData>
      <sheetData sheetId="6262">
        <row r="8">
          <cell r="D8" t="str">
            <v>Paramaz Avedisian Building</v>
          </cell>
        </row>
      </sheetData>
      <sheetData sheetId="6263">
        <row r="8">
          <cell r="D8" t="str">
            <v>Paramaz Avedisian Building</v>
          </cell>
        </row>
      </sheetData>
      <sheetData sheetId="6264">
        <row r="8">
          <cell r="D8" t="str">
            <v>Paramaz Avedisian Building</v>
          </cell>
        </row>
      </sheetData>
      <sheetData sheetId="6265">
        <row r="8">
          <cell r="D8" t="str">
            <v>Paramaz Avedisian Building</v>
          </cell>
        </row>
      </sheetData>
      <sheetData sheetId="6266">
        <row r="8">
          <cell r="D8" t="str">
            <v>Paramaz Avedisian Building</v>
          </cell>
        </row>
      </sheetData>
      <sheetData sheetId="6267">
        <row r="8">
          <cell r="D8" t="str">
            <v>Paramaz Avedisian Building</v>
          </cell>
        </row>
      </sheetData>
      <sheetData sheetId="6268">
        <row r="8">
          <cell r="D8" t="str">
            <v>Paramaz Avedisian Building</v>
          </cell>
        </row>
      </sheetData>
      <sheetData sheetId="6269">
        <row r="8">
          <cell r="D8" t="str">
            <v>Paramaz Avedisian Building</v>
          </cell>
        </row>
      </sheetData>
      <sheetData sheetId="6270">
        <row r="8">
          <cell r="D8" t="str">
            <v>Paramaz Avedisian Building</v>
          </cell>
        </row>
      </sheetData>
      <sheetData sheetId="6271">
        <row r="8">
          <cell r="D8" t="str">
            <v>Paramaz Avedisian Building</v>
          </cell>
        </row>
      </sheetData>
      <sheetData sheetId="6272">
        <row r="8">
          <cell r="D8" t="str">
            <v>Paramaz Avedisian Building</v>
          </cell>
        </row>
      </sheetData>
      <sheetData sheetId="6273">
        <row r="8">
          <cell r="D8" t="str">
            <v>Paramaz Avedisian Building</v>
          </cell>
        </row>
      </sheetData>
      <sheetData sheetId="6274">
        <row r="8">
          <cell r="D8" t="str">
            <v>Paramaz Avedisian Building</v>
          </cell>
        </row>
      </sheetData>
      <sheetData sheetId="6275">
        <row r="8">
          <cell r="D8" t="str">
            <v>Paramaz Avedisian Building</v>
          </cell>
        </row>
      </sheetData>
      <sheetData sheetId="6276">
        <row r="8">
          <cell r="D8" t="str">
            <v>Paramaz Avedisian Building</v>
          </cell>
        </row>
      </sheetData>
      <sheetData sheetId="6277">
        <row r="8">
          <cell r="D8" t="str">
            <v>Paramaz Avedisian Building</v>
          </cell>
        </row>
      </sheetData>
      <sheetData sheetId="6278">
        <row r="8">
          <cell r="D8" t="str">
            <v>Paramaz Avedisian Building</v>
          </cell>
        </row>
      </sheetData>
      <sheetData sheetId="6279">
        <row r="8">
          <cell r="D8" t="str">
            <v>Paramaz Avedisian Building</v>
          </cell>
        </row>
      </sheetData>
      <sheetData sheetId="6280">
        <row r="8">
          <cell r="D8" t="str">
            <v>Paramaz Avedisian Building</v>
          </cell>
        </row>
      </sheetData>
      <sheetData sheetId="6281">
        <row r="8">
          <cell r="D8" t="str">
            <v>Paramaz Avedisian Building</v>
          </cell>
        </row>
      </sheetData>
      <sheetData sheetId="6282">
        <row r="8">
          <cell r="D8" t="str">
            <v>Paramaz Avedisian Building</v>
          </cell>
        </row>
      </sheetData>
      <sheetData sheetId="6283">
        <row r="8">
          <cell r="D8" t="str">
            <v>Paramaz Avedisian Building</v>
          </cell>
        </row>
      </sheetData>
      <sheetData sheetId="6284">
        <row r="8">
          <cell r="D8" t="str">
            <v>Paramaz Avedisian Building</v>
          </cell>
        </row>
      </sheetData>
      <sheetData sheetId="6285">
        <row r="8">
          <cell r="D8" t="str">
            <v>Paramaz Avedisian Building</v>
          </cell>
        </row>
      </sheetData>
      <sheetData sheetId="6286">
        <row r="8">
          <cell r="D8" t="str">
            <v>Paramaz Avedisian Building</v>
          </cell>
        </row>
      </sheetData>
      <sheetData sheetId="6287">
        <row r="8">
          <cell r="D8" t="str">
            <v>Paramaz Avedisian Building</v>
          </cell>
        </row>
      </sheetData>
      <sheetData sheetId="6288">
        <row r="8">
          <cell r="D8" t="str">
            <v>Paramaz Avedisian Building</v>
          </cell>
        </row>
      </sheetData>
      <sheetData sheetId="6289">
        <row r="8">
          <cell r="D8" t="str">
            <v>Paramaz Avedisian Building</v>
          </cell>
        </row>
      </sheetData>
      <sheetData sheetId="6290">
        <row r="8">
          <cell r="D8" t="str">
            <v>Paramaz Avedisian Building</v>
          </cell>
        </row>
      </sheetData>
      <sheetData sheetId="6291">
        <row r="8">
          <cell r="D8" t="str">
            <v>Paramaz Avedisian Building</v>
          </cell>
        </row>
      </sheetData>
      <sheetData sheetId="6292">
        <row r="8">
          <cell r="D8" t="str">
            <v>Paramaz Avedisian Building</v>
          </cell>
        </row>
      </sheetData>
      <sheetData sheetId="6293">
        <row r="8">
          <cell r="D8" t="str">
            <v>Paramaz Avedisian Building</v>
          </cell>
        </row>
      </sheetData>
      <sheetData sheetId="6294">
        <row r="8">
          <cell r="D8" t="str">
            <v>Paramaz Avedisian Building</v>
          </cell>
        </row>
      </sheetData>
      <sheetData sheetId="6295">
        <row r="8">
          <cell r="D8" t="str">
            <v>Paramaz Avedisian Building</v>
          </cell>
        </row>
      </sheetData>
      <sheetData sheetId="6296">
        <row r="8">
          <cell r="D8" t="str">
            <v>Paramaz Avedisian Building</v>
          </cell>
        </row>
      </sheetData>
      <sheetData sheetId="6297">
        <row r="8">
          <cell r="D8" t="str">
            <v>Paramaz Avedisian Building</v>
          </cell>
        </row>
      </sheetData>
      <sheetData sheetId="6298">
        <row r="8">
          <cell r="D8" t="str">
            <v>Paramaz Avedisian Building</v>
          </cell>
        </row>
      </sheetData>
      <sheetData sheetId="6299">
        <row r="8">
          <cell r="D8" t="str">
            <v>Paramaz Avedisian Building</v>
          </cell>
        </row>
      </sheetData>
      <sheetData sheetId="6300">
        <row r="8">
          <cell r="D8" t="str">
            <v>Paramaz Avedisian Building</v>
          </cell>
        </row>
      </sheetData>
      <sheetData sheetId="6301">
        <row r="8">
          <cell r="D8" t="str">
            <v>Paramaz Avedisian Building</v>
          </cell>
        </row>
      </sheetData>
      <sheetData sheetId="6302">
        <row r="8">
          <cell r="D8" t="str">
            <v>Paramaz Avedisian Building</v>
          </cell>
        </row>
      </sheetData>
      <sheetData sheetId="6303">
        <row r="8">
          <cell r="D8" t="str">
            <v>Paramaz Avedisian Building</v>
          </cell>
        </row>
      </sheetData>
      <sheetData sheetId="6304">
        <row r="8">
          <cell r="D8" t="str">
            <v>Paramaz Avedisian Building</v>
          </cell>
        </row>
      </sheetData>
      <sheetData sheetId="6305">
        <row r="8">
          <cell r="D8" t="str">
            <v>Paramaz Avedisian Building</v>
          </cell>
        </row>
      </sheetData>
      <sheetData sheetId="6306">
        <row r="8">
          <cell r="D8" t="str">
            <v>Paramaz Avedisian Building</v>
          </cell>
        </row>
      </sheetData>
      <sheetData sheetId="6307">
        <row r="8">
          <cell r="D8" t="str">
            <v>Paramaz Avedisian Building</v>
          </cell>
        </row>
      </sheetData>
      <sheetData sheetId="6308">
        <row r="8">
          <cell r="D8" t="str">
            <v>Paramaz Avedisian Building</v>
          </cell>
        </row>
      </sheetData>
      <sheetData sheetId="6309">
        <row r="8">
          <cell r="D8" t="str">
            <v>Paramaz Avedisian Building</v>
          </cell>
        </row>
      </sheetData>
      <sheetData sheetId="6310">
        <row r="8">
          <cell r="D8" t="str">
            <v>Paramaz Avedisian Building</v>
          </cell>
        </row>
      </sheetData>
      <sheetData sheetId="6311">
        <row r="8">
          <cell r="D8" t="str">
            <v>Paramaz Avedisian Building</v>
          </cell>
        </row>
      </sheetData>
      <sheetData sheetId="6312">
        <row r="8">
          <cell r="D8" t="str">
            <v>Paramaz Avedisian Building</v>
          </cell>
        </row>
      </sheetData>
      <sheetData sheetId="6313">
        <row r="8">
          <cell r="D8" t="str">
            <v>Paramaz Avedisian Building</v>
          </cell>
        </row>
      </sheetData>
      <sheetData sheetId="6314">
        <row r="8">
          <cell r="D8" t="str">
            <v>Paramaz Avedisian Building</v>
          </cell>
        </row>
      </sheetData>
      <sheetData sheetId="6315">
        <row r="8">
          <cell r="D8" t="str">
            <v>Paramaz Avedisian Building</v>
          </cell>
        </row>
      </sheetData>
      <sheetData sheetId="6316">
        <row r="8">
          <cell r="D8" t="str">
            <v>Paramaz Avedisian Building</v>
          </cell>
        </row>
      </sheetData>
      <sheetData sheetId="6317">
        <row r="8">
          <cell r="D8" t="str">
            <v>Paramaz Avedisian Building</v>
          </cell>
        </row>
      </sheetData>
      <sheetData sheetId="6318">
        <row r="8">
          <cell r="D8" t="str">
            <v>Paramaz Avedisian Building</v>
          </cell>
        </row>
      </sheetData>
      <sheetData sheetId="6319">
        <row r="8">
          <cell r="D8" t="str">
            <v>Paramaz Avedisian Building</v>
          </cell>
        </row>
      </sheetData>
      <sheetData sheetId="6320">
        <row r="8">
          <cell r="D8" t="str">
            <v>Paramaz Avedisian Building</v>
          </cell>
        </row>
      </sheetData>
      <sheetData sheetId="6321">
        <row r="8">
          <cell r="D8" t="str">
            <v>Paramaz Avedisian Building</v>
          </cell>
        </row>
      </sheetData>
      <sheetData sheetId="6322">
        <row r="8">
          <cell r="D8" t="str">
            <v>Paramaz Avedisian Building</v>
          </cell>
        </row>
      </sheetData>
      <sheetData sheetId="6323">
        <row r="8">
          <cell r="D8" t="str">
            <v>Paramaz Avedisian Building</v>
          </cell>
        </row>
      </sheetData>
      <sheetData sheetId="6324">
        <row r="8">
          <cell r="D8" t="str">
            <v>Paramaz Avedisian Building</v>
          </cell>
        </row>
      </sheetData>
      <sheetData sheetId="6325">
        <row r="8">
          <cell r="D8" t="str">
            <v>Paramaz Avedisian Building</v>
          </cell>
        </row>
      </sheetData>
      <sheetData sheetId="6326">
        <row r="8">
          <cell r="D8" t="str">
            <v>Paramaz Avedisian Building</v>
          </cell>
        </row>
      </sheetData>
      <sheetData sheetId="6327">
        <row r="8">
          <cell r="D8" t="str">
            <v>Paramaz Avedisian Building</v>
          </cell>
        </row>
      </sheetData>
      <sheetData sheetId="6328">
        <row r="8">
          <cell r="D8" t="str">
            <v>Paramaz Avedisian Building</v>
          </cell>
        </row>
      </sheetData>
      <sheetData sheetId="6329">
        <row r="8">
          <cell r="D8" t="str">
            <v>Paramaz Avedisian Building</v>
          </cell>
        </row>
      </sheetData>
      <sheetData sheetId="6330">
        <row r="8">
          <cell r="D8" t="str">
            <v>Paramaz Avedisian Building</v>
          </cell>
        </row>
      </sheetData>
      <sheetData sheetId="6331">
        <row r="8">
          <cell r="D8" t="str">
            <v>Paramaz Avedisian Building</v>
          </cell>
        </row>
      </sheetData>
      <sheetData sheetId="6332">
        <row r="8">
          <cell r="D8" t="str">
            <v>Paramaz Avedisian Building</v>
          </cell>
        </row>
      </sheetData>
      <sheetData sheetId="6333">
        <row r="8">
          <cell r="D8" t="str">
            <v>Paramaz Avedisian Building</v>
          </cell>
        </row>
      </sheetData>
      <sheetData sheetId="6334">
        <row r="8">
          <cell r="D8" t="str">
            <v>Paramaz Avedisian Building</v>
          </cell>
        </row>
      </sheetData>
      <sheetData sheetId="6335">
        <row r="8">
          <cell r="D8" t="str">
            <v>Paramaz Avedisian Building</v>
          </cell>
        </row>
      </sheetData>
      <sheetData sheetId="6336">
        <row r="8">
          <cell r="D8" t="str">
            <v>Paramaz Avedisian Building</v>
          </cell>
        </row>
      </sheetData>
      <sheetData sheetId="6337">
        <row r="8">
          <cell r="D8" t="str">
            <v>Paramaz Avedisian Building</v>
          </cell>
        </row>
      </sheetData>
      <sheetData sheetId="6338">
        <row r="8">
          <cell r="D8" t="str">
            <v>Paramaz Avedisian Building</v>
          </cell>
        </row>
      </sheetData>
      <sheetData sheetId="6339">
        <row r="8">
          <cell r="D8" t="str">
            <v>Paramaz Avedisian Building</v>
          </cell>
        </row>
      </sheetData>
      <sheetData sheetId="6340">
        <row r="8">
          <cell r="D8" t="str">
            <v>Paramaz Avedisian Building</v>
          </cell>
        </row>
      </sheetData>
      <sheetData sheetId="6341">
        <row r="8">
          <cell r="D8" t="str">
            <v>Paramaz Avedisian Building</v>
          </cell>
        </row>
      </sheetData>
      <sheetData sheetId="6342">
        <row r="8">
          <cell r="D8" t="str">
            <v>Paramaz Avedisian Building</v>
          </cell>
        </row>
      </sheetData>
      <sheetData sheetId="6343">
        <row r="8">
          <cell r="D8" t="str">
            <v>Paramaz Avedisian Building</v>
          </cell>
        </row>
      </sheetData>
      <sheetData sheetId="6344">
        <row r="8">
          <cell r="D8" t="str">
            <v>Paramaz Avedisian Building</v>
          </cell>
        </row>
      </sheetData>
      <sheetData sheetId="6345">
        <row r="8">
          <cell r="D8" t="str">
            <v>Paramaz Avedisian Building</v>
          </cell>
        </row>
      </sheetData>
      <sheetData sheetId="6346">
        <row r="8">
          <cell r="D8" t="str">
            <v>Paramaz Avedisian Building</v>
          </cell>
        </row>
      </sheetData>
      <sheetData sheetId="6347">
        <row r="8">
          <cell r="D8" t="str">
            <v>Paramaz Avedisian Building</v>
          </cell>
        </row>
      </sheetData>
      <sheetData sheetId="6348">
        <row r="8">
          <cell r="D8" t="str">
            <v>Paramaz Avedisian Building</v>
          </cell>
        </row>
      </sheetData>
      <sheetData sheetId="6349">
        <row r="8">
          <cell r="D8" t="str">
            <v>Paramaz Avedisian Building</v>
          </cell>
        </row>
      </sheetData>
      <sheetData sheetId="6350">
        <row r="8">
          <cell r="D8" t="str">
            <v>Paramaz Avedisian Building</v>
          </cell>
        </row>
      </sheetData>
      <sheetData sheetId="6351">
        <row r="8">
          <cell r="D8" t="str">
            <v>Paramaz Avedisian Building</v>
          </cell>
        </row>
      </sheetData>
      <sheetData sheetId="6352">
        <row r="8">
          <cell r="D8" t="str">
            <v>Paramaz Avedisian Building</v>
          </cell>
        </row>
      </sheetData>
      <sheetData sheetId="6353">
        <row r="8">
          <cell r="D8" t="str">
            <v>Paramaz Avedisian Building</v>
          </cell>
        </row>
      </sheetData>
      <sheetData sheetId="6354">
        <row r="8">
          <cell r="D8" t="str">
            <v>Paramaz Avedisian Building</v>
          </cell>
        </row>
      </sheetData>
      <sheetData sheetId="6355">
        <row r="8">
          <cell r="D8" t="str">
            <v>Paramaz Avedisian Building</v>
          </cell>
        </row>
      </sheetData>
      <sheetData sheetId="6356">
        <row r="8">
          <cell r="D8" t="str">
            <v>Paramaz Avedisian Building</v>
          </cell>
        </row>
      </sheetData>
      <sheetData sheetId="6357">
        <row r="8">
          <cell r="D8" t="str">
            <v>Paramaz Avedisian Building</v>
          </cell>
        </row>
      </sheetData>
      <sheetData sheetId="6358">
        <row r="8">
          <cell r="D8" t="str">
            <v>Paramaz Avedisian Building</v>
          </cell>
        </row>
      </sheetData>
      <sheetData sheetId="6359">
        <row r="8">
          <cell r="D8" t="str">
            <v>Paramaz Avedisian Building</v>
          </cell>
        </row>
      </sheetData>
      <sheetData sheetId="6360">
        <row r="8">
          <cell r="D8" t="str">
            <v>Paramaz Avedisian Building</v>
          </cell>
        </row>
      </sheetData>
      <sheetData sheetId="6361">
        <row r="8">
          <cell r="D8" t="str">
            <v>Paramaz Avedisian Building</v>
          </cell>
        </row>
      </sheetData>
      <sheetData sheetId="6362">
        <row r="8">
          <cell r="D8" t="str">
            <v>Paramaz Avedisian Building</v>
          </cell>
        </row>
      </sheetData>
      <sheetData sheetId="6363">
        <row r="8">
          <cell r="D8" t="str">
            <v>Paramaz Avedisian Building</v>
          </cell>
        </row>
      </sheetData>
      <sheetData sheetId="6364">
        <row r="8">
          <cell r="D8" t="str">
            <v>Paramaz Avedisian Building</v>
          </cell>
        </row>
      </sheetData>
      <sheetData sheetId="6365">
        <row r="8">
          <cell r="D8" t="str">
            <v>Paramaz Avedisian Building</v>
          </cell>
        </row>
      </sheetData>
      <sheetData sheetId="6366">
        <row r="8">
          <cell r="D8" t="str">
            <v>Paramaz Avedisian Building</v>
          </cell>
        </row>
      </sheetData>
      <sheetData sheetId="6367">
        <row r="8">
          <cell r="D8" t="str">
            <v>Paramaz Avedisian Building</v>
          </cell>
        </row>
      </sheetData>
      <sheetData sheetId="6368">
        <row r="8">
          <cell r="D8" t="str">
            <v>Paramaz Avedisian Building</v>
          </cell>
        </row>
      </sheetData>
      <sheetData sheetId="6369">
        <row r="8">
          <cell r="D8" t="str">
            <v>Paramaz Avedisian Building</v>
          </cell>
        </row>
      </sheetData>
      <sheetData sheetId="6370">
        <row r="8">
          <cell r="D8" t="str">
            <v>Paramaz Avedisian Building</v>
          </cell>
        </row>
      </sheetData>
      <sheetData sheetId="6371">
        <row r="8">
          <cell r="D8" t="str">
            <v>Paramaz Avedisian Building</v>
          </cell>
        </row>
      </sheetData>
      <sheetData sheetId="6372">
        <row r="8">
          <cell r="D8" t="str">
            <v>Paramaz Avedisian Building</v>
          </cell>
        </row>
      </sheetData>
      <sheetData sheetId="6373">
        <row r="8">
          <cell r="D8" t="str">
            <v>Paramaz Avedisian Building</v>
          </cell>
        </row>
      </sheetData>
      <sheetData sheetId="6374">
        <row r="8">
          <cell r="D8" t="str">
            <v>Paramaz Avedisian Building</v>
          </cell>
        </row>
      </sheetData>
      <sheetData sheetId="6375">
        <row r="8">
          <cell r="D8" t="str">
            <v>Paramaz Avedisian Building</v>
          </cell>
        </row>
      </sheetData>
      <sheetData sheetId="6376">
        <row r="8">
          <cell r="D8" t="str">
            <v>Paramaz Avedisian Building</v>
          </cell>
        </row>
      </sheetData>
      <sheetData sheetId="6377">
        <row r="8">
          <cell r="D8" t="str">
            <v>Paramaz Avedisian Building</v>
          </cell>
        </row>
      </sheetData>
      <sheetData sheetId="6378">
        <row r="8">
          <cell r="D8" t="str">
            <v>Paramaz Avedisian Building</v>
          </cell>
        </row>
      </sheetData>
      <sheetData sheetId="6379">
        <row r="8">
          <cell r="D8" t="str">
            <v>Paramaz Avedisian Building</v>
          </cell>
        </row>
      </sheetData>
      <sheetData sheetId="6380">
        <row r="8">
          <cell r="D8" t="str">
            <v>Paramaz Avedisian Building</v>
          </cell>
        </row>
      </sheetData>
      <sheetData sheetId="6381">
        <row r="8">
          <cell r="D8" t="str">
            <v>Paramaz Avedisian Building</v>
          </cell>
        </row>
      </sheetData>
      <sheetData sheetId="6382">
        <row r="8">
          <cell r="D8" t="str">
            <v>Paramaz Avedisian Building</v>
          </cell>
        </row>
      </sheetData>
      <sheetData sheetId="6383">
        <row r="8">
          <cell r="D8" t="str">
            <v>Paramaz Avedisian Building</v>
          </cell>
        </row>
      </sheetData>
      <sheetData sheetId="6384">
        <row r="8">
          <cell r="D8" t="str">
            <v>Paramaz Avedisian Building</v>
          </cell>
        </row>
      </sheetData>
      <sheetData sheetId="6385">
        <row r="8">
          <cell r="D8" t="str">
            <v>Paramaz Avedisian Building</v>
          </cell>
        </row>
      </sheetData>
      <sheetData sheetId="6386">
        <row r="8">
          <cell r="D8" t="str">
            <v>Paramaz Avedisian Building</v>
          </cell>
        </row>
      </sheetData>
      <sheetData sheetId="6387">
        <row r="8">
          <cell r="D8" t="str">
            <v>Paramaz Avedisian Building</v>
          </cell>
        </row>
      </sheetData>
      <sheetData sheetId="6388">
        <row r="8">
          <cell r="D8" t="str">
            <v>Paramaz Avedisian Building</v>
          </cell>
        </row>
      </sheetData>
      <sheetData sheetId="6389">
        <row r="8">
          <cell r="D8" t="str">
            <v>Paramaz Avedisian Building</v>
          </cell>
        </row>
      </sheetData>
      <sheetData sheetId="6390">
        <row r="8">
          <cell r="D8" t="str">
            <v>Paramaz Avedisian Building</v>
          </cell>
        </row>
      </sheetData>
      <sheetData sheetId="6391">
        <row r="8">
          <cell r="D8" t="str">
            <v>Paramaz Avedisian Building</v>
          </cell>
        </row>
      </sheetData>
      <sheetData sheetId="6392">
        <row r="8">
          <cell r="D8" t="str">
            <v>Paramaz Avedisian Building</v>
          </cell>
        </row>
      </sheetData>
      <sheetData sheetId="6393">
        <row r="8">
          <cell r="D8" t="str">
            <v>Paramaz Avedisian Building</v>
          </cell>
        </row>
      </sheetData>
      <sheetData sheetId="6394">
        <row r="8">
          <cell r="D8" t="str">
            <v>Paramaz Avedisian Building</v>
          </cell>
        </row>
      </sheetData>
      <sheetData sheetId="6395">
        <row r="8">
          <cell r="D8" t="str">
            <v>Paramaz Avedisian Building</v>
          </cell>
        </row>
      </sheetData>
      <sheetData sheetId="6396">
        <row r="8">
          <cell r="D8" t="str">
            <v>Paramaz Avedisian Building</v>
          </cell>
        </row>
      </sheetData>
      <sheetData sheetId="6397">
        <row r="8">
          <cell r="D8" t="str">
            <v>Paramaz Avedisian Building</v>
          </cell>
        </row>
      </sheetData>
      <sheetData sheetId="6398">
        <row r="8">
          <cell r="D8" t="str">
            <v>Paramaz Avedisian Building</v>
          </cell>
        </row>
      </sheetData>
      <sheetData sheetId="6399">
        <row r="8">
          <cell r="D8" t="str">
            <v>Paramaz Avedisian Building</v>
          </cell>
        </row>
      </sheetData>
      <sheetData sheetId="6400">
        <row r="8">
          <cell r="D8" t="str">
            <v>Paramaz Avedisian Building</v>
          </cell>
        </row>
      </sheetData>
      <sheetData sheetId="6401">
        <row r="8">
          <cell r="D8" t="str">
            <v>Paramaz Avedisian Building</v>
          </cell>
        </row>
      </sheetData>
      <sheetData sheetId="6402">
        <row r="8">
          <cell r="D8" t="str">
            <v>Paramaz Avedisian Building</v>
          </cell>
        </row>
      </sheetData>
      <sheetData sheetId="6403">
        <row r="8">
          <cell r="D8" t="str">
            <v>Paramaz Avedisian Building</v>
          </cell>
        </row>
      </sheetData>
      <sheetData sheetId="6404">
        <row r="8">
          <cell r="D8" t="str">
            <v>Paramaz Avedisian Building</v>
          </cell>
        </row>
      </sheetData>
      <sheetData sheetId="6405">
        <row r="8">
          <cell r="D8" t="str">
            <v>Paramaz Avedisian Building</v>
          </cell>
        </row>
      </sheetData>
      <sheetData sheetId="6406">
        <row r="8">
          <cell r="D8" t="str">
            <v>Paramaz Avedisian Building</v>
          </cell>
        </row>
      </sheetData>
      <sheetData sheetId="6407">
        <row r="8">
          <cell r="D8" t="str">
            <v>Paramaz Avedisian Building</v>
          </cell>
        </row>
      </sheetData>
      <sheetData sheetId="6408">
        <row r="8">
          <cell r="D8" t="str">
            <v>Paramaz Avedisian Building</v>
          </cell>
        </row>
      </sheetData>
      <sheetData sheetId="6409">
        <row r="8">
          <cell r="D8" t="str">
            <v>Paramaz Avedisian Building</v>
          </cell>
        </row>
      </sheetData>
      <sheetData sheetId="6410">
        <row r="8">
          <cell r="D8" t="str">
            <v>Paramaz Avedisian Building</v>
          </cell>
        </row>
      </sheetData>
      <sheetData sheetId="6411">
        <row r="8">
          <cell r="D8" t="str">
            <v>Paramaz Avedisian Building</v>
          </cell>
        </row>
      </sheetData>
      <sheetData sheetId="6412">
        <row r="8">
          <cell r="D8" t="str">
            <v>Paramaz Avedisian Building</v>
          </cell>
        </row>
      </sheetData>
      <sheetData sheetId="6413">
        <row r="8">
          <cell r="D8" t="str">
            <v>Paramaz Avedisian Building</v>
          </cell>
        </row>
      </sheetData>
      <sheetData sheetId="6414">
        <row r="8">
          <cell r="D8" t="str">
            <v>Paramaz Avedisian Building</v>
          </cell>
        </row>
      </sheetData>
      <sheetData sheetId="6415">
        <row r="8">
          <cell r="D8" t="str">
            <v>Paramaz Avedisian Building</v>
          </cell>
        </row>
      </sheetData>
      <sheetData sheetId="6416">
        <row r="8">
          <cell r="D8" t="str">
            <v>Paramaz Avedisian Building</v>
          </cell>
        </row>
      </sheetData>
      <sheetData sheetId="6417">
        <row r="8">
          <cell r="D8" t="str">
            <v>Paramaz Avedisian Building</v>
          </cell>
        </row>
      </sheetData>
      <sheetData sheetId="6418">
        <row r="8">
          <cell r="D8" t="str">
            <v>Paramaz Avedisian Building</v>
          </cell>
        </row>
      </sheetData>
      <sheetData sheetId="6419">
        <row r="8">
          <cell r="D8" t="str">
            <v>Paramaz Avedisian Building</v>
          </cell>
        </row>
      </sheetData>
      <sheetData sheetId="6420">
        <row r="8">
          <cell r="D8" t="str">
            <v>Paramaz Avedisian Building</v>
          </cell>
        </row>
      </sheetData>
      <sheetData sheetId="6421">
        <row r="8">
          <cell r="D8" t="str">
            <v>Paramaz Avedisian Building</v>
          </cell>
        </row>
      </sheetData>
      <sheetData sheetId="6422">
        <row r="8">
          <cell r="D8" t="str">
            <v>Paramaz Avedisian Building</v>
          </cell>
        </row>
      </sheetData>
      <sheetData sheetId="6423">
        <row r="8">
          <cell r="D8" t="str">
            <v>Paramaz Avedisian Building</v>
          </cell>
        </row>
      </sheetData>
      <sheetData sheetId="6424">
        <row r="8">
          <cell r="D8" t="str">
            <v>Paramaz Avedisian Building</v>
          </cell>
        </row>
      </sheetData>
      <sheetData sheetId="6425">
        <row r="8">
          <cell r="D8" t="str">
            <v>Paramaz Avedisian Building</v>
          </cell>
        </row>
      </sheetData>
      <sheetData sheetId="6426">
        <row r="8">
          <cell r="D8" t="str">
            <v>Paramaz Avedisian Building</v>
          </cell>
        </row>
      </sheetData>
      <sheetData sheetId="6427">
        <row r="8">
          <cell r="D8" t="str">
            <v>Paramaz Avedisian Building</v>
          </cell>
        </row>
      </sheetData>
      <sheetData sheetId="6428">
        <row r="8">
          <cell r="D8" t="str">
            <v>Paramaz Avedisian Building</v>
          </cell>
        </row>
      </sheetData>
      <sheetData sheetId="6429">
        <row r="8">
          <cell r="D8" t="str">
            <v>Paramaz Avedisian Building</v>
          </cell>
        </row>
      </sheetData>
      <sheetData sheetId="6430">
        <row r="8">
          <cell r="D8" t="str">
            <v>Paramaz Avedisian Building</v>
          </cell>
        </row>
      </sheetData>
      <sheetData sheetId="6431">
        <row r="8">
          <cell r="D8" t="str">
            <v>Paramaz Avedisian Building</v>
          </cell>
        </row>
      </sheetData>
      <sheetData sheetId="6432">
        <row r="8">
          <cell r="D8" t="str">
            <v>Paramaz Avedisian Building</v>
          </cell>
        </row>
      </sheetData>
      <sheetData sheetId="6433">
        <row r="8">
          <cell r="D8" t="str">
            <v>Paramaz Avedisian Building</v>
          </cell>
        </row>
      </sheetData>
      <sheetData sheetId="6434">
        <row r="8">
          <cell r="D8" t="str">
            <v>Paramaz Avedisian Building</v>
          </cell>
        </row>
      </sheetData>
      <sheetData sheetId="6435">
        <row r="8">
          <cell r="D8" t="str">
            <v>Paramaz Avedisian Building</v>
          </cell>
        </row>
      </sheetData>
      <sheetData sheetId="6436">
        <row r="8">
          <cell r="D8" t="str">
            <v>Paramaz Avedisian Building</v>
          </cell>
        </row>
      </sheetData>
      <sheetData sheetId="6437">
        <row r="8">
          <cell r="D8" t="str">
            <v>Paramaz Avedisian Building</v>
          </cell>
        </row>
      </sheetData>
      <sheetData sheetId="6438">
        <row r="8">
          <cell r="D8" t="str">
            <v>Paramaz Avedisian Building</v>
          </cell>
        </row>
      </sheetData>
      <sheetData sheetId="6439">
        <row r="8">
          <cell r="D8" t="str">
            <v>Paramaz Avedisian Building</v>
          </cell>
        </row>
      </sheetData>
      <sheetData sheetId="6440">
        <row r="8">
          <cell r="D8" t="str">
            <v>Paramaz Avedisian Building</v>
          </cell>
        </row>
      </sheetData>
      <sheetData sheetId="6441">
        <row r="8">
          <cell r="D8" t="str">
            <v>Paramaz Avedisian Building</v>
          </cell>
        </row>
      </sheetData>
      <sheetData sheetId="6442">
        <row r="8">
          <cell r="D8" t="str">
            <v>Paramaz Avedisian Building</v>
          </cell>
        </row>
      </sheetData>
      <sheetData sheetId="6443">
        <row r="8">
          <cell r="D8" t="str">
            <v>Paramaz Avedisian Building</v>
          </cell>
        </row>
      </sheetData>
      <sheetData sheetId="6444">
        <row r="8">
          <cell r="D8" t="str">
            <v>Paramaz Avedisian Building</v>
          </cell>
        </row>
      </sheetData>
      <sheetData sheetId="6445">
        <row r="8">
          <cell r="D8" t="str">
            <v>Paramaz Avedisian Building</v>
          </cell>
        </row>
      </sheetData>
      <sheetData sheetId="6446">
        <row r="8">
          <cell r="D8" t="str">
            <v>Paramaz Avedisian Building</v>
          </cell>
        </row>
      </sheetData>
      <sheetData sheetId="6447">
        <row r="8">
          <cell r="D8" t="str">
            <v>Paramaz Avedisian Building</v>
          </cell>
        </row>
      </sheetData>
      <sheetData sheetId="6448">
        <row r="8">
          <cell r="D8" t="str">
            <v>Paramaz Avedisian Building</v>
          </cell>
        </row>
      </sheetData>
      <sheetData sheetId="6449">
        <row r="8">
          <cell r="D8" t="str">
            <v>Paramaz Avedisian Building</v>
          </cell>
        </row>
      </sheetData>
      <sheetData sheetId="6450">
        <row r="8">
          <cell r="D8" t="str">
            <v>Paramaz Avedisian Building</v>
          </cell>
        </row>
      </sheetData>
      <sheetData sheetId="6451">
        <row r="8">
          <cell r="D8" t="str">
            <v>Paramaz Avedisian Building</v>
          </cell>
        </row>
      </sheetData>
      <sheetData sheetId="6452">
        <row r="8">
          <cell r="D8" t="str">
            <v>Paramaz Avedisian Building</v>
          </cell>
        </row>
      </sheetData>
      <sheetData sheetId="6453">
        <row r="8">
          <cell r="D8" t="str">
            <v>Paramaz Avedisian Building</v>
          </cell>
        </row>
      </sheetData>
      <sheetData sheetId="6454">
        <row r="8">
          <cell r="D8" t="str">
            <v>Paramaz Avedisian Building</v>
          </cell>
        </row>
      </sheetData>
      <sheetData sheetId="6455">
        <row r="8">
          <cell r="D8" t="str">
            <v>Paramaz Avedisian Building</v>
          </cell>
        </row>
      </sheetData>
      <sheetData sheetId="6456">
        <row r="8">
          <cell r="D8" t="str">
            <v>Paramaz Avedisian Building</v>
          </cell>
        </row>
      </sheetData>
      <sheetData sheetId="6457">
        <row r="8">
          <cell r="D8" t="str">
            <v>Paramaz Avedisian Building</v>
          </cell>
        </row>
      </sheetData>
      <sheetData sheetId="6458">
        <row r="8">
          <cell r="D8" t="str">
            <v>Paramaz Avedisian Building</v>
          </cell>
        </row>
      </sheetData>
      <sheetData sheetId="6459">
        <row r="8">
          <cell r="D8" t="str">
            <v>Paramaz Avedisian Building</v>
          </cell>
        </row>
      </sheetData>
      <sheetData sheetId="6460">
        <row r="8">
          <cell r="D8" t="str">
            <v>Paramaz Avedisian Building</v>
          </cell>
        </row>
      </sheetData>
      <sheetData sheetId="6461">
        <row r="8">
          <cell r="D8" t="str">
            <v>Paramaz Avedisian Building</v>
          </cell>
        </row>
      </sheetData>
      <sheetData sheetId="6462">
        <row r="8">
          <cell r="D8" t="str">
            <v>Paramaz Avedisian Building</v>
          </cell>
        </row>
      </sheetData>
      <sheetData sheetId="6463">
        <row r="8">
          <cell r="D8" t="str">
            <v>Paramaz Avedisian Building</v>
          </cell>
        </row>
      </sheetData>
      <sheetData sheetId="6464">
        <row r="8">
          <cell r="D8" t="str">
            <v>Paramaz Avedisian Building</v>
          </cell>
        </row>
      </sheetData>
      <sheetData sheetId="6465">
        <row r="8">
          <cell r="D8" t="str">
            <v>Paramaz Avedisian Building</v>
          </cell>
        </row>
      </sheetData>
      <sheetData sheetId="6466">
        <row r="8">
          <cell r="D8" t="str">
            <v>Paramaz Avedisian Building</v>
          </cell>
        </row>
      </sheetData>
      <sheetData sheetId="6467">
        <row r="8">
          <cell r="D8" t="str">
            <v>Paramaz Avedisian Building</v>
          </cell>
        </row>
      </sheetData>
      <sheetData sheetId="6468">
        <row r="8">
          <cell r="D8" t="str">
            <v>Paramaz Avedisian Building</v>
          </cell>
        </row>
      </sheetData>
      <sheetData sheetId="6469">
        <row r="8">
          <cell r="D8" t="str">
            <v>Paramaz Avedisian Building</v>
          </cell>
        </row>
      </sheetData>
      <sheetData sheetId="6470">
        <row r="8">
          <cell r="D8" t="str">
            <v>Paramaz Avedisian Building</v>
          </cell>
        </row>
      </sheetData>
      <sheetData sheetId="6471">
        <row r="8">
          <cell r="D8" t="str">
            <v>Paramaz Avedisian Building</v>
          </cell>
        </row>
      </sheetData>
      <sheetData sheetId="6472">
        <row r="8">
          <cell r="D8" t="str">
            <v>Paramaz Avedisian Building</v>
          </cell>
        </row>
      </sheetData>
      <sheetData sheetId="6473">
        <row r="8">
          <cell r="D8" t="str">
            <v>Paramaz Avedisian Building</v>
          </cell>
        </row>
      </sheetData>
      <sheetData sheetId="6474">
        <row r="8">
          <cell r="D8" t="str">
            <v>Paramaz Avedisian Building</v>
          </cell>
        </row>
      </sheetData>
      <sheetData sheetId="6475">
        <row r="8">
          <cell r="D8" t="str">
            <v>Paramaz Avedisian Building</v>
          </cell>
        </row>
      </sheetData>
      <sheetData sheetId="6476">
        <row r="8">
          <cell r="D8" t="str">
            <v>Paramaz Avedisian Building</v>
          </cell>
        </row>
      </sheetData>
      <sheetData sheetId="6477">
        <row r="8">
          <cell r="D8" t="str">
            <v>Paramaz Avedisian Building</v>
          </cell>
        </row>
      </sheetData>
      <sheetData sheetId="6478">
        <row r="8">
          <cell r="D8" t="str">
            <v>Paramaz Avedisian Building</v>
          </cell>
        </row>
      </sheetData>
      <sheetData sheetId="6479">
        <row r="8">
          <cell r="D8" t="str">
            <v>Paramaz Avedisian Building</v>
          </cell>
        </row>
      </sheetData>
      <sheetData sheetId="6480">
        <row r="8">
          <cell r="D8" t="str">
            <v>Paramaz Avedisian Building</v>
          </cell>
        </row>
      </sheetData>
      <sheetData sheetId="6481">
        <row r="8">
          <cell r="D8" t="str">
            <v>Paramaz Avedisian Building</v>
          </cell>
        </row>
      </sheetData>
      <sheetData sheetId="6482">
        <row r="8">
          <cell r="D8" t="str">
            <v>Paramaz Avedisian Building</v>
          </cell>
        </row>
      </sheetData>
      <sheetData sheetId="6483">
        <row r="8">
          <cell r="D8" t="str">
            <v>Paramaz Avedisian Building</v>
          </cell>
        </row>
      </sheetData>
      <sheetData sheetId="6484">
        <row r="8">
          <cell r="D8" t="str">
            <v>Paramaz Avedisian Building</v>
          </cell>
        </row>
      </sheetData>
      <sheetData sheetId="6485">
        <row r="8">
          <cell r="D8" t="str">
            <v>Paramaz Avedisian Building</v>
          </cell>
        </row>
      </sheetData>
      <sheetData sheetId="6486">
        <row r="8">
          <cell r="D8" t="str">
            <v>Paramaz Avedisian Building</v>
          </cell>
        </row>
      </sheetData>
      <sheetData sheetId="6487">
        <row r="8">
          <cell r="D8" t="str">
            <v>Paramaz Avedisian Building</v>
          </cell>
        </row>
      </sheetData>
      <sheetData sheetId="6488">
        <row r="8">
          <cell r="D8" t="str">
            <v>Paramaz Avedisian Building</v>
          </cell>
        </row>
      </sheetData>
      <sheetData sheetId="6489">
        <row r="8">
          <cell r="D8" t="str">
            <v>Paramaz Avedisian Building</v>
          </cell>
        </row>
      </sheetData>
      <sheetData sheetId="6490">
        <row r="8">
          <cell r="D8" t="str">
            <v>Paramaz Avedisian Building</v>
          </cell>
        </row>
      </sheetData>
      <sheetData sheetId="6491">
        <row r="8">
          <cell r="D8" t="str">
            <v>Paramaz Avedisian Building</v>
          </cell>
        </row>
      </sheetData>
      <sheetData sheetId="6492">
        <row r="8">
          <cell r="D8" t="str">
            <v>Paramaz Avedisian Building</v>
          </cell>
        </row>
      </sheetData>
      <sheetData sheetId="6493">
        <row r="8">
          <cell r="D8" t="str">
            <v>Paramaz Avedisian Building</v>
          </cell>
        </row>
      </sheetData>
      <sheetData sheetId="6494">
        <row r="8">
          <cell r="D8" t="str">
            <v>Paramaz Avedisian Building</v>
          </cell>
        </row>
      </sheetData>
      <sheetData sheetId="6495">
        <row r="8">
          <cell r="D8" t="str">
            <v>Paramaz Avedisian Building</v>
          </cell>
        </row>
      </sheetData>
      <sheetData sheetId="6496">
        <row r="8">
          <cell r="D8" t="str">
            <v>Paramaz Avedisian Building</v>
          </cell>
        </row>
      </sheetData>
      <sheetData sheetId="6497">
        <row r="8">
          <cell r="D8" t="str">
            <v>Paramaz Avedisian Building</v>
          </cell>
        </row>
      </sheetData>
      <sheetData sheetId="6498">
        <row r="8">
          <cell r="D8" t="str">
            <v>Paramaz Avedisian Building</v>
          </cell>
        </row>
      </sheetData>
      <sheetData sheetId="6499">
        <row r="8">
          <cell r="D8" t="str">
            <v>Paramaz Avedisian Building</v>
          </cell>
        </row>
      </sheetData>
      <sheetData sheetId="6500">
        <row r="8">
          <cell r="D8" t="str">
            <v>Paramaz Avedisian Building</v>
          </cell>
        </row>
      </sheetData>
      <sheetData sheetId="6501">
        <row r="8">
          <cell r="D8" t="str">
            <v>Paramaz Avedisian Building</v>
          </cell>
        </row>
      </sheetData>
      <sheetData sheetId="6502">
        <row r="8">
          <cell r="D8" t="str">
            <v>Paramaz Avedisian Building</v>
          </cell>
        </row>
      </sheetData>
      <sheetData sheetId="6503">
        <row r="8">
          <cell r="D8" t="str">
            <v>Paramaz Avedisian Building</v>
          </cell>
        </row>
      </sheetData>
      <sheetData sheetId="6504">
        <row r="8">
          <cell r="D8" t="str">
            <v>Paramaz Avedisian Building</v>
          </cell>
        </row>
      </sheetData>
      <sheetData sheetId="6505">
        <row r="8">
          <cell r="D8" t="str">
            <v>Paramaz Avedisian Building</v>
          </cell>
        </row>
      </sheetData>
      <sheetData sheetId="6506">
        <row r="8">
          <cell r="D8" t="str">
            <v>Paramaz Avedisian Building</v>
          </cell>
        </row>
      </sheetData>
      <sheetData sheetId="6507">
        <row r="8">
          <cell r="D8" t="str">
            <v>Paramaz Avedisian Building</v>
          </cell>
        </row>
      </sheetData>
      <sheetData sheetId="6508">
        <row r="8">
          <cell r="D8" t="str">
            <v>Paramaz Avedisian Building</v>
          </cell>
        </row>
      </sheetData>
      <sheetData sheetId="6509">
        <row r="8">
          <cell r="D8" t="str">
            <v>Paramaz Avedisian Building</v>
          </cell>
        </row>
      </sheetData>
      <sheetData sheetId="6510">
        <row r="8">
          <cell r="D8" t="str">
            <v>Paramaz Avedisian Building</v>
          </cell>
        </row>
      </sheetData>
      <sheetData sheetId="6511">
        <row r="8">
          <cell r="D8" t="str">
            <v>Paramaz Avedisian Building</v>
          </cell>
        </row>
      </sheetData>
      <sheetData sheetId="6512">
        <row r="8">
          <cell r="D8" t="str">
            <v>Paramaz Avedisian Building</v>
          </cell>
        </row>
      </sheetData>
      <sheetData sheetId="6513">
        <row r="8">
          <cell r="D8" t="str">
            <v>Paramaz Avedisian Building</v>
          </cell>
        </row>
      </sheetData>
      <sheetData sheetId="6514">
        <row r="8">
          <cell r="D8" t="str">
            <v>Paramaz Avedisian Building</v>
          </cell>
        </row>
      </sheetData>
      <sheetData sheetId="6515">
        <row r="8">
          <cell r="D8" t="str">
            <v>Paramaz Avedisian Building</v>
          </cell>
        </row>
      </sheetData>
      <sheetData sheetId="6516">
        <row r="8">
          <cell r="D8" t="str">
            <v>Paramaz Avedisian Building</v>
          </cell>
        </row>
      </sheetData>
      <sheetData sheetId="6517">
        <row r="8">
          <cell r="D8" t="str">
            <v>Paramaz Avedisian Building</v>
          </cell>
        </row>
      </sheetData>
      <sheetData sheetId="6518">
        <row r="8">
          <cell r="D8" t="str">
            <v>Paramaz Avedisian Building</v>
          </cell>
        </row>
      </sheetData>
      <sheetData sheetId="6519">
        <row r="8">
          <cell r="D8" t="str">
            <v>Paramaz Avedisian Building</v>
          </cell>
        </row>
      </sheetData>
      <sheetData sheetId="6520">
        <row r="8">
          <cell r="D8" t="str">
            <v>Paramaz Avedisian Building</v>
          </cell>
        </row>
      </sheetData>
      <sheetData sheetId="6521">
        <row r="8">
          <cell r="D8" t="str">
            <v>Paramaz Avedisian Building</v>
          </cell>
        </row>
      </sheetData>
      <sheetData sheetId="6522">
        <row r="8">
          <cell r="D8" t="str">
            <v>Paramaz Avedisian Building</v>
          </cell>
        </row>
      </sheetData>
      <sheetData sheetId="6523">
        <row r="8">
          <cell r="D8" t="str">
            <v>Paramaz Avedisian Building</v>
          </cell>
        </row>
      </sheetData>
      <sheetData sheetId="6524">
        <row r="8">
          <cell r="D8" t="str">
            <v>Paramaz Avedisian Building</v>
          </cell>
        </row>
      </sheetData>
      <sheetData sheetId="6525">
        <row r="8">
          <cell r="D8" t="str">
            <v>Paramaz Avedisian Building</v>
          </cell>
        </row>
      </sheetData>
      <sheetData sheetId="6526">
        <row r="8">
          <cell r="D8" t="str">
            <v>Paramaz Avedisian Building</v>
          </cell>
        </row>
      </sheetData>
      <sheetData sheetId="6527">
        <row r="8">
          <cell r="D8" t="str">
            <v>Paramaz Avedisian Building</v>
          </cell>
        </row>
      </sheetData>
      <sheetData sheetId="6528">
        <row r="8">
          <cell r="D8" t="str">
            <v>Paramaz Avedisian Building</v>
          </cell>
        </row>
      </sheetData>
      <sheetData sheetId="6529">
        <row r="8">
          <cell r="D8" t="str">
            <v>Paramaz Avedisian Building</v>
          </cell>
        </row>
      </sheetData>
      <sheetData sheetId="6530">
        <row r="8">
          <cell r="D8" t="str">
            <v>Paramaz Avedisian Building</v>
          </cell>
        </row>
      </sheetData>
      <sheetData sheetId="6531">
        <row r="8">
          <cell r="D8" t="str">
            <v>Paramaz Avedisian Building</v>
          </cell>
        </row>
      </sheetData>
      <sheetData sheetId="6532">
        <row r="8">
          <cell r="D8" t="str">
            <v>Paramaz Avedisian Building</v>
          </cell>
        </row>
      </sheetData>
      <sheetData sheetId="6533">
        <row r="8">
          <cell r="D8" t="str">
            <v>Paramaz Avedisian Building</v>
          </cell>
        </row>
      </sheetData>
      <sheetData sheetId="6534">
        <row r="8">
          <cell r="D8" t="str">
            <v>Paramaz Avedisian Building</v>
          </cell>
        </row>
      </sheetData>
      <sheetData sheetId="6535">
        <row r="8">
          <cell r="D8" t="str">
            <v>Paramaz Avedisian Building</v>
          </cell>
        </row>
      </sheetData>
      <sheetData sheetId="6536">
        <row r="8">
          <cell r="D8" t="str">
            <v>Paramaz Avedisian Building</v>
          </cell>
        </row>
      </sheetData>
      <sheetData sheetId="6537">
        <row r="8">
          <cell r="D8" t="str">
            <v>Paramaz Avedisian Building</v>
          </cell>
        </row>
      </sheetData>
      <sheetData sheetId="6538">
        <row r="8">
          <cell r="D8" t="str">
            <v>Paramaz Avedisian Building</v>
          </cell>
        </row>
      </sheetData>
      <sheetData sheetId="6539">
        <row r="8">
          <cell r="D8" t="str">
            <v>Paramaz Avedisian Building</v>
          </cell>
        </row>
      </sheetData>
      <sheetData sheetId="6540">
        <row r="8">
          <cell r="D8" t="str">
            <v>Paramaz Avedisian Building</v>
          </cell>
        </row>
      </sheetData>
      <sheetData sheetId="6541">
        <row r="8">
          <cell r="D8" t="str">
            <v>Paramaz Avedisian Building</v>
          </cell>
        </row>
      </sheetData>
      <sheetData sheetId="6542">
        <row r="8">
          <cell r="D8" t="str">
            <v>Paramaz Avedisian Building</v>
          </cell>
        </row>
      </sheetData>
      <sheetData sheetId="6543">
        <row r="8">
          <cell r="D8" t="str">
            <v>Paramaz Avedisian Building</v>
          </cell>
        </row>
      </sheetData>
      <sheetData sheetId="6544">
        <row r="8">
          <cell r="D8" t="str">
            <v>Paramaz Avedisian Building</v>
          </cell>
        </row>
      </sheetData>
      <sheetData sheetId="6545">
        <row r="8">
          <cell r="D8" t="str">
            <v>Paramaz Avedisian Building</v>
          </cell>
        </row>
      </sheetData>
      <sheetData sheetId="6546">
        <row r="8">
          <cell r="D8" t="str">
            <v>Paramaz Avedisian Building</v>
          </cell>
        </row>
      </sheetData>
      <sheetData sheetId="6547">
        <row r="8">
          <cell r="D8" t="str">
            <v>Paramaz Avedisian Building</v>
          </cell>
        </row>
      </sheetData>
      <sheetData sheetId="6548">
        <row r="8">
          <cell r="D8" t="str">
            <v>Paramaz Avedisian Building</v>
          </cell>
        </row>
      </sheetData>
      <sheetData sheetId="6549">
        <row r="8">
          <cell r="D8" t="str">
            <v>Paramaz Avedisian Building</v>
          </cell>
        </row>
      </sheetData>
      <sheetData sheetId="6550">
        <row r="8">
          <cell r="D8" t="str">
            <v>Paramaz Avedisian Building</v>
          </cell>
        </row>
      </sheetData>
      <sheetData sheetId="6551">
        <row r="8">
          <cell r="D8" t="str">
            <v>Paramaz Avedisian Building</v>
          </cell>
        </row>
      </sheetData>
      <sheetData sheetId="6552">
        <row r="8">
          <cell r="D8" t="str">
            <v>Paramaz Avedisian Building</v>
          </cell>
        </row>
      </sheetData>
      <sheetData sheetId="6553">
        <row r="8">
          <cell r="D8" t="str">
            <v>Paramaz Avedisian Building</v>
          </cell>
        </row>
      </sheetData>
      <sheetData sheetId="6554">
        <row r="8">
          <cell r="D8" t="str">
            <v>Paramaz Avedisian Building</v>
          </cell>
        </row>
      </sheetData>
      <sheetData sheetId="6555">
        <row r="8">
          <cell r="D8" t="str">
            <v>Paramaz Avedisian Building</v>
          </cell>
        </row>
      </sheetData>
      <sheetData sheetId="6556">
        <row r="8">
          <cell r="D8" t="str">
            <v>Paramaz Avedisian Building</v>
          </cell>
        </row>
      </sheetData>
      <sheetData sheetId="6557">
        <row r="8">
          <cell r="D8" t="str">
            <v>Paramaz Avedisian Building</v>
          </cell>
        </row>
      </sheetData>
      <sheetData sheetId="6558">
        <row r="8">
          <cell r="D8" t="str">
            <v>Paramaz Avedisian Building</v>
          </cell>
        </row>
      </sheetData>
      <sheetData sheetId="6559">
        <row r="8">
          <cell r="D8" t="str">
            <v>Paramaz Avedisian Building</v>
          </cell>
        </row>
      </sheetData>
      <sheetData sheetId="6560">
        <row r="8">
          <cell r="D8" t="str">
            <v>Paramaz Avedisian Building</v>
          </cell>
        </row>
      </sheetData>
      <sheetData sheetId="6561">
        <row r="8">
          <cell r="D8" t="str">
            <v>Paramaz Avedisian Building</v>
          </cell>
        </row>
      </sheetData>
      <sheetData sheetId="6562">
        <row r="8">
          <cell r="D8" t="str">
            <v>Paramaz Avedisian Building</v>
          </cell>
        </row>
      </sheetData>
      <sheetData sheetId="6563">
        <row r="8">
          <cell r="D8" t="str">
            <v>Paramaz Avedisian Building</v>
          </cell>
        </row>
      </sheetData>
      <sheetData sheetId="6564">
        <row r="8">
          <cell r="D8" t="str">
            <v>Paramaz Avedisian Building</v>
          </cell>
        </row>
      </sheetData>
      <sheetData sheetId="6565">
        <row r="8">
          <cell r="D8" t="str">
            <v>Paramaz Avedisian Building</v>
          </cell>
        </row>
      </sheetData>
      <sheetData sheetId="6566">
        <row r="8">
          <cell r="D8" t="str">
            <v>Paramaz Avedisian Building</v>
          </cell>
        </row>
      </sheetData>
      <sheetData sheetId="6567">
        <row r="8">
          <cell r="D8" t="str">
            <v>Paramaz Avedisian Building</v>
          </cell>
        </row>
      </sheetData>
      <sheetData sheetId="6568">
        <row r="8">
          <cell r="D8" t="str">
            <v>Paramaz Avedisian Building</v>
          </cell>
        </row>
      </sheetData>
      <sheetData sheetId="6569">
        <row r="8">
          <cell r="D8" t="str">
            <v>Paramaz Avedisian Building</v>
          </cell>
        </row>
      </sheetData>
      <sheetData sheetId="6570">
        <row r="8">
          <cell r="D8" t="str">
            <v>Paramaz Avedisian Building</v>
          </cell>
        </row>
      </sheetData>
      <sheetData sheetId="6571">
        <row r="8">
          <cell r="D8" t="str">
            <v>Paramaz Avedisian Building</v>
          </cell>
        </row>
      </sheetData>
      <sheetData sheetId="6572">
        <row r="8">
          <cell r="D8" t="str">
            <v>Paramaz Avedisian Building</v>
          </cell>
        </row>
      </sheetData>
      <sheetData sheetId="6573">
        <row r="8">
          <cell r="D8" t="str">
            <v>Paramaz Avedisian Building</v>
          </cell>
        </row>
      </sheetData>
      <sheetData sheetId="6574">
        <row r="8">
          <cell r="D8" t="str">
            <v>Paramaz Avedisian Building</v>
          </cell>
        </row>
      </sheetData>
      <sheetData sheetId="6575">
        <row r="8">
          <cell r="D8" t="str">
            <v>Paramaz Avedisian Building</v>
          </cell>
        </row>
      </sheetData>
      <sheetData sheetId="6576">
        <row r="8">
          <cell r="D8" t="str">
            <v>Paramaz Avedisian Building</v>
          </cell>
        </row>
      </sheetData>
      <sheetData sheetId="6577">
        <row r="8">
          <cell r="D8" t="str">
            <v>Paramaz Avedisian Building</v>
          </cell>
        </row>
      </sheetData>
      <sheetData sheetId="6578">
        <row r="8">
          <cell r="D8" t="str">
            <v>Paramaz Avedisian Building</v>
          </cell>
        </row>
      </sheetData>
      <sheetData sheetId="6579">
        <row r="8">
          <cell r="D8" t="str">
            <v>Paramaz Avedisian Building</v>
          </cell>
        </row>
      </sheetData>
      <sheetData sheetId="6580">
        <row r="8">
          <cell r="D8" t="str">
            <v>Paramaz Avedisian Building</v>
          </cell>
        </row>
      </sheetData>
      <sheetData sheetId="6581">
        <row r="8">
          <cell r="D8" t="str">
            <v>Paramaz Avedisian Building</v>
          </cell>
        </row>
      </sheetData>
      <sheetData sheetId="6582">
        <row r="8">
          <cell r="D8" t="str">
            <v>Paramaz Avedisian Building</v>
          </cell>
        </row>
      </sheetData>
      <sheetData sheetId="6583">
        <row r="8">
          <cell r="D8" t="str">
            <v>Paramaz Avedisian Building</v>
          </cell>
        </row>
      </sheetData>
      <sheetData sheetId="6584">
        <row r="8">
          <cell r="D8" t="str">
            <v>Paramaz Avedisian Building</v>
          </cell>
        </row>
      </sheetData>
      <sheetData sheetId="6585">
        <row r="8">
          <cell r="D8" t="str">
            <v>Paramaz Avedisian Building</v>
          </cell>
        </row>
      </sheetData>
      <sheetData sheetId="6586">
        <row r="8">
          <cell r="D8" t="str">
            <v>Paramaz Avedisian Building</v>
          </cell>
        </row>
      </sheetData>
      <sheetData sheetId="6587">
        <row r="8">
          <cell r="D8" t="str">
            <v>Paramaz Avedisian Building</v>
          </cell>
        </row>
      </sheetData>
      <sheetData sheetId="6588">
        <row r="8">
          <cell r="D8" t="str">
            <v>Paramaz Avedisian Building</v>
          </cell>
        </row>
      </sheetData>
      <sheetData sheetId="6589">
        <row r="8">
          <cell r="D8" t="str">
            <v>Paramaz Avedisian Building</v>
          </cell>
        </row>
      </sheetData>
      <sheetData sheetId="6590">
        <row r="8">
          <cell r="D8" t="str">
            <v>Paramaz Avedisian Building</v>
          </cell>
        </row>
      </sheetData>
      <sheetData sheetId="6591">
        <row r="8">
          <cell r="D8" t="str">
            <v>Paramaz Avedisian Building</v>
          </cell>
        </row>
      </sheetData>
      <sheetData sheetId="6592">
        <row r="8">
          <cell r="D8" t="str">
            <v>Paramaz Avedisian Building</v>
          </cell>
        </row>
      </sheetData>
      <sheetData sheetId="6593">
        <row r="8">
          <cell r="D8" t="str">
            <v>Paramaz Avedisian Building</v>
          </cell>
        </row>
      </sheetData>
      <sheetData sheetId="6594">
        <row r="8">
          <cell r="D8" t="str">
            <v>Paramaz Avedisian Building</v>
          </cell>
        </row>
      </sheetData>
      <sheetData sheetId="6595">
        <row r="8">
          <cell r="D8" t="str">
            <v>Paramaz Avedisian Building</v>
          </cell>
        </row>
      </sheetData>
      <sheetData sheetId="6596">
        <row r="8">
          <cell r="D8" t="str">
            <v>Paramaz Avedisian Building</v>
          </cell>
        </row>
      </sheetData>
      <sheetData sheetId="6597">
        <row r="8">
          <cell r="D8" t="str">
            <v>Paramaz Avedisian Building</v>
          </cell>
        </row>
      </sheetData>
      <sheetData sheetId="6598">
        <row r="8">
          <cell r="D8" t="str">
            <v>Paramaz Avedisian Building</v>
          </cell>
        </row>
      </sheetData>
      <sheetData sheetId="6599">
        <row r="8">
          <cell r="D8" t="str">
            <v>Paramaz Avedisian Building</v>
          </cell>
        </row>
      </sheetData>
      <sheetData sheetId="6600">
        <row r="8">
          <cell r="D8" t="str">
            <v>Paramaz Avedisian Building</v>
          </cell>
        </row>
      </sheetData>
      <sheetData sheetId="6601">
        <row r="8">
          <cell r="D8" t="str">
            <v>Paramaz Avedisian Building</v>
          </cell>
        </row>
      </sheetData>
      <sheetData sheetId="6602">
        <row r="8">
          <cell r="D8" t="str">
            <v>Paramaz Avedisian Building</v>
          </cell>
        </row>
      </sheetData>
      <sheetData sheetId="6603">
        <row r="8">
          <cell r="D8" t="str">
            <v>Paramaz Avedisian Building</v>
          </cell>
        </row>
      </sheetData>
      <sheetData sheetId="6604">
        <row r="8">
          <cell r="D8" t="str">
            <v>Paramaz Avedisian Building</v>
          </cell>
        </row>
      </sheetData>
      <sheetData sheetId="6605">
        <row r="8">
          <cell r="D8" t="str">
            <v>Paramaz Avedisian Building</v>
          </cell>
        </row>
      </sheetData>
      <sheetData sheetId="6606">
        <row r="8">
          <cell r="D8" t="str">
            <v>Paramaz Avedisian Building</v>
          </cell>
        </row>
      </sheetData>
      <sheetData sheetId="6607">
        <row r="8">
          <cell r="D8" t="str">
            <v>Paramaz Avedisian Building</v>
          </cell>
        </row>
      </sheetData>
      <sheetData sheetId="6608">
        <row r="8">
          <cell r="D8" t="str">
            <v>Paramaz Avedisian Building</v>
          </cell>
        </row>
      </sheetData>
      <sheetData sheetId="6609">
        <row r="8">
          <cell r="D8" t="str">
            <v>Paramaz Avedisian Building</v>
          </cell>
        </row>
      </sheetData>
      <sheetData sheetId="6610">
        <row r="8">
          <cell r="D8" t="str">
            <v>Paramaz Avedisian Building</v>
          </cell>
        </row>
      </sheetData>
      <sheetData sheetId="6611">
        <row r="8">
          <cell r="D8" t="str">
            <v>Paramaz Avedisian Building</v>
          </cell>
        </row>
      </sheetData>
      <sheetData sheetId="6612">
        <row r="8">
          <cell r="D8" t="str">
            <v>Paramaz Avedisian Building</v>
          </cell>
        </row>
      </sheetData>
      <sheetData sheetId="6613">
        <row r="8">
          <cell r="D8" t="str">
            <v>Paramaz Avedisian Building</v>
          </cell>
        </row>
      </sheetData>
      <sheetData sheetId="6614">
        <row r="8">
          <cell r="D8" t="str">
            <v>Paramaz Avedisian Building</v>
          </cell>
        </row>
      </sheetData>
      <sheetData sheetId="6615">
        <row r="8">
          <cell r="D8" t="str">
            <v>Paramaz Avedisian Building</v>
          </cell>
        </row>
      </sheetData>
      <sheetData sheetId="6616">
        <row r="8">
          <cell r="D8" t="str">
            <v>Paramaz Avedisian Building</v>
          </cell>
        </row>
      </sheetData>
      <sheetData sheetId="6617">
        <row r="8">
          <cell r="D8" t="str">
            <v>Paramaz Avedisian Building</v>
          </cell>
        </row>
      </sheetData>
      <sheetData sheetId="6618">
        <row r="8">
          <cell r="D8" t="str">
            <v>Paramaz Avedisian Building</v>
          </cell>
        </row>
      </sheetData>
      <sheetData sheetId="6619">
        <row r="8">
          <cell r="D8" t="str">
            <v>Paramaz Avedisian Building</v>
          </cell>
        </row>
      </sheetData>
      <sheetData sheetId="6620">
        <row r="8">
          <cell r="D8" t="str">
            <v>Paramaz Avedisian Building</v>
          </cell>
        </row>
      </sheetData>
      <sheetData sheetId="6621">
        <row r="8">
          <cell r="D8" t="str">
            <v>Paramaz Avedisian Building</v>
          </cell>
        </row>
      </sheetData>
      <sheetData sheetId="6622">
        <row r="8">
          <cell r="D8" t="str">
            <v>Paramaz Avedisian Building</v>
          </cell>
        </row>
      </sheetData>
      <sheetData sheetId="6623">
        <row r="8">
          <cell r="D8" t="str">
            <v>Paramaz Avedisian Building</v>
          </cell>
        </row>
      </sheetData>
      <sheetData sheetId="6624">
        <row r="8">
          <cell r="D8" t="str">
            <v>Paramaz Avedisian Building</v>
          </cell>
        </row>
      </sheetData>
      <sheetData sheetId="6625">
        <row r="8">
          <cell r="D8" t="str">
            <v>Paramaz Avedisian Building</v>
          </cell>
        </row>
      </sheetData>
      <sheetData sheetId="6626">
        <row r="8">
          <cell r="D8" t="str">
            <v>Paramaz Avedisian Building</v>
          </cell>
        </row>
      </sheetData>
      <sheetData sheetId="6627">
        <row r="8">
          <cell r="D8" t="str">
            <v>Paramaz Avedisian Building</v>
          </cell>
        </row>
      </sheetData>
      <sheetData sheetId="6628">
        <row r="8">
          <cell r="D8" t="str">
            <v>Paramaz Avedisian Building</v>
          </cell>
        </row>
      </sheetData>
      <sheetData sheetId="6629">
        <row r="8">
          <cell r="D8" t="str">
            <v>Paramaz Avedisian Building</v>
          </cell>
        </row>
      </sheetData>
      <sheetData sheetId="6630">
        <row r="8">
          <cell r="D8" t="str">
            <v>Paramaz Avedisian Building</v>
          </cell>
        </row>
      </sheetData>
      <sheetData sheetId="6631">
        <row r="8">
          <cell r="D8" t="str">
            <v>Paramaz Avedisian Building</v>
          </cell>
        </row>
      </sheetData>
      <sheetData sheetId="6632">
        <row r="8">
          <cell r="D8" t="str">
            <v>Paramaz Avedisian Building</v>
          </cell>
        </row>
      </sheetData>
      <sheetData sheetId="6633">
        <row r="8">
          <cell r="D8" t="str">
            <v>Paramaz Avedisian Building</v>
          </cell>
        </row>
      </sheetData>
      <sheetData sheetId="6634">
        <row r="8">
          <cell r="D8" t="str">
            <v>Paramaz Avedisian Building</v>
          </cell>
        </row>
      </sheetData>
      <sheetData sheetId="6635">
        <row r="8">
          <cell r="D8" t="str">
            <v>Paramaz Avedisian Building</v>
          </cell>
        </row>
      </sheetData>
      <sheetData sheetId="6636">
        <row r="8">
          <cell r="D8" t="str">
            <v>Paramaz Avedisian Building</v>
          </cell>
        </row>
      </sheetData>
      <sheetData sheetId="6637">
        <row r="8">
          <cell r="D8" t="str">
            <v>Paramaz Avedisian Building</v>
          </cell>
        </row>
      </sheetData>
      <sheetData sheetId="6638">
        <row r="8">
          <cell r="D8" t="str">
            <v>Paramaz Avedisian Building</v>
          </cell>
        </row>
      </sheetData>
      <sheetData sheetId="6639">
        <row r="8">
          <cell r="D8" t="str">
            <v>Paramaz Avedisian Building</v>
          </cell>
        </row>
      </sheetData>
      <sheetData sheetId="6640">
        <row r="8">
          <cell r="D8" t="str">
            <v>Paramaz Avedisian Building</v>
          </cell>
        </row>
      </sheetData>
      <sheetData sheetId="6641">
        <row r="8">
          <cell r="D8" t="str">
            <v>Paramaz Avedisian Building</v>
          </cell>
        </row>
      </sheetData>
      <sheetData sheetId="6642">
        <row r="8">
          <cell r="D8" t="str">
            <v>Paramaz Avedisian Building</v>
          </cell>
        </row>
      </sheetData>
      <sheetData sheetId="6643">
        <row r="8">
          <cell r="D8" t="str">
            <v>Paramaz Avedisian Building</v>
          </cell>
        </row>
      </sheetData>
      <sheetData sheetId="6644"/>
      <sheetData sheetId="6645"/>
      <sheetData sheetId="6646"/>
      <sheetData sheetId="6647">
        <row r="8">
          <cell r="D8" t="str">
            <v>Paramaz Avedisian Building</v>
          </cell>
        </row>
      </sheetData>
      <sheetData sheetId="6648">
        <row r="8">
          <cell r="D8" t="str">
            <v>Paramaz Avedisian Building</v>
          </cell>
        </row>
      </sheetData>
      <sheetData sheetId="6649">
        <row r="8">
          <cell r="D8" t="str">
            <v>Paramaz Avedisian Building</v>
          </cell>
        </row>
      </sheetData>
      <sheetData sheetId="6650">
        <row r="8">
          <cell r="D8" t="str">
            <v>Paramaz Avedisian Building</v>
          </cell>
        </row>
      </sheetData>
      <sheetData sheetId="6651">
        <row r="8">
          <cell r="D8" t="str">
            <v>Paramaz Avedisian Building</v>
          </cell>
        </row>
      </sheetData>
      <sheetData sheetId="6652">
        <row r="8">
          <cell r="D8" t="str">
            <v>Paramaz Avedisian Building</v>
          </cell>
        </row>
      </sheetData>
      <sheetData sheetId="6653">
        <row r="8">
          <cell r="D8" t="str">
            <v>Paramaz Avedisian Building</v>
          </cell>
        </row>
      </sheetData>
      <sheetData sheetId="6654">
        <row r="8">
          <cell r="D8" t="str">
            <v>Paramaz Avedisian Building</v>
          </cell>
        </row>
      </sheetData>
      <sheetData sheetId="6655">
        <row r="8">
          <cell r="D8" t="str">
            <v>Paramaz Avedisian Building</v>
          </cell>
        </row>
      </sheetData>
      <sheetData sheetId="6656"/>
      <sheetData sheetId="6657"/>
      <sheetData sheetId="6658"/>
      <sheetData sheetId="6659">
        <row r="8">
          <cell r="D8" t="str">
            <v>Paramaz Avedisian Building</v>
          </cell>
        </row>
      </sheetData>
      <sheetData sheetId="6660">
        <row r="8">
          <cell r="D8" t="str">
            <v>Paramaz Avedisian Building</v>
          </cell>
        </row>
      </sheetData>
      <sheetData sheetId="6661">
        <row r="8">
          <cell r="D8" t="str">
            <v>Paramaz Avedisian Building</v>
          </cell>
        </row>
      </sheetData>
      <sheetData sheetId="6662">
        <row r="8">
          <cell r="D8" t="str">
            <v>Paramaz Avedisian Building</v>
          </cell>
        </row>
      </sheetData>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row r="8">
          <cell r="D8" t="str">
            <v>Paramaz Avedisian Building</v>
          </cell>
        </row>
      </sheetData>
      <sheetData sheetId="6755">
        <row r="8">
          <cell r="D8">
            <v>281.44000000000005</v>
          </cell>
        </row>
      </sheetData>
      <sheetData sheetId="6756">
        <row r="8">
          <cell r="D8" t="str">
            <v>Paramaz Avedisian Building</v>
          </cell>
        </row>
      </sheetData>
      <sheetData sheetId="6757">
        <row r="8">
          <cell r="D8">
            <v>281.44000000000005</v>
          </cell>
        </row>
      </sheetData>
      <sheetData sheetId="6758">
        <row r="8">
          <cell r="D8" t="str">
            <v>Paramaz Avedisian Building</v>
          </cell>
        </row>
      </sheetData>
      <sheetData sheetId="6759">
        <row r="8">
          <cell r="D8">
            <v>281.44000000000005</v>
          </cell>
        </row>
      </sheetData>
      <sheetData sheetId="6760">
        <row r="8">
          <cell r="D8">
            <v>281.44000000000005</v>
          </cell>
        </row>
      </sheetData>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row r="8">
          <cell r="D8" t="str">
            <v>Paramaz Avedisian Building</v>
          </cell>
        </row>
      </sheetData>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Index"/>
      <sheetName val="FINAL"/>
      <sheetName val="MASTER SUMMARY"/>
      <sheetName val="Summary-CIVIL"/>
      <sheetName val="BOQ-Shell &amp; Core"/>
      <sheetName val="SUMMARY-Waterproofing"/>
      <sheetName val="Alternate Offer - AANC "/>
      <sheetName val="Summary-Finishing"/>
      <sheetName val="BOQ-Finishing"/>
      <sheetName val="Summary-Hardscaping"/>
      <sheetName val="BOQ-Hardscaping"/>
      <sheetName val="Base Rate-Annex-III"/>
      <sheetName val="Shuttering costing-Annex-IV"/>
      <sheetName val="capital invest-Annex-IV"/>
      <sheetName val="Tower Crane-AnnexV"/>
      <sheetName val="Passenger Hoist-Annex-VI"/>
      <sheetName val="OH-Annex-VII"/>
      <sheetName val="VAT Setoff - Annex-VIII"/>
      <sheetName val="RMC Profits-Annex - IX"/>
      <sheetName val="Door shutters-Annex-X"/>
      <sheetName val="Door Fittings -Annex-XI"/>
      <sheetName val="AREAS"/>
      <sheetName val="Break_Up"/>
      <sheetName val="RESULT"/>
      <sheetName val="Model"/>
      <sheetName val="CONSTRUCTION COMPONENT"/>
      <sheetName val="5.1.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OPTION"/>
      <sheetName val="IMPORTED EQUIPMENTS"/>
      <sheetName val="INDIGINEOUS ITEMS "/>
      <sheetName val="VRV"/>
      <sheetName val="VRV Install"/>
      <sheetName val="Cu Tube with insulation "/>
      <sheetName val="Fan"/>
      <sheetName val="PVC PIPE"/>
      <sheetName val="Nitrile Ins for CHW Pipe &amp; Duct"/>
      <sheetName val="Fire Damper"/>
      <sheetName val="COSMOS"/>
      <sheetName val="Grill, Diffuser Revised"/>
      <sheetName val="DUCT INSULATION"/>
      <sheetName val="Lock Former Ducting"/>
      <sheetName val="Insulated Flexible Ducts"/>
      <sheetName val="GBW"/>
      <sheetName val="Headings"/>
      <sheetName val="Names&amp;Cases"/>
      <sheetName val="MASTER_RATE ANALYSIS"/>
      <sheetName val="PRECAST lightconc-II"/>
      <sheetName val="Meas.-Hotel Part"/>
      <sheetName val="PRECAST lightconc_II"/>
      <sheetName val="B.O.Q 04-05-07"/>
      <sheetName val="WORKING boq"/>
      <sheetName val="Shuttering costing-Annex-IV"/>
      <sheetName val="S3 - Summary"/>
      <sheetName val="Chennai"/>
      <sheetName val="Input"/>
      <sheetName val="Phasing"/>
      <sheetName val="Design"/>
      <sheetName val="calcul"/>
      <sheetName val="Data sheet"/>
      <sheetName val="Per Unit"/>
      <sheetName val="1-Internal electrical"/>
      <sheetName val="3. Elemental Summary"/>
      <sheetName val="12a. CFTable"/>
      <sheetName val="Lintel"/>
      <sheetName val="Cost summary"/>
      <sheetName val="Summary"/>
      <sheetName val="PRELIM5"/>
      <sheetName val=" B1"/>
      <sheetName val="RA-markate"/>
      <sheetName val="F1a-Pile"/>
      <sheetName val="run"/>
      <sheetName val="product prices"/>
      <sheetName val="price"/>
      <sheetName val="07"/>
      <sheetName val="PUMP"/>
      <sheetName val=" B3"/>
      <sheetName val="Measurements"/>
      <sheetName val="Tables"/>
      <sheetName val="Flooring"/>
      <sheetName val="Ceilings"/>
      <sheetName val="ACAD Finishes"/>
      <sheetName val="Site Details"/>
      <sheetName val="Chair"/>
      <sheetName val="Site Area Statement"/>
      <sheetName val="Doors"/>
      <sheetName val="Estimate"/>
      <sheetName val="BOQ"/>
      <sheetName val="Break_Up"/>
      <sheetName val="RESULT"/>
      <sheetName val="INDEX"/>
      <sheetName val="AREAS"/>
      <sheetName val="Meas__Hotel Part"/>
      <sheetName val="Inputs"/>
      <sheetName val="Data Input"/>
      <sheetName val="analysis"/>
      <sheetName val="Ass4"/>
      <sheetName val="DCF"/>
      <sheetName val="Key Ass"/>
      <sheetName val="Model"/>
      <sheetName val="CONSTRUCTION COMPONENT"/>
      <sheetName val="Fill this out first..."/>
      <sheetName val="Pacakges split"/>
      <sheetName val="9. Package split - Cost "/>
      <sheetName val="10. &amp; 11. Rate Code &amp; BQ"/>
      <sheetName val="Cashflow projection"/>
      <sheetName val="CASHFLOWS"/>
      <sheetName val="Budget"/>
      <sheetName val="dlvoid"/>
      <sheetName val="Sheet2"/>
      <sheetName val="PANEL ANNEXURE"/>
      <sheetName val="LIST OF MAKES"/>
      <sheetName val="CFForecast detail"/>
      <sheetName val="INPUT SHEET"/>
      <sheetName val="Basement Budget"/>
      <sheetName val="RES-PLANNING"/>
      <sheetName val="Legend"/>
      <sheetName val="SCurv (3)"/>
      <sheetName val="girder"/>
      <sheetName val="WORK TABLE"/>
      <sheetName val="Bill 1-BOQ-Civil Works"/>
      <sheetName val="SITE OVERHEADS"/>
      <sheetName val="TBAL9697 -group wise  sdpl"/>
      <sheetName val="Labour"/>
      <sheetName val="L1"/>
      <sheetName val="L2"/>
      <sheetName val="L3"/>
      <sheetName val="L4"/>
      <sheetName val="L5"/>
      <sheetName val="L6"/>
      <sheetName val="L7"/>
      <sheetName val="L8"/>
      <sheetName val="L9"/>
      <sheetName val="L10"/>
      <sheetName val="L11"/>
      <sheetName val="L12 "/>
      <sheetName val="L13"/>
      <sheetName val="L14"/>
      <sheetName val="L15"/>
      <sheetName val="E.Electrical (2)"/>
      <sheetName val="Lift (2)"/>
      <sheetName val="Aluminum"/>
      <sheetName val="Struc glazing &amp; Alco"/>
      <sheetName val="LCS SCHEDULE "/>
      <sheetName val="ELEC_BOQ"/>
      <sheetName val="currency"/>
      <sheetName val="Switch costs lookup"/>
      <sheetName val="Eqpmnt Plng"/>
      <sheetName val="환율"/>
      <sheetName val="BOQ "/>
      <sheetName val="BHANDUP"/>
      <sheetName val="labour coeff"/>
      <sheetName val="Area Statement _ OPTION C"/>
      <sheetName val="Sheet 1"/>
      <sheetName val="Cover"/>
      <sheetName val="activit-graph  "/>
      <sheetName val="Driveway Beams"/>
      <sheetName val="FT-05-02IsoBOM"/>
      <sheetName val="May"/>
      <sheetName val="Rate Analysis"/>
      <sheetName val="Civil Works"/>
      <sheetName val="Sheet3"/>
      <sheetName val="Basic Rates"/>
      <sheetName val="p&amp;m"/>
      <sheetName val="A"/>
      <sheetName val="Lease rents"/>
      <sheetName val="Tender Summary"/>
      <sheetName val="System"/>
      <sheetName val="Background"/>
      <sheetName val="DetEst"/>
      <sheetName val="Codes"/>
      <sheetName val="HOTEL"/>
      <sheetName val="BOQ DG BQ PP"/>
      <sheetName val="ABS_"/>
      <sheetName val="SILICATE"/>
      <sheetName val="MB(2nd RA) -NTPC"/>
      <sheetName val="Cashflo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bour"/>
      <sheetName val="summary"/>
      <sheetName val="BOQ"/>
      <sheetName val="DG"/>
      <sheetName val="C.T. Piping"/>
      <sheetName val="meas. sheet equip."/>
      <sheetName val="bus dUCT"/>
      <sheetName val="Earthing"/>
      <sheetName val="RATE-HV INST."/>
      <sheetName val="HT CABLE"/>
      <sheetName val="battary charger"/>
      <sheetName val="Safety equipments"/>
      <sheetName val="HT Cable laying &amp; Termination"/>
      <sheetName val="control cables"/>
      <sheetName val="LAYING OF CABLE"/>
      <sheetName val="Control cable termination"/>
      <sheetName val="SUBSTATION panel"/>
      <sheetName val="Cos"/>
      <sheetName val="labour rates"/>
    </sheetNames>
    <sheetDataSet>
      <sheetData sheetId="0">
        <row r="7">
          <cell r="C7">
            <v>206.25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ment Memorandum"/>
      <sheetName val="Payment Memorandum."/>
      <sheetName val="Abstract of Cost"/>
      <sheetName val="MB (Fabrication)"/>
      <sheetName val="M.B. (G.I. Sheet)"/>
      <sheetName val="Attendance Details"/>
      <sheetName val="Unit Weight"/>
      <sheetName val="Debit Note"/>
      <sheetName val="STATUS"/>
      <sheetName val="MB. RAILING"/>
      <sheetName val="Reconcillation"/>
      <sheetName val="Sheet3"/>
    </sheetNames>
    <sheetDataSet>
      <sheetData sheetId="0"/>
      <sheetData sheetId="1"/>
      <sheetData sheetId="2"/>
      <sheetData sheetId="3"/>
      <sheetData sheetId="4"/>
      <sheetData sheetId="5"/>
      <sheetData sheetId="6">
        <row r="4">
          <cell r="B4">
            <v>1.86</v>
          </cell>
        </row>
        <row r="7">
          <cell r="B7">
            <v>3.51</v>
          </cell>
        </row>
        <row r="8">
          <cell r="B8">
            <v>4.2699999999999996</v>
          </cell>
        </row>
        <row r="11">
          <cell r="B11">
            <v>9.1999999999999993</v>
          </cell>
        </row>
        <row r="14">
          <cell r="B14">
            <v>0.9</v>
          </cell>
        </row>
        <row r="15">
          <cell r="B15">
            <v>3.23</v>
          </cell>
        </row>
      </sheetData>
      <sheetData sheetId="7"/>
      <sheetData sheetId="8"/>
      <sheetData sheetId="9"/>
      <sheetData sheetId="10"/>
      <sheetData sheetId="1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X"/>
      <sheetName val="controllers"/>
      <sheetName val="graph"/>
      <sheetName val="Summary US$"/>
      <sheetName val="Summary Local $"/>
      <sheetName val="Allocation"/>
      <sheetName val="listing"/>
      <sheetName val="S01"/>
      <sheetName val="S02"/>
      <sheetName val="S03"/>
      <sheetName val="S04"/>
      <sheetName val="S05"/>
      <sheetName val="S06"/>
      <sheetName val="S07"/>
      <sheetName val="S08"/>
      <sheetName val="S09"/>
      <sheetName val="S10"/>
      <sheetName val="S11"/>
      <sheetName val="S12"/>
      <sheetName val="S13"/>
      <sheetName val="S14"/>
      <sheetName val="S15"/>
      <sheetName val="S16"/>
      <sheetName val="S17"/>
      <sheetName val="S18"/>
      <sheetName val="S19"/>
      <sheetName val="S20"/>
      <sheetName val="S21"/>
      <sheetName val="S22"/>
      <sheetName val="S23"/>
      <sheetName val="S24"/>
      <sheetName val="S25"/>
      <sheetName val="S26"/>
      <sheetName val="S27"/>
      <sheetName val="S28"/>
      <sheetName val="S29"/>
      <sheetName val="S30"/>
      <sheetName val="S31"/>
      <sheetName val="S32"/>
      <sheetName val="S33"/>
      <sheetName val="S34"/>
      <sheetName val="S35"/>
      <sheetName val="S36"/>
      <sheetName val="S37"/>
      <sheetName val="S38"/>
      <sheetName val="S39"/>
      <sheetName val="S40"/>
      <sheetName val="S41"/>
      <sheetName val="S42"/>
      <sheetName val="S43"/>
      <sheetName val="S44"/>
      <sheetName val="S45"/>
      <sheetName val="S46"/>
      <sheetName val="S47"/>
      <sheetName val="S48"/>
      <sheetName val="S49"/>
      <sheetName val="S50"/>
      <sheetName val="S51"/>
      <sheetName val="S52"/>
      <sheetName val="S53"/>
      <sheetName val="S54"/>
      <sheetName val="S55"/>
      <sheetName val="S56"/>
      <sheetName val="S57"/>
      <sheetName val="S58"/>
      <sheetName val="S59"/>
      <sheetName val="S60"/>
      <sheetName val="S62"/>
      <sheetName val="S63"/>
      <sheetName val="S64"/>
      <sheetName val="Project Budget Worksheet"/>
      <sheetName val="Quick Reference Guide"/>
      <sheetName val="030625_GKC Bluebook (AC)"/>
      <sheetName val="Builtup Area"/>
      <sheetName val="Pay_Sep06"/>
      <sheetName val="INPUT SHEET"/>
      <sheetName val="RES-PLANNING"/>
      <sheetName val="Lead"/>
      <sheetName val="CFForecast detail"/>
      <sheetName val="Extra Item"/>
      <sheetName val="FORM7"/>
      <sheetName val="oresreqsum"/>
      <sheetName val="Fill this out first..."/>
      <sheetName val="DEPTH CHART (ORR) L.S."/>
      <sheetName val="TBAL9697 -group wise  sdpl"/>
      <sheetName val="Material "/>
      <sheetName val="Labour &amp; Plant"/>
      <sheetName val="Fin Sum"/>
      <sheetName val="Basement Budget"/>
      <sheetName val="Voucher"/>
      <sheetName val="IO LIST"/>
      <sheetName val="dBase"/>
      <sheetName val="Database"/>
      <sheetName val="SCHEDULE"/>
      <sheetName val="schedule nos"/>
      <sheetName val="Break up Sheet"/>
      <sheetName val="Design"/>
      <sheetName val="Data"/>
      <sheetName val="BASIS -DEC 08"/>
      <sheetName val="Mechanical"/>
      <sheetName val="SALIENT"/>
      <sheetName val="Construction"/>
      <sheetName val="Publicbuilding"/>
      <sheetName val="Headings"/>
      <sheetName val="Detail"/>
      <sheetName val="Block A - BOQ"/>
      <sheetName val="Non-Factory"/>
      <sheetName val="analysis"/>
      <sheetName val="3. Elemental Summary"/>
      <sheetName val="12a. CFTable"/>
      <sheetName val="Cashflow projection"/>
      <sheetName val="1-Internal electrical"/>
      <sheetName val="Cost Index"/>
      <sheetName val="Rate Analysis"/>
      <sheetName val="loadcal"/>
      <sheetName val="GBW"/>
      <sheetName val="BOQ-Part1"/>
      <sheetName val="MPR_PA_1"/>
      <sheetName val="Fin. Assumpt. - Sensitivities"/>
      <sheetName val="Estimate"/>
      <sheetName val="Meas.-Hotel Part"/>
      <sheetName val="ABP inputs"/>
      <sheetName val="Synergy Sales Budget"/>
      <sheetName val="07016, Master List-Major Minor"/>
      <sheetName val="Discount &amp; Margin"/>
      <sheetName val="Basic Rates"/>
      <sheetName val="PS1"/>
      <sheetName val="Loads"/>
      <sheetName val="WORK TABLE"/>
      <sheetName val="Data sheet"/>
      <sheetName val="X rate"/>
      <sheetName val="maing1"/>
      <sheetName val="Material"/>
      <sheetName val="NPV"/>
      <sheetName val="Summary_US$"/>
      <sheetName val="Summary_Local_$"/>
      <sheetName val="Project_Budget_Worksheet"/>
      <sheetName val="Quick_Reference_Guide"/>
      <sheetName val="CFForecast_detail"/>
      <sheetName val="3__Elemental_Summary"/>
      <sheetName val="12a__CFTable"/>
      <sheetName val="sept-plan"/>
      <sheetName val="Civil Boq"/>
      <sheetName val="BOQ_Direct_selling cost"/>
      <sheetName val="Site Dev BOQ"/>
      <sheetName val="Intro"/>
      <sheetName val="Codes"/>
      <sheetName val="p&amp;m"/>
      <sheetName val="labour coeff"/>
      <sheetName val="RCC,Ret. Wall"/>
      <sheetName val="Analy"/>
      <sheetName val="Assumptions"/>
      <sheetName val="#REF"/>
      <sheetName val="Sheet1"/>
      <sheetName val="Costing"/>
      <sheetName val="Linked Lead"/>
      <sheetName val="Column steel"/>
      <sheetName val="A"/>
      <sheetName val="Final Summary"/>
      <sheetName val="Parameters"/>
      <sheetName val="supply"/>
      <sheetName val="RA-markate"/>
      <sheetName val="water prop."/>
      <sheetName val="Load Details-220kV"/>
      <sheetName val="Sheet3 (2)"/>
      <sheetName val="4.2"/>
      <sheetName val="PLAN_FEB97"/>
      <sheetName val="cubes_M20"/>
      <sheetName val="Pay_Sep"/>
      <sheetName val="Assumption"/>
      <sheetName val="strand"/>
      <sheetName val="Title"/>
      <sheetName val="conc-foot-gradeslab"/>
      <sheetName val="gen"/>
      <sheetName val="Cost_any"/>
      <sheetName val="LAB"/>
      <sheetName val="Bill No 8 - A"/>
      <sheetName val="030625_GKC_Bluebook_(AC)"/>
      <sheetName val="Bill_No_8_-_A"/>
      <sheetName val="PRECAST_lightconc-II2"/>
      <sheetName val="③赤紙(日文)"/>
      <sheetName val="Material List "/>
      <sheetName val="HEAD"/>
      <sheetName val="Summary_US$1"/>
      <sheetName val="Summary_Local_$1"/>
      <sheetName val="Project_Budget_Worksheet1"/>
      <sheetName val="Quick_Reference_Guide1"/>
      <sheetName val="INPUT_SHEET"/>
      <sheetName val="Builtup_Area"/>
      <sheetName val="CFForecast_detail1"/>
      <sheetName val="Extra_Item"/>
      <sheetName val="Fill_this_out_first___"/>
      <sheetName val="DEPTH_CHART_(ORR)_L_S_"/>
      <sheetName val="TBAL9697_-group_wise__sdpl"/>
      <sheetName val="Material_"/>
      <sheetName val="Labour_&amp;_Plant"/>
      <sheetName val="Fin_Sum"/>
      <sheetName val="Basement_Budget"/>
      <sheetName val="IO_LIST"/>
      <sheetName val="schedule_nos"/>
      <sheetName val="Meas_-Hotel_Part"/>
      <sheetName val="Break_up_Sheet"/>
      <sheetName val="BASIS_-DEC_08"/>
      <sheetName val="Block_A_-_BOQ"/>
      <sheetName val="Rate_Analysis"/>
      <sheetName val="ABP_inputs"/>
      <sheetName val="Synergy_Sales_Budget"/>
      <sheetName val="Fin__Assumpt__-_Sensitivities"/>
      <sheetName val="07016,_Master_List-Major_Minor"/>
      <sheetName val="Discount_&amp;_Margin"/>
      <sheetName val="Basic_Rates"/>
      <sheetName val="WORK_TABLE"/>
      <sheetName val="3__Elemental_Summary1"/>
      <sheetName val="12a__CFTable1"/>
      <sheetName val="Cashflow_projection"/>
      <sheetName val="1-Internal_electrical"/>
      <sheetName val="Cost_Index"/>
      <sheetName val="Data_sheet"/>
      <sheetName val="X_rate"/>
      <sheetName val="Civil_Boq"/>
      <sheetName val="BOQ_Direct_selling_cost"/>
      <sheetName val="Site_Dev_BOQ"/>
      <sheetName val="RCC,Ret__Wall"/>
      <sheetName val="labour_coeff"/>
      <sheetName val="Column_steel"/>
      <sheetName val="Final_Summary"/>
      <sheetName val="water_prop_"/>
      <sheetName val="Load_Details-220kV"/>
      <sheetName val="Linked_Lead"/>
      <sheetName val="Sheet3_(2)"/>
      <sheetName val="4_2"/>
      <sheetName val="Budget"/>
      <sheetName val="DSLP"/>
      <sheetName val="Legal Risk Analysis"/>
      <sheetName val="電気設備表"/>
      <sheetName val="doq-10"/>
      <sheetName val="old boq"/>
      <sheetName val="Boq"/>
      <sheetName val="RECAPITULATION"/>
      <sheetName val="E150-4"/>
      <sheetName val="Cover sheet"/>
      <sheetName val="STAFFSCHED "/>
      <sheetName val="macros"/>
      <sheetName val="EAS"/>
      <sheetName val="calcul"/>
      <sheetName val="Wordsdata"/>
      <sheetName val="Set"/>
      <sheetName val="Formulas"/>
      <sheetName val="Names&amp;Cases"/>
      <sheetName val="Sheet2 (2)"/>
      <sheetName val="Back filling"/>
      <sheetName val="NT items summary"/>
      <sheetName val="TARGET"/>
      <sheetName val="BASELINE"/>
      <sheetName val="Main-Material"/>
      <sheetName val="F&amp;B"/>
      <sheetName val="Maint"/>
      <sheetName val="Kitchen"/>
      <sheetName val="Housek"/>
      <sheetName val="Mactan"/>
      <sheetName val="Mandaue"/>
      <sheetName val="Rollup"/>
      <sheetName val="Insight"/>
      <sheetName val="Controls"/>
      <sheetName val="Report"/>
      <sheetName val="Material&amp;equipment"/>
      <sheetName val="office"/>
      <sheetName val="MAR GENSRV"/>
      <sheetName val="Cover"/>
      <sheetName val="Benutzungshinweise"/>
      <sheetName val="Summary_US$2"/>
      <sheetName val="Summary_Local_$2"/>
      <sheetName val="Project_Budget_Worksheet2"/>
      <sheetName val="Quick_Reference_Guide2"/>
      <sheetName val="Legal_Risk_Analysis"/>
      <sheetName val="old_boq"/>
      <sheetName val="STAFFSCHED_"/>
      <sheetName val="Cover_sheet"/>
      <sheetName val="RCC-Rates"/>
      <sheetName val="Lead (Final)"/>
      <sheetName val="LC"/>
      <sheetName val="INDIGINEOUS ITEMS "/>
      <sheetName val="column(T) FD. to Gr."/>
      <sheetName val="column(T) Gr. to Upp. Gr."/>
      <sheetName val="Summary_US$4"/>
      <sheetName val="Summary_Local_$4"/>
      <sheetName val="Project_Budget_Worksheet4"/>
      <sheetName val="Quick_Reference_Guide4"/>
      <sheetName val="030625_GKC_Bluebook_(AC)2"/>
      <sheetName val="INPUT_SHEET2"/>
      <sheetName val="Builtup_Area2"/>
      <sheetName val="CFForecast_detail3"/>
      <sheetName val="Extra_Item2"/>
      <sheetName val="Fill_this_out_first___2"/>
      <sheetName val="DEPTH_CHART_(ORR)_L_S_2"/>
      <sheetName val="TBAL9697_-group_wise__sdpl2"/>
      <sheetName val="Material_2"/>
      <sheetName val="Labour_&amp;_Plant2"/>
      <sheetName val="Fin_Sum2"/>
      <sheetName val="Basement_Budget2"/>
      <sheetName val="IO_LIST2"/>
      <sheetName val="schedule_nos2"/>
      <sheetName val="Break_up_Sheet2"/>
      <sheetName val="Block_A_-_BOQ2"/>
      <sheetName val="BASIS_-DEC_082"/>
      <sheetName val="Rate_Analysis2"/>
      <sheetName val="ABP_inputs2"/>
      <sheetName val="Synergy_Sales_Budget2"/>
      <sheetName val="Fin__Assumpt__-_Sensitivities2"/>
      <sheetName val="Meas_-Hotel_Part2"/>
      <sheetName val="07016,_Master_List-Major_Minor2"/>
      <sheetName val="Discount_&amp;_Margin2"/>
      <sheetName val="Basic_Rates2"/>
      <sheetName val="WORK_TABLE2"/>
      <sheetName val="3__Elemental_Summary3"/>
      <sheetName val="12a__CFTable3"/>
      <sheetName val="Cashflow_projection2"/>
      <sheetName val="1-Internal_electrical2"/>
      <sheetName val="Cost_Index2"/>
      <sheetName val="Data_sheet2"/>
      <sheetName val="X_rate2"/>
      <sheetName val="BOQ_Direct_selling_cost2"/>
      <sheetName val="Civil_Boq2"/>
      <sheetName val="Site_Dev_BOQ2"/>
      <sheetName val="labour_coeff2"/>
      <sheetName val="RCC,Ret__Wall2"/>
      <sheetName val="Column_steel2"/>
      <sheetName val="Final_Summary2"/>
      <sheetName val="water_prop_2"/>
      <sheetName val="Load_Details-220kV2"/>
      <sheetName val="Sheet3_(2)2"/>
      <sheetName val="4_22"/>
      <sheetName val="Linked_Lead2"/>
      <sheetName val="Legal_Risk_Analysis2"/>
      <sheetName val="old_boq2"/>
      <sheetName val="STAFFSCHED_2"/>
      <sheetName val="Cover_sheet2"/>
      <sheetName val="Summary_US$3"/>
      <sheetName val="Summary_Local_$3"/>
      <sheetName val="Project_Budget_Worksheet3"/>
      <sheetName val="Quick_Reference_Guide3"/>
      <sheetName val="030625_GKC_Bluebook_(AC)1"/>
      <sheetName val="INPUT_SHEET1"/>
      <sheetName val="Builtup_Area1"/>
      <sheetName val="CFForecast_detail2"/>
      <sheetName val="Extra_Item1"/>
      <sheetName val="Fill_this_out_first___1"/>
      <sheetName val="DEPTH_CHART_(ORR)_L_S_1"/>
      <sheetName val="TBAL9697_-group_wise__sdpl1"/>
      <sheetName val="Material_1"/>
      <sheetName val="Labour_&amp;_Plant1"/>
      <sheetName val="Fin_Sum1"/>
      <sheetName val="Basement_Budget1"/>
      <sheetName val="IO_LIST1"/>
      <sheetName val="schedule_nos1"/>
      <sheetName val="Break_up_Sheet1"/>
      <sheetName val="Block_A_-_BOQ1"/>
      <sheetName val="BASIS_-DEC_081"/>
      <sheetName val="Rate_Analysis1"/>
      <sheetName val="ABP_inputs1"/>
      <sheetName val="Synergy_Sales_Budget1"/>
      <sheetName val="Fin__Assumpt__-_Sensitivities1"/>
      <sheetName val="Meas_-Hotel_Part1"/>
      <sheetName val="07016,_Master_List-Major_Minor1"/>
      <sheetName val="Discount_&amp;_Margin1"/>
      <sheetName val="Basic_Rates1"/>
      <sheetName val="WORK_TABLE1"/>
      <sheetName val="3__Elemental_Summary2"/>
      <sheetName val="12a__CFTable2"/>
      <sheetName val="Cashflow_projection1"/>
      <sheetName val="1-Internal_electrical1"/>
      <sheetName val="Cost_Index1"/>
      <sheetName val="Data_sheet1"/>
      <sheetName val="X_rate1"/>
      <sheetName val="BOQ_Direct_selling_cost1"/>
      <sheetName val="Civil_Boq1"/>
      <sheetName val="Site_Dev_BOQ1"/>
      <sheetName val="labour_coeff1"/>
      <sheetName val="RCC,Ret__Wall1"/>
      <sheetName val="Column_steel1"/>
      <sheetName val="Final_Summary1"/>
      <sheetName val="water_prop_1"/>
      <sheetName val="Load_Details-220kV1"/>
      <sheetName val="Sheet3_(2)1"/>
      <sheetName val="4_21"/>
      <sheetName val="Linked_Lead1"/>
      <sheetName val="Legal_Risk_Analysis1"/>
      <sheetName val="old_boq1"/>
      <sheetName val="STAFFSCHED_1"/>
      <sheetName val="Cover_sheet1"/>
      <sheetName val="Summary_US$5"/>
      <sheetName val="Summary_Local_$5"/>
      <sheetName val="Project_Budget_Worksheet5"/>
      <sheetName val="Quick_Reference_Guide5"/>
      <sheetName val="030625_GKC_Bluebook_(AC)3"/>
      <sheetName val="INPUT_SHEET3"/>
      <sheetName val="Builtup_Area3"/>
      <sheetName val="CFForecast_detail4"/>
      <sheetName val="Extra_Item3"/>
      <sheetName val="Fill_this_out_first___3"/>
      <sheetName val="DEPTH_CHART_(ORR)_L_S_3"/>
      <sheetName val="TBAL9697_-group_wise__sdpl3"/>
      <sheetName val="Material_3"/>
      <sheetName val="Labour_&amp;_Plant3"/>
      <sheetName val="Fin_Sum3"/>
      <sheetName val="Basement_Budget3"/>
      <sheetName val="IO_LIST3"/>
      <sheetName val="schedule_nos3"/>
      <sheetName val="Break_up_Sheet3"/>
      <sheetName val="Block_A_-_BOQ3"/>
      <sheetName val="BASIS_-DEC_083"/>
      <sheetName val="Rate_Analysis3"/>
      <sheetName val="ABP_inputs3"/>
      <sheetName val="Synergy_Sales_Budget3"/>
      <sheetName val="Fin__Assumpt__-_Sensitivities3"/>
      <sheetName val="Meas_-Hotel_Part3"/>
      <sheetName val="07016,_Master_List-Major_Minor3"/>
      <sheetName val="Discount_&amp;_Margin3"/>
      <sheetName val="Basic_Rates3"/>
      <sheetName val="WORK_TABLE3"/>
      <sheetName val="3__Elemental_Summary4"/>
      <sheetName val="12a__CFTable4"/>
      <sheetName val="Cashflow_projection3"/>
      <sheetName val="1-Internal_electrical3"/>
      <sheetName val="Cost_Index3"/>
      <sheetName val="Data_sheet3"/>
      <sheetName val="X_rate3"/>
      <sheetName val="BOQ_Direct_selling_cost3"/>
      <sheetName val="Civil_Boq3"/>
      <sheetName val="Site_Dev_BOQ3"/>
      <sheetName val="labour_coeff3"/>
      <sheetName val="RCC,Ret__Wall3"/>
      <sheetName val="Column_steel3"/>
      <sheetName val="Final_Summary3"/>
      <sheetName val="water_prop_3"/>
      <sheetName val="Load_Details-220kV3"/>
      <sheetName val="Sheet3_(2)3"/>
      <sheetName val="4_23"/>
      <sheetName val="Linked_Lead3"/>
      <sheetName val="Legal_Risk_Analysis3"/>
      <sheetName val="old_boq3"/>
      <sheetName val="STAFFSCHED_3"/>
      <sheetName val="Cover_sheet3"/>
      <sheetName val="Summary_US$6"/>
      <sheetName val="Summary_Local_$6"/>
      <sheetName val="Project_Budget_Worksheet6"/>
      <sheetName val="Quick_Reference_Guide6"/>
      <sheetName val="030625_GKC_Bluebook_(AC)4"/>
      <sheetName val="INPUT_SHEET4"/>
      <sheetName val="Builtup_Area4"/>
      <sheetName val="CFForecast_detail5"/>
      <sheetName val="Extra_Item4"/>
      <sheetName val="Fill_this_out_first___4"/>
      <sheetName val="DEPTH_CHART_(ORR)_L_S_4"/>
      <sheetName val="TBAL9697_-group_wise__sdpl4"/>
      <sheetName val="Material_4"/>
      <sheetName val="Labour_&amp;_Plant4"/>
      <sheetName val="Fin_Sum4"/>
      <sheetName val="Basement_Budget4"/>
      <sheetName val="IO_LIST4"/>
      <sheetName val="schedule_nos4"/>
      <sheetName val="Break_up_Sheet4"/>
      <sheetName val="Block_A_-_BOQ4"/>
      <sheetName val="BASIS_-DEC_084"/>
      <sheetName val="Rate_Analysis4"/>
      <sheetName val="ABP_inputs4"/>
      <sheetName val="Synergy_Sales_Budget4"/>
      <sheetName val="Fin__Assumpt__-_Sensitivities4"/>
      <sheetName val="Meas_-Hotel_Part4"/>
      <sheetName val="07016,_Master_List-Major_Minor4"/>
      <sheetName val="Discount_&amp;_Margin4"/>
      <sheetName val="Basic_Rates4"/>
      <sheetName val="WORK_TABLE4"/>
      <sheetName val="3__Elemental_Summary5"/>
      <sheetName val="12a__CFTable5"/>
      <sheetName val="Cashflow_projection4"/>
      <sheetName val="1-Internal_electrical4"/>
      <sheetName val="Cost_Index4"/>
      <sheetName val="Data_sheet4"/>
      <sheetName val="X_rate4"/>
      <sheetName val="BOQ_Direct_selling_cost4"/>
      <sheetName val="Civil_Boq4"/>
      <sheetName val="Site_Dev_BOQ4"/>
      <sheetName val="labour_coeff4"/>
      <sheetName val="RCC,Ret__Wall4"/>
      <sheetName val="Column_steel4"/>
      <sheetName val="Final_Summary4"/>
      <sheetName val="water_prop_4"/>
      <sheetName val="Load_Details-220kV4"/>
      <sheetName val="Sheet3_(2)4"/>
      <sheetName val="4_24"/>
      <sheetName val="Linked_Lead4"/>
      <sheetName val="Legal_Risk_Analysis4"/>
      <sheetName val="old_boq4"/>
      <sheetName val="STAFFSCHED_4"/>
      <sheetName val="Cover_sheet4"/>
      <sheetName val="Summary_US$7"/>
      <sheetName val="Summary_Local_$7"/>
      <sheetName val="Project_Budget_Worksheet7"/>
      <sheetName val="Quick_Reference_Guide7"/>
      <sheetName val="030625_GKC_Bluebook_(AC)5"/>
      <sheetName val="INPUT_SHEET5"/>
      <sheetName val="Builtup_Area5"/>
      <sheetName val="CFForecast_detail6"/>
      <sheetName val="Extra_Item5"/>
      <sheetName val="Fill_this_out_first___5"/>
      <sheetName val="DEPTH_CHART_(ORR)_L_S_5"/>
      <sheetName val="TBAL9697_-group_wise__sdpl5"/>
      <sheetName val="Material_5"/>
      <sheetName val="Labour_&amp;_Plant5"/>
      <sheetName val="Fin_Sum5"/>
      <sheetName val="Basement_Budget5"/>
      <sheetName val="IO_LIST5"/>
      <sheetName val="schedule_nos5"/>
      <sheetName val="Break_up_Sheet5"/>
      <sheetName val="Block_A_-_BOQ5"/>
      <sheetName val="BASIS_-DEC_085"/>
      <sheetName val="Rate_Analysis5"/>
      <sheetName val="ABP_inputs5"/>
      <sheetName val="Synergy_Sales_Budget5"/>
      <sheetName val="Fin__Assumpt__-_Sensitivities5"/>
      <sheetName val="Meas_-Hotel_Part5"/>
      <sheetName val="07016,_Master_List-Major_Minor5"/>
      <sheetName val="Discount_&amp;_Margin5"/>
      <sheetName val="Basic_Rates5"/>
      <sheetName val="WORK_TABLE5"/>
      <sheetName val="3__Elemental_Summary6"/>
      <sheetName val="12a__CFTable6"/>
      <sheetName val="Cashflow_projection5"/>
      <sheetName val="1-Internal_electrical5"/>
      <sheetName val="Cost_Index5"/>
      <sheetName val="Data_sheet5"/>
      <sheetName val="X_rate5"/>
      <sheetName val="BOQ_Direct_selling_cost5"/>
      <sheetName val="Civil_Boq5"/>
      <sheetName val="Site_Dev_BOQ5"/>
      <sheetName val="labour_coeff5"/>
      <sheetName val="RCC,Ret__Wall5"/>
      <sheetName val="Column_steel5"/>
      <sheetName val="Beam at Ground flr lvl(Steel)"/>
      <sheetName val="Common Data"/>
      <sheetName val=" "/>
      <sheetName val="site fab&amp;ernstr"/>
      <sheetName val="Final_Summary5"/>
      <sheetName val="water_prop_5"/>
      <sheetName val="Load_Details-220kV5"/>
      <sheetName val="Sheet3_(2)5"/>
      <sheetName val="4_25"/>
      <sheetName val="Linked_Lead5"/>
      <sheetName val="Legal_Risk_Analysis5"/>
      <sheetName val="old_boq5"/>
      <sheetName val="STAFFSCHED_5"/>
      <sheetName val="Cover_sheet5"/>
      <sheetName val="Summary_US$8"/>
      <sheetName val="Summary_Local_$8"/>
      <sheetName val="Project_Budget_Worksheet8"/>
      <sheetName val="Quick_Reference_Guide8"/>
      <sheetName val="030625_GKC_Bluebook_(AC)6"/>
      <sheetName val="INPUT_SHEET6"/>
      <sheetName val="Builtup_Area6"/>
      <sheetName val="CFForecast_detail7"/>
      <sheetName val="Extra_Item6"/>
      <sheetName val="Fill_this_out_first___6"/>
      <sheetName val="DEPTH_CHART_(ORR)_L_S_6"/>
      <sheetName val="TBAL9697_-group_wise__sdpl6"/>
      <sheetName val="Material_6"/>
      <sheetName val="Labour_&amp;_Plant6"/>
      <sheetName val="Fin_Sum6"/>
      <sheetName val="Basement_Budget6"/>
      <sheetName val="IO_LIST6"/>
      <sheetName val="schedule_nos6"/>
      <sheetName val="Break_up_Sheet6"/>
      <sheetName val="Block_A_-_BOQ6"/>
      <sheetName val="BASIS_-DEC_086"/>
      <sheetName val="Rate_Analysis6"/>
      <sheetName val="ABP_inputs6"/>
      <sheetName val="Synergy_Sales_Budget6"/>
      <sheetName val="Fin__Assumpt__-_Sensitivities6"/>
      <sheetName val="Meas_-Hotel_Part6"/>
      <sheetName val="07016,_Master_List-Major_Minor6"/>
      <sheetName val="Discount_&amp;_Margin6"/>
      <sheetName val="Basic_Rates6"/>
      <sheetName val="WORK_TABLE6"/>
      <sheetName val="3__Elemental_Summary7"/>
      <sheetName val="12a__CFTable7"/>
      <sheetName val="Cashflow_projection6"/>
      <sheetName val="1-Internal_electrical6"/>
      <sheetName val="Cost_Index6"/>
      <sheetName val="Data_sheet6"/>
      <sheetName val="X_rate6"/>
      <sheetName val="BOQ_Direct_selling_cost6"/>
      <sheetName val="Civil_Boq6"/>
      <sheetName val="Site_Dev_BOQ6"/>
      <sheetName val="labour_coeff6"/>
      <sheetName val="RCC,Ret__Wall6"/>
      <sheetName val="Column_steel6"/>
      <sheetName val="Final_Summary6"/>
      <sheetName val="water_prop_6"/>
      <sheetName val="Load_Details-220kV6"/>
      <sheetName val="Sheet3_(2)6"/>
      <sheetName val="4_26"/>
      <sheetName val="Linked_Lead6"/>
      <sheetName val="Legal_Risk_Analysis6"/>
      <sheetName val="old_boq6"/>
      <sheetName val="STAFFSCHED_6"/>
      <sheetName val="Cover_sheet6"/>
      <sheetName val="Summary_US$9"/>
      <sheetName val="Summary_Local_$9"/>
      <sheetName val="Project_Budget_Worksheet9"/>
      <sheetName val="Quick_Reference_Guide9"/>
      <sheetName val="030625_GKC_Bluebook_(AC)7"/>
      <sheetName val="INPUT_SHEET7"/>
      <sheetName val="Builtup_Area7"/>
      <sheetName val="CFForecast_detail8"/>
      <sheetName val="Extra_Item7"/>
      <sheetName val="Fill_this_out_first___7"/>
      <sheetName val="DEPTH_CHART_(ORR)_L_S_7"/>
      <sheetName val="TBAL9697_-group_wise__sdpl7"/>
      <sheetName val="Material_7"/>
      <sheetName val="Labour_&amp;_Plant7"/>
      <sheetName val="Fin_Sum7"/>
      <sheetName val="Basement_Budget7"/>
      <sheetName val="IO_LIST7"/>
      <sheetName val="schedule_nos7"/>
      <sheetName val="Break_up_Sheet7"/>
      <sheetName val="Block_A_-_BOQ7"/>
      <sheetName val="BASIS_-DEC_087"/>
      <sheetName val="Rate_Analysis7"/>
      <sheetName val="ABP_inputs7"/>
      <sheetName val="Synergy_Sales_Budget7"/>
      <sheetName val="Fin__Assumpt__-_Sensitivities7"/>
      <sheetName val="Meas_-Hotel_Part7"/>
      <sheetName val="07016,_Master_List-Major_Minor7"/>
      <sheetName val="Discount_&amp;_Margin7"/>
      <sheetName val="Basic_Rates7"/>
      <sheetName val="WORK_TABLE7"/>
      <sheetName val="3__Elemental_Summary8"/>
      <sheetName val="12a__CFTable8"/>
      <sheetName val="Cashflow_projection7"/>
      <sheetName val="1-Internal_electrical7"/>
      <sheetName val="Cost_Index7"/>
      <sheetName val="Data_sheet7"/>
      <sheetName val="X_rate7"/>
      <sheetName val="BOQ_Direct_selling_cost7"/>
      <sheetName val="Civil_Boq7"/>
      <sheetName val="Site_Dev_BOQ7"/>
      <sheetName val="labour_coeff7"/>
      <sheetName val="RCC,Ret__Wall7"/>
      <sheetName val="Column_steel7"/>
      <sheetName val="Final_Summary7"/>
      <sheetName val="water_prop_7"/>
      <sheetName val="Load_Details-220kV7"/>
      <sheetName val="Sheet3_(2)7"/>
      <sheetName val="4_27"/>
      <sheetName val="Linked_Lead7"/>
      <sheetName val="Legal_Risk_Analysis7"/>
      <sheetName val="old_boq7"/>
      <sheetName val="STAFFSCHED_7"/>
      <sheetName val="Cover_sheet7"/>
      <sheetName val="Summary_US$10"/>
      <sheetName val="Summary_Local_$10"/>
      <sheetName val="Project_Budget_Worksheet10"/>
      <sheetName val="Quick_Reference_Guide10"/>
      <sheetName val="030625_GKC_Bluebook_(AC)8"/>
      <sheetName val="INPUT_SHEET8"/>
      <sheetName val="Builtup_Area8"/>
      <sheetName val="CFForecast_detail9"/>
      <sheetName val="Extra_Item8"/>
      <sheetName val="Fill_this_out_first___8"/>
      <sheetName val="DEPTH_CHART_(ORR)_L_S_8"/>
      <sheetName val="TBAL9697_-group_wise__sdpl8"/>
      <sheetName val="Material_8"/>
      <sheetName val="Labour_&amp;_Plant8"/>
      <sheetName val="Fin_Sum8"/>
      <sheetName val="Basement_Budget8"/>
      <sheetName val="IO_LIST8"/>
      <sheetName val="schedule_nos8"/>
      <sheetName val="Break_up_Sheet8"/>
      <sheetName val="Block_A_-_BOQ8"/>
      <sheetName val="BASIS_-DEC_088"/>
      <sheetName val="Rate_Analysis8"/>
      <sheetName val="ABP_inputs8"/>
      <sheetName val="Synergy_Sales_Budget8"/>
      <sheetName val="Fin__Assumpt__-_Sensitivities8"/>
      <sheetName val="Meas_-Hotel_Part8"/>
      <sheetName val="07016,_Master_List-Major_Minor8"/>
      <sheetName val="Discount_&amp;_Margin8"/>
      <sheetName val="Basic_Rates8"/>
      <sheetName val="WORK_TABLE8"/>
      <sheetName val="3__Elemental_Summary9"/>
      <sheetName val="12a__CFTable9"/>
      <sheetName val="Cashflow_projection8"/>
      <sheetName val="1-Internal_electrical8"/>
      <sheetName val="Cost_Index8"/>
      <sheetName val="Data_sheet8"/>
      <sheetName val="X_rate8"/>
      <sheetName val="BOQ_Direct_selling_cost8"/>
      <sheetName val="Civil_Boq8"/>
      <sheetName val="Site_Dev_BOQ8"/>
      <sheetName val="labour_coeff8"/>
      <sheetName val="RCC,Ret__Wall8"/>
      <sheetName val="Column_steel8"/>
      <sheetName val="Final_Summary8"/>
      <sheetName val="water_prop_8"/>
      <sheetName val="Load_Details-220kV8"/>
      <sheetName val="Sheet3_(2)8"/>
      <sheetName val="4_28"/>
      <sheetName val="Linked_Lead8"/>
      <sheetName val="Legal_Risk_Analysis8"/>
      <sheetName val="old_boq8"/>
      <sheetName val="STAFFSCHED_8"/>
      <sheetName val="Cover_sheet8"/>
      <sheetName val="Summary_US$16"/>
      <sheetName val="Summary_Local_$16"/>
      <sheetName val="Project_Budget_Worksheet16"/>
      <sheetName val="Quick_Reference_Guide16"/>
      <sheetName val="030625_GKC_Bluebook_(AC)14"/>
      <sheetName val="INPUT_SHEET14"/>
      <sheetName val="Builtup_Area14"/>
      <sheetName val="CFForecast_detail15"/>
      <sheetName val="Extra_Item14"/>
      <sheetName val="Fill_this_out_first___14"/>
      <sheetName val="DEPTH_CHART_(ORR)_L_S_14"/>
      <sheetName val="TBAL9697_-group_wise__sdpl14"/>
      <sheetName val="Material_14"/>
      <sheetName val="Labour_&amp;_Plant14"/>
      <sheetName val="Fin_Sum14"/>
      <sheetName val="Basement_Budget14"/>
      <sheetName val="IO_LIST14"/>
      <sheetName val="schedule_nos14"/>
      <sheetName val="Break_up_Sheet14"/>
      <sheetName val="Block_A_-_BOQ14"/>
      <sheetName val="BASIS_-DEC_0814"/>
      <sheetName val="Rate_Analysis14"/>
      <sheetName val="ABP_inputs14"/>
      <sheetName val="Synergy_Sales_Budget14"/>
      <sheetName val="Fin__Assumpt__-_Sensitivities14"/>
      <sheetName val="Meas_-Hotel_Part14"/>
      <sheetName val="07016,_Master_List-Major_Mino14"/>
      <sheetName val="Discount_&amp;_Margin14"/>
      <sheetName val="Basic_Rates14"/>
      <sheetName val="WORK_TABLE14"/>
      <sheetName val="3__Elemental_Summary15"/>
      <sheetName val="12a__CFTable15"/>
      <sheetName val="Cashflow_projection14"/>
      <sheetName val="1-Internal_electrical14"/>
      <sheetName val="Cost_Index14"/>
      <sheetName val="Data_sheet14"/>
      <sheetName val="X_rate14"/>
      <sheetName val="BOQ_Direct_selling_cost14"/>
      <sheetName val="Civil_Boq14"/>
      <sheetName val="Site_Dev_BOQ14"/>
      <sheetName val="labour_coeff14"/>
      <sheetName val="RCC,Ret__Wall14"/>
      <sheetName val="Column_steel14"/>
      <sheetName val="Final_Summary14"/>
      <sheetName val="water_prop_14"/>
      <sheetName val="Load_Details-220kV14"/>
      <sheetName val="Sheet3_(2)14"/>
      <sheetName val="4_214"/>
      <sheetName val="Linked_Lead14"/>
      <sheetName val="Legal_Risk_Analysis14"/>
      <sheetName val="old_boq14"/>
      <sheetName val="STAFFSCHED_14"/>
      <sheetName val="Cover_sheet14"/>
      <sheetName val="Summary_US$12"/>
      <sheetName val="Summary_Local_$12"/>
      <sheetName val="Project_Budget_Worksheet12"/>
      <sheetName val="Quick_Reference_Guide12"/>
      <sheetName val="030625_GKC_Bluebook_(AC)10"/>
      <sheetName val="INPUT_SHEET10"/>
      <sheetName val="Builtup_Area10"/>
      <sheetName val="CFForecast_detail11"/>
      <sheetName val="Extra_Item10"/>
      <sheetName val="Fill_this_out_first___10"/>
      <sheetName val="DEPTH_CHART_(ORR)_L_S_10"/>
      <sheetName val="TBAL9697_-group_wise__sdpl10"/>
      <sheetName val="Material_10"/>
      <sheetName val="Labour_&amp;_Plant10"/>
      <sheetName val="Fin_Sum10"/>
      <sheetName val="Basement_Budget10"/>
      <sheetName val="IO_LIST10"/>
      <sheetName val="schedule_nos10"/>
      <sheetName val="Break_up_Sheet10"/>
      <sheetName val="Block_A_-_BOQ10"/>
      <sheetName val="BASIS_-DEC_0810"/>
      <sheetName val="Rate_Analysis10"/>
      <sheetName val="ABP_inputs10"/>
      <sheetName val="Synergy_Sales_Budget10"/>
      <sheetName val="Fin__Assumpt__-_Sensitivities10"/>
      <sheetName val="Meas_-Hotel_Part10"/>
      <sheetName val="07016,_Master_List-Major_Mino10"/>
      <sheetName val="Discount_&amp;_Margin10"/>
      <sheetName val="Basic_Rates10"/>
      <sheetName val="WORK_TABLE10"/>
      <sheetName val="3__Elemental_Summary11"/>
      <sheetName val="12a__CFTable11"/>
      <sheetName val="Cashflow_projection10"/>
      <sheetName val="1-Internal_electrical10"/>
      <sheetName val="Cost_Index10"/>
      <sheetName val="Data_sheet10"/>
      <sheetName val="X_rate10"/>
      <sheetName val="BOQ_Direct_selling_cost10"/>
      <sheetName val="Civil_Boq10"/>
      <sheetName val="Site_Dev_BOQ10"/>
      <sheetName val="labour_coeff10"/>
      <sheetName val="RCC,Ret__Wall10"/>
      <sheetName val="Column_steel10"/>
      <sheetName val="Final_Summary10"/>
      <sheetName val="water_prop_10"/>
      <sheetName val="Load_Details-220kV10"/>
      <sheetName val="Sheet3_(2)10"/>
      <sheetName val="4_210"/>
      <sheetName val="Linked_Lead10"/>
      <sheetName val="Legal_Risk_Analysis10"/>
      <sheetName val="old_boq10"/>
      <sheetName val="STAFFSCHED_10"/>
      <sheetName val="Cover_sheet10"/>
      <sheetName val="Summary_US$11"/>
      <sheetName val="Summary_Local_$11"/>
      <sheetName val="Project_Budget_Worksheet11"/>
      <sheetName val="Quick_Reference_Guide11"/>
      <sheetName val="030625_GKC_Bluebook_(AC)9"/>
      <sheetName val="INPUT_SHEET9"/>
      <sheetName val="Builtup_Area9"/>
      <sheetName val="CFForecast_detail10"/>
      <sheetName val="Extra_Item9"/>
      <sheetName val="Fill_this_out_first___9"/>
      <sheetName val="DEPTH_CHART_(ORR)_L_S_9"/>
      <sheetName val="TBAL9697_-group_wise__sdpl9"/>
      <sheetName val="Material_9"/>
      <sheetName val="Labour_&amp;_Plant9"/>
      <sheetName val="Fin_Sum9"/>
      <sheetName val="Basement_Budget9"/>
      <sheetName val="IO_LIST9"/>
      <sheetName val="schedule_nos9"/>
      <sheetName val="Break_up_Sheet9"/>
      <sheetName val="Block_A_-_BOQ9"/>
      <sheetName val="BASIS_-DEC_089"/>
      <sheetName val="Rate_Analysis9"/>
      <sheetName val="ABP_inputs9"/>
      <sheetName val="Synergy_Sales_Budget9"/>
      <sheetName val="Fin__Assumpt__-_Sensitivities9"/>
      <sheetName val="Meas_-Hotel_Part9"/>
      <sheetName val="07016,_Master_List-Major_Minor9"/>
      <sheetName val="Discount_&amp;_Margin9"/>
      <sheetName val="Basic_Rates9"/>
      <sheetName val="WORK_TABLE9"/>
      <sheetName val="3__Elemental_Summary10"/>
      <sheetName val="12a__CFTable10"/>
      <sheetName val="Cashflow_projection9"/>
      <sheetName val="1-Internal_electrical9"/>
      <sheetName val="Cost_Index9"/>
      <sheetName val="Data_sheet9"/>
      <sheetName val="X_rate9"/>
      <sheetName val="BOQ_Direct_selling_cost9"/>
      <sheetName val="Civil_Boq9"/>
      <sheetName val="Site_Dev_BOQ9"/>
      <sheetName val="labour_coeff9"/>
      <sheetName val="RCC,Ret__Wall9"/>
      <sheetName val="Column_steel9"/>
      <sheetName val="Final_Summary9"/>
      <sheetName val="water_prop_9"/>
      <sheetName val="Load_Details-220kV9"/>
      <sheetName val="Sheet3_(2)9"/>
      <sheetName val="4_29"/>
      <sheetName val="Linked_Lead9"/>
      <sheetName val="Legal_Risk_Analysis9"/>
      <sheetName val="old_boq9"/>
      <sheetName val="STAFFSCHED_9"/>
      <sheetName val="Cover_sheet9"/>
      <sheetName val="Summary_US$13"/>
      <sheetName val="Summary_Local_$13"/>
      <sheetName val="Project_Budget_Worksheet13"/>
      <sheetName val="Quick_Reference_Guide13"/>
      <sheetName val="030625_GKC_Bluebook_(AC)11"/>
      <sheetName val="INPUT_SHEET11"/>
      <sheetName val="Builtup_Area11"/>
      <sheetName val="CFForecast_detail12"/>
      <sheetName val="Extra_Item11"/>
      <sheetName val="Fill_this_out_first___11"/>
      <sheetName val="DEPTH_CHART_(ORR)_L_S_11"/>
      <sheetName val="TBAL9697_-group_wise__sdpl11"/>
      <sheetName val="Material_11"/>
      <sheetName val="Labour_&amp;_Plant11"/>
      <sheetName val="Fin_Sum11"/>
      <sheetName val="Basement_Budget11"/>
      <sheetName val="IO_LIST11"/>
      <sheetName val="schedule_nos11"/>
      <sheetName val="Break_up_Sheet11"/>
      <sheetName val="Block_A_-_BOQ11"/>
      <sheetName val="BASIS_-DEC_0811"/>
      <sheetName val="Rate_Analysis11"/>
      <sheetName val="ABP_inputs11"/>
      <sheetName val="Synergy_Sales_Budget11"/>
      <sheetName val="Fin__Assumpt__-_Sensitivities11"/>
      <sheetName val="Meas_-Hotel_Part11"/>
      <sheetName val="07016,_Master_List-Major_Mino11"/>
      <sheetName val="Discount_&amp;_Margin11"/>
      <sheetName val="Basic_Rates11"/>
      <sheetName val="WORK_TABLE11"/>
      <sheetName val="3__Elemental_Summary12"/>
      <sheetName val="12a__CFTable12"/>
      <sheetName val="Cashflow_projection11"/>
      <sheetName val="1-Internal_electrical11"/>
      <sheetName val="Cost_Index11"/>
      <sheetName val="Data_sheet11"/>
      <sheetName val="X_rate11"/>
      <sheetName val="BOQ_Direct_selling_cost11"/>
      <sheetName val="Civil_Boq11"/>
      <sheetName val="Site_Dev_BOQ11"/>
      <sheetName val="labour_coeff11"/>
      <sheetName val="RCC,Ret__Wall11"/>
      <sheetName val="Column_steel11"/>
      <sheetName val="Final_Summary11"/>
      <sheetName val="water_prop_11"/>
      <sheetName val="Load_Details-220kV11"/>
      <sheetName val="Sheet3_(2)11"/>
      <sheetName val="4_211"/>
      <sheetName val="Linked_Lead11"/>
      <sheetName val="Legal_Risk_Analysis11"/>
      <sheetName val="old_boq11"/>
      <sheetName val="STAFFSCHED_11"/>
      <sheetName val="Cover_sheet11"/>
      <sheetName val="Summary_US$14"/>
      <sheetName val="Summary_Local_$14"/>
      <sheetName val="Project_Budget_Worksheet14"/>
      <sheetName val="Quick_Reference_Guide14"/>
      <sheetName val="030625_GKC_Bluebook_(AC)12"/>
      <sheetName val="INPUT_SHEET12"/>
      <sheetName val="Builtup_Area12"/>
      <sheetName val="CFForecast_detail13"/>
      <sheetName val="Extra_Item12"/>
      <sheetName val="Fill_this_out_first___12"/>
      <sheetName val="DEPTH_CHART_(ORR)_L_S_12"/>
      <sheetName val="TBAL9697_-group_wise__sdpl12"/>
      <sheetName val="Material_12"/>
      <sheetName val="Labour_&amp;_Plant12"/>
      <sheetName val="Fin_Sum12"/>
      <sheetName val="Basement_Budget12"/>
      <sheetName val="IO_LIST12"/>
      <sheetName val="schedule_nos12"/>
      <sheetName val="Break_up_Sheet12"/>
      <sheetName val="Block_A_-_BOQ12"/>
      <sheetName val="BASIS_-DEC_0812"/>
      <sheetName val="Rate_Analysis12"/>
      <sheetName val="ABP_inputs12"/>
      <sheetName val="Synergy_Sales_Budget12"/>
      <sheetName val="Fin__Assumpt__-_Sensitivities12"/>
      <sheetName val="Meas_-Hotel_Part12"/>
      <sheetName val="07016,_Master_List-Major_Mino12"/>
      <sheetName val="Discount_&amp;_Margin12"/>
      <sheetName val="Basic_Rates12"/>
      <sheetName val="WORK_TABLE12"/>
      <sheetName val="3__Elemental_Summary13"/>
      <sheetName val="12a__CFTable13"/>
      <sheetName val="Cashflow_projection12"/>
      <sheetName val="1-Internal_electrical12"/>
      <sheetName val="Cost_Index12"/>
      <sheetName val="Data_sheet12"/>
      <sheetName val="X_rate12"/>
      <sheetName val="BOQ_Direct_selling_cost12"/>
      <sheetName val="Civil_Boq12"/>
      <sheetName val="Site_Dev_BOQ12"/>
      <sheetName val="labour_coeff12"/>
      <sheetName val="RCC,Ret__Wall12"/>
      <sheetName val="Column_steel12"/>
      <sheetName val="Final_Summary12"/>
      <sheetName val="water_prop_12"/>
      <sheetName val="Load_Details-220kV12"/>
      <sheetName val="Sheet3_(2)12"/>
      <sheetName val="4_212"/>
      <sheetName val="Linked_Lead12"/>
      <sheetName val="Legal_Risk_Analysis12"/>
      <sheetName val="old_boq12"/>
      <sheetName val="STAFFSCHED_12"/>
      <sheetName val="Cover_sheet12"/>
      <sheetName val="Summary_US$15"/>
      <sheetName val="Summary_Local_$15"/>
      <sheetName val="Project_Budget_Worksheet15"/>
      <sheetName val="Quick_Reference_Guide15"/>
      <sheetName val="030625_GKC_Bluebook_(AC)13"/>
      <sheetName val="INPUT_SHEET13"/>
      <sheetName val="Builtup_Area13"/>
      <sheetName val="CFForecast_detail14"/>
      <sheetName val="Extra_Item13"/>
      <sheetName val="Fill_this_out_first___13"/>
      <sheetName val="DEPTH_CHART_(ORR)_L_S_13"/>
      <sheetName val="TBAL9697_-group_wise__sdpl13"/>
      <sheetName val="Material_13"/>
      <sheetName val="Labour_&amp;_Plant13"/>
      <sheetName val="Fin_Sum13"/>
      <sheetName val="Basement_Budget13"/>
      <sheetName val="IO_LIST13"/>
      <sheetName val="schedule_nos13"/>
      <sheetName val="Break_up_Sheet13"/>
      <sheetName val="Block_A_-_BOQ13"/>
      <sheetName val="BASIS_-DEC_0813"/>
      <sheetName val="Rate_Analysis13"/>
      <sheetName val="ABP_inputs13"/>
      <sheetName val="Synergy_Sales_Budget13"/>
      <sheetName val="Fin__Assumpt__-_Sensitivities13"/>
      <sheetName val="Meas_-Hotel_Part13"/>
      <sheetName val="07016,_Master_List-Major_Mino13"/>
      <sheetName val="Discount_&amp;_Margin13"/>
      <sheetName val="Basic_Rates13"/>
      <sheetName val="WORK_TABLE13"/>
      <sheetName val="3__Elemental_Summary14"/>
      <sheetName val="12a__CFTable14"/>
      <sheetName val="Cashflow_projection13"/>
      <sheetName val="1-Internal_electrical13"/>
      <sheetName val="Cost_Index13"/>
      <sheetName val="Data_sheet13"/>
      <sheetName val="X_rate13"/>
      <sheetName val="BOQ_Direct_selling_cost13"/>
      <sheetName val="Civil_Boq13"/>
      <sheetName val="Site_Dev_BOQ13"/>
      <sheetName val="labour_coeff13"/>
      <sheetName val="RCC,Ret__Wall13"/>
      <sheetName val="Column_steel13"/>
      <sheetName val="Final_Summary13"/>
      <sheetName val="water_prop_13"/>
      <sheetName val="Load_Details-220kV13"/>
      <sheetName val="Sheet3_(2)13"/>
      <sheetName val="4_213"/>
      <sheetName val="Linked_Lead13"/>
      <sheetName val="Legal_Risk_Analysis13"/>
      <sheetName val="old_boq13"/>
      <sheetName val="STAFFSCHED_13"/>
      <sheetName val="Cover_sheet13"/>
      <sheetName val="Summary_US$22"/>
      <sheetName val="Summary_Local_$22"/>
      <sheetName val="Project_Budget_Worksheet22"/>
      <sheetName val="Quick_Reference_Guide22"/>
      <sheetName val="030625_GKC_Bluebook_(AC)20"/>
      <sheetName val="INPUT_SHEET20"/>
      <sheetName val="Builtup_Area20"/>
      <sheetName val="CFForecast_detail21"/>
      <sheetName val="Extra_Item20"/>
      <sheetName val="Fill_this_out_first___20"/>
      <sheetName val="DEPTH_CHART_(ORR)_L_S_20"/>
      <sheetName val="TBAL9697_-group_wise__sdpl20"/>
      <sheetName val="Material_20"/>
      <sheetName val="Labour_&amp;_Plant20"/>
      <sheetName val="Fin_Sum20"/>
      <sheetName val="Basement_Budget20"/>
      <sheetName val="IO_LIST20"/>
      <sheetName val="schedule_nos20"/>
      <sheetName val="Break_up_Sheet20"/>
      <sheetName val="Block_A_-_BOQ20"/>
      <sheetName val="BASIS_-DEC_0820"/>
      <sheetName val="Rate_Analysis20"/>
      <sheetName val="ABP_inputs20"/>
      <sheetName val="Synergy_Sales_Budget20"/>
      <sheetName val="Fin__Assumpt__-_Sensitivities20"/>
      <sheetName val="Meas_-Hotel_Part20"/>
      <sheetName val="07016,_Master_List-Major_Mino20"/>
      <sheetName val="Discount_&amp;_Margin20"/>
      <sheetName val="Basic_Rates20"/>
      <sheetName val="WORK_TABLE20"/>
      <sheetName val="3__Elemental_Summary21"/>
      <sheetName val="12a__CFTable21"/>
      <sheetName val="Cashflow_projection20"/>
      <sheetName val="1-Internal_electrical20"/>
      <sheetName val="Cost_Index20"/>
      <sheetName val="Data_sheet20"/>
      <sheetName val="X_rate20"/>
      <sheetName val="BOQ_Direct_selling_cost20"/>
      <sheetName val="Civil_Boq20"/>
      <sheetName val="Site_Dev_BOQ20"/>
      <sheetName val="labour_coeff20"/>
      <sheetName val="RCC,Ret__Wall20"/>
      <sheetName val="Column_steel20"/>
      <sheetName val="Final_Summary20"/>
      <sheetName val="water_prop_20"/>
      <sheetName val="Load_Details-220kV20"/>
      <sheetName val="Sheet3_(2)20"/>
      <sheetName val="4_220"/>
      <sheetName val="Linked_Lead20"/>
      <sheetName val="Legal_Risk_Analysis20"/>
      <sheetName val="old_boq20"/>
      <sheetName val="STAFFSCHED_20"/>
      <sheetName val="Cover_sheet20"/>
      <sheetName val="Summary_US$17"/>
      <sheetName val="Summary_Local_$17"/>
      <sheetName val="Project_Budget_Worksheet17"/>
      <sheetName val="Quick_Reference_Guide17"/>
      <sheetName val="030625_GKC_Bluebook_(AC)15"/>
      <sheetName val="INPUT_SHEET15"/>
      <sheetName val="Builtup_Area15"/>
      <sheetName val="CFForecast_detail16"/>
      <sheetName val="Extra_Item15"/>
      <sheetName val="Fill_this_out_first___15"/>
      <sheetName val="DEPTH_CHART_(ORR)_L_S_15"/>
      <sheetName val="TBAL9697_-group_wise__sdpl15"/>
      <sheetName val="Material_15"/>
      <sheetName val="Labour_&amp;_Plant15"/>
      <sheetName val="Fin_Sum15"/>
      <sheetName val="Basement_Budget15"/>
      <sheetName val="IO_LIST15"/>
      <sheetName val="schedule_nos15"/>
      <sheetName val="Break_up_Sheet15"/>
      <sheetName val="Block_A_-_BOQ15"/>
      <sheetName val="BASIS_-DEC_0815"/>
      <sheetName val="Rate_Analysis15"/>
      <sheetName val="ABP_inputs15"/>
      <sheetName val="Synergy_Sales_Budget15"/>
      <sheetName val="Fin__Assumpt__-_Sensitivities15"/>
      <sheetName val="Meas_-Hotel_Part15"/>
      <sheetName val="07016,_Master_List-Major_Mino15"/>
      <sheetName val="Discount_&amp;_Margin15"/>
      <sheetName val="Basic_Rates15"/>
      <sheetName val="WORK_TABLE15"/>
      <sheetName val="3__Elemental_Summary16"/>
      <sheetName val="12a__CFTable16"/>
      <sheetName val="Cashflow_projection15"/>
      <sheetName val="1-Internal_electrical15"/>
      <sheetName val="Cost_Index15"/>
      <sheetName val="Data_sheet15"/>
      <sheetName val="X_rate15"/>
      <sheetName val="BOQ_Direct_selling_cost15"/>
      <sheetName val="Civil_Boq15"/>
      <sheetName val="Site_Dev_BOQ15"/>
      <sheetName val="labour_coeff15"/>
      <sheetName val="RCC,Ret__Wall15"/>
      <sheetName val="Column_steel15"/>
      <sheetName val="Final_Summary15"/>
      <sheetName val="water_prop_15"/>
      <sheetName val="Load_Details-220kV15"/>
      <sheetName val="Sheet3_(2)15"/>
      <sheetName val="4_215"/>
      <sheetName val="Linked_Lead15"/>
      <sheetName val="Legal_Risk_Analysis15"/>
      <sheetName val="old_boq15"/>
      <sheetName val="STAFFSCHED_15"/>
      <sheetName val="Cover_sheet15"/>
      <sheetName val="Summary_US$18"/>
      <sheetName val="Summary_Local_$18"/>
      <sheetName val="Project_Budget_Worksheet18"/>
      <sheetName val="Quick_Reference_Guide18"/>
      <sheetName val="030625_GKC_Bluebook_(AC)16"/>
      <sheetName val="INPUT_SHEET16"/>
      <sheetName val="Builtup_Area16"/>
      <sheetName val="CFForecast_detail17"/>
      <sheetName val="Extra_Item16"/>
      <sheetName val="Fill_this_out_first___16"/>
      <sheetName val="DEPTH_CHART_(ORR)_L_S_16"/>
      <sheetName val="TBAL9697_-group_wise__sdpl16"/>
      <sheetName val="Material_16"/>
      <sheetName val="Labour_&amp;_Plant16"/>
      <sheetName val="Fin_Sum16"/>
      <sheetName val="Basement_Budget16"/>
      <sheetName val="IO_LIST16"/>
      <sheetName val="schedule_nos16"/>
      <sheetName val="Break_up_Sheet16"/>
      <sheetName val="Block_A_-_BOQ16"/>
      <sheetName val="BASIS_-DEC_0816"/>
      <sheetName val="Rate_Analysis16"/>
      <sheetName val="ABP_inputs16"/>
      <sheetName val="Synergy_Sales_Budget16"/>
      <sheetName val="Fin__Assumpt__-_Sensitivities16"/>
      <sheetName val="Meas_-Hotel_Part16"/>
      <sheetName val="07016,_Master_List-Major_Mino16"/>
      <sheetName val="Discount_&amp;_Margin16"/>
      <sheetName val="Basic_Rates16"/>
      <sheetName val="WORK_TABLE16"/>
      <sheetName val="3__Elemental_Summary17"/>
      <sheetName val="12a__CFTable17"/>
      <sheetName val="Cashflow_projection16"/>
      <sheetName val="1-Internal_electrical16"/>
      <sheetName val="Cost_Index16"/>
      <sheetName val="Data_sheet16"/>
      <sheetName val="X_rate16"/>
      <sheetName val="BOQ_Direct_selling_cost16"/>
      <sheetName val="Civil_Boq16"/>
      <sheetName val="Site_Dev_BOQ16"/>
      <sheetName val="labour_coeff16"/>
      <sheetName val="RCC,Ret__Wall16"/>
      <sheetName val="Column_steel16"/>
      <sheetName val="Final_Summary16"/>
      <sheetName val="water_prop_16"/>
      <sheetName val="Load_Details-220kV16"/>
      <sheetName val="Sheet3_(2)16"/>
      <sheetName val="4_216"/>
      <sheetName val="Linked_Lead16"/>
      <sheetName val="Legal_Risk_Analysis16"/>
      <sheetName val="old_boq16"/>
      <sheetName val="STAFFSCHED_16"/>
      <sheetName val="Cover_sheet16"/>
      <sheetName val="Summary_US$19"/>
      <sheetName val="Summary_Local_$19"/>
      <sheetName val="Project_Budget_Worksheet19"/>
      <sheetName val="Quick_Reference_Guide19"/>
      <sheetName val="030625_GKC_Bluebook_(AC)17"/>
      <sheetName val="INPUT_SHEET17"/>
      <sheetName val="Builtup_Area17"/>
      <sheetName val="CFForecast_detail18"/>
      <sheetName val="Extra_Item17"/>
      <sheetName val="Fill_this_out_first___17"/>
      <sheetName val="DEPTH_CHART_(ORR)_L_S_17"/>
      <sheetName val="TBAL9697_-group_wise__sdpl17"/>
      <sheetName val="Material_17"/>
      <sheetName val="Labour_&amp;_Plant17"/>
      <sheetName val="Fin_Sum17"/>
      <sheetName val="Basement_Budget17"/>
      <sheetName val="IO_LIST17"/>
      <sheetName val="schedule_nos17"/>
      <sheetName val="Break_up_Sheet17"/>
      <sheetName val="Block_A_-_BOQ17"/>
      <sheetName val="BASIS_-DEC_0817"/>
      <sheetName val="Rate_Analysis17"/>
      <sheetName val="ABP_inputs17"/>
      <sheetName val="Synergy_Sales_Budget17"/>
      <sheetName val="Fin__Assumpt__-_Sensitivities17"/>
      <sheetName val="Meas_-Hotel_Part17"/>
      <sheetName val="07016,_Master_List-Major_Mino17"/>
      <sheetName val="Discount_&amp;_Margin17"/>
      <sheetName val="Basic_Rates17"/>
      <sheetName val="WORK_TABLE17"/>
      <sheetName val="3__Elemental_Summary18"/>
      <sheetName val="12a__CFTable18"/>
      <sheetName val="Cashflow_projection17"/>
      <sheetName val="1-Internal_electrical17"/>
      <sheetName val="Cost_Index17"/>
      <sheetName val="Data_sheet17"/>
      <sheetName val="X_rate17"/>
      <sheetName val="BOQ_Direct_selling_cost17"/>
      <sheetName val="Civil_Boq17"/>
      <sheetName val="Site_Dev_BOQ17"/>
      <sheetName val="labour_coeff17"/>
      <sheetName val="RCC,Ret__Wall17"/>
      <sheetName val="Column_steel17"/>
      <sheetName val="Final_Summary17"/>
      <sheetName val="water_prop_17"/>
      <sheetName val="Load_Details-220kV17"/>
      <sheetName val="Sheet3_(2)17"/>
      <sheetName val="4_217"/>
      <sheetName val="Linked_Lead17"/>
      <sheetName val="Legal_Risk_Analysis17"/>
      <sheetName val="old_boq17"/>
      <sheetName val="STAFFSCHED_17"/>
      <sheetName val="Cover_sheet17"/>
      <sheetName val="Summary_US$20"/>
      <sheetName val="Summary_Local_$20"/>
      <sheetName val="Project_Budget_Worksheet20"/>
      <sheetName val="Quick_Reference_Guide20"/>
      <sheetName val="030625_GKC_Bluebook_(AC)18"/>
      <sheetName val="INPUT_SHEET18"/>
      <sheetName val="Builtup_Area18"/>
      <sheetName val="CFForecast_detail19"/>
      <sheetName val="Extra_Item18"/>
      <sheetName val="Fill_this_out_first___18"/>
      <sheetName val="DEPTH_CHART_(ORR)_L_S_18"/>
      <sheetName val="TBAL9697_-group_wise__sdpl18"/>
      <sheetName val="Material_18"/>
      <sheetName val="Labour_&amp;_Plant18"/>
      <sheetName val="Fin_Sum18"/>
      <sheetName val="Basement_Budget18"/>
      <sheetName val="IO_LIST18"/>
      <sheetName val="schedule_nos18"/>
      <sheetName val="Break_up_Sheet18"/>
      <sheetName val="Block_A_-_BOQ18"/>
      <sheetName val="BASIS_-DEC_0818"/>
      <sheetName val="Rate_Analysis18"/>
      <sheetName val="ABP_inputs18"/>
      <sheetName val="Synergy_Sales_Budget18"/>
      <sheetName val="Fin__Assumpt__-_Sensitivities18"/>
      <sheetName val="Meas_-Hotel_Part18"/>
      <sheetName val="07016,_Master_List-Major_Mino18"/>
      <sheetName val="Discount_&amp;_Margin18"/>
      <sheetName val="Basic_Rates18"/>
      <sheetName val="WORK_TABLE18"/>
      <sheetName val="3__Elemental_Summary19"/>
      <sheetName val="12a__CFTable19"/>
      <sheetName val="Cashflow_projection18"/>
      <sheetName val="1-Internal_electrical18"/>
      <sheetName val="Cost_Index18"/>
      <sheetName val="Data_sheet18"/>
      <sheetName val="X_rate18"/>
      <sheetName val="BOQ_Direct_selling_cost18"/>
      <sheetName val="Civil_Boq18"/>
      <sheetName val="Site_Dev_BOQ18"/>
      <sheetName val="labour_coeff18"/>
      <sheetName val="RCC,Ret__Wall18"/>
      <sheetName val="Column_steel18"/>
      <sheetName val="Final_Summary18"/>
      <sheetName val="water_prop_18"/>
      <sheetName val="Load_Details-220kV18"/>
      <sheetName val="Sheet3_(2)18"/>
      <sheetName val="4_218"/>
      <sheetName val="Linked_Lead18"/>
      <sheetName val="Legal_Risk_Analysis18"/>
      <sheetName val="old_boq18"/>
      <sheetName val="STAFFSCHED_18"/>
      <sheetName val="Cover_sheet18"/>
      <sheetName val="Summary_US$21"/>
      <sheetName val="Summary_Local_$21"/>
      <sheetName val="Project_Budget_Worksheet21"/>
      <sheetName val="Quick_Reference_Guide21"/>
      <sheetName val="030625_GKC_Bluebook_(AC)19"/>
      <sheetName val="INPUT_SHEET19"/>
      <sheetName val="Builtup_Area19"/>
      <sheetName val="CFForecast_detail20"/>
      <sheetName val="Extra_Item19"/>
      <sheetName val="Fill_this_out_first___19"/>
      <sheetName val="DEPTH_CHART_(ORR)_L_S_19"/>
      <sheetName val="TBAL9697_-group_wise__sdpl19"/>
      <sheetName val="Material_19"/>
      <sheetName val="Labour_&amp;_Plant19"/>
      <sheetName val="Fin_Sum19"/>
      <sheetName val="Basement_Budget19"/>
      <sheetName val="IO_LIST19"/>
      <sheetName val="schedule_nos19"/>
      <sheetName val="Break_up_Sheet19"/>
      <sheetName val="Block_A_-_BOQ19"/>
      <sheetName val="BASIS_-DEC_0819"/>
      <sheetName val="Rate_Analysis19"/>
      <sheetName val="ABP_inputs19"/>
      <sheetName val="Synergy_Sales_Budget19"/>
      <sheetName val="Fin__Assumpt__-_Sensitivities19"/>
      <sheetName val="Meas_-Hotel_Part19"/>
      <sheetName val="07016,_Master_List-Major_Mino19"/>
      <sheetName val="Discount_&amp;_Margin19"/>
      <sheetName val="Basic_Rates19"/>
      <sheetName val="WORK_TABLE19"/>
      <sheetName val="3__Elemental_Summary20"/>
      <sheetName val="12a__CFTable20"/>
      <sheetName val="Cashflow_projection19"/>
      <sheetName val="1-Internal_electrical19"/>
      <sheetName val="Cost_Index19"/>
      <sheetName val="Data_sheet19"/>
      <sheetName val="X_rate19"/>
      <sheetName val="BOQ_Direct_selling_cost19"/>
      <sheetName val="Civil_Boq19"/>
      <sheetName val="Site_Dev_BOQ19"/>
      <sheetName val="labour_coeff19"/>
      <sheetName val="RCC,Ret__Wall19"/>
      <sheetName val="Column_steel19"/>
      <sheetName val="Final_Summary19"/>
      <sheetName val="water_prop_19"/>
      <sheetName val="Load_Details-220kV19"/>
      <sheetName val="Sheet3_(2)19"/>
      <sheetName val="4_219"/>
      <sheetName val="Linked_Lead19"/>
      <sheetName val="Legal_Risk_Analysis19"/>
      <sheetName val="old_boq19"/>
      <sheetName val="STAFFSCHED_19"/>
      <sheetName val="Cover_sheet19"/>
      <sheetName val="Summary_US$23"/>
      <sheetName val="Summary_Local_$23"/>
      <sheetName val="Project_Budget_Worksheet23"/>
      <sheetName val="Quick_Reference_Guide23"/>
      <sheetName val="030625_GKC_Bluebook_(AC)21"/>
      <sheetName val="INPUT_SHEET21"/>
      <sheetName val="Builtup_Area21"/>
      <sheetName val="CFForecast_detail22"/>
      <sheetName val="Extra_Item21"/>
      <sheetName val="Fill_this_out_first___21"/>
      <sheetName val="DEPTH_CHART_(ORR)_L_S_21"/>
      <sheetName val="TBAL9697_-group_wise__sdpl21"/>
      <sheetName val="Material_21"/>
      <sheetName val="Labour_&amp;_Plant21"/>
      <sheetName val="Fin_Sum21"/>
      <sheetName val="Basement_Budget21"/>
      <sheetName val="IO_LIST21"/>
      <sheetName val="schedule_nos21"/>
      <sheetName val="Break_up_Sheet21"/>
      <sheetName val="Block_A_-_BOQ21"/>
      <sheetName val="BASIS_-DEC_0821"/>
      <sheetName val="Rate_Analysis21"/>
      <sheetName val="ABP_inputs21"/>
      <sheetName val="Synergy_Sales_Budget21"/>
      <sheetName val="Fin__Assumpt__-_Sensitivities21"/>
      <sheetName val="Meas_-Hotel_Part21"/>
      <sheetName val="07016,_Master_List-Major_Mino21"/>
      <sheetName val="Discount_&amp;_Margin21"/>
      <sheetName val="Basic_Rates21"/>
      <sheetName val="WORK_TABLE21"/>
      <sheetName val="3__Elemental_Summary22"/>
      <sheetName val="12a__CFTable22"/>
      <sheetName val="Cashflow_projection21"/>
      <sheetName val="1-Internal_electrical21"/>
      <sheetName val="Cost_Index21"/>
      <sheetName val="Data_sheet21"/>
      <sheetName val="X_rate21"/>
      <sheetName val="BOQ_Direct_selling_cost21"/>
      <sheetName val="Civil_Boq21"/>
      <sheetName val="Site_Dev_BOQ21"/>
      <sheetName val="labour_coeff21"/>
      <sheetName val="RCC,Ret__Wall21"/>
      <sheetName val="Column_steel21"/>
      <sheetName val="Final_Summary21"/>
      <sheetName val="water_prop_21"/>
      <sheetName val="Load_Details-220kV21"/>
      <sheetName val="Sheet3_(2)21"/>
      <sheetName val="4_221"/>
      <sheetName val="Linked_Lead21"/>
      <sheetName val="Legal_Risk_Analysis21"/>
      <sheetName val="old_boq21"/>
      <sheetName val="STAFFSCHED_21"/>
      <sheetName val="Cover_sheet21"/>
      <sheetName val="Summary_US$24"/>
      <sheetName val="Summary_Local_$24"/>
      <sheetName val="Project_Budget_Worksheet24"/>
      <sheetName val="Quick_Reference_Guide24"/>
      <sheetName val="030625_GKC_Bluebook_(AC)22"/>
      <sheetName val="INPUT_SHEET22"/>
      <sheetName val="Builtup_Area22"/>
      <sheetName val="CFForecast_detail23"/>
      <sheetName val="Extra_Item22"/>
      <sheetName val="Fill_this_out_first___22"/>
      <sheetName val="DEPTH_CHART_(ORR)_L_S_22"/>
      <sheetName val="TBAL9697_-group_wise__sdpl22"/>
      <sheetName val="Material_22"/>
      <sheetName val="Labour_&amp;_Plant22"/>
      <sheetName val="Fin_Sum22"/>
      <sheetName val="Basement_Budget22"/>
      <sheetName val="IO_LIST22"/>
      <sheetName val="schedule_nos22"/>
      <sheetName val="Break_up_Sheet22"/>
      <sheetName val="Block_A_-_BOQ22"/>
      <sheetName val="BASIS_-DEC_0822"/>
      <sheetName val="Rate_Analysis22"/>
      <sheetName val="ABP_inputs22"/>
      <sheetName val="Synergy_Sales_Budget22"/>
      <sheetName val="Fin__Assumpt__-_Sensitivities22"/>
      <sheetName val="Meas_-Hotel_Part22"/>
      <sheetName val="07016,_Master_List-Major_Mino22"/>
      <sheetName val="Discount_&amp;_Margin22"/>
      <sheetName val="Basic_Rates22"/>
      <sheetName val="WORK_TABLE22"/>
      <sheetName val="3__Elemental_Summary23"/>
      <sheetName val="12a__CFTable23"/>
      <sheetName val="Cashflow_projection22"/>
      <sheetName val="1-Internal_electrical22"/>
      <sheetName val="Cost_Index22"/>
      <sheetName val="Data_sheet22"/>
      <sheetName val="X_rate22"/>
      <sheetName val="BOQ_Direct_selling_cost22"/>
      <sheetName val="Civil_Boq22"/>
      <sheetName val="Site_Dev_BOQ22"/>
      <sheetName val="labour_coeff22"/>
      <sheetName val="RCC,Ret__Wall22"/>
      <sheetName val="Column_steel22"/>
      <sheetName val="Final_Summary22"/>
      <sheetName val="water_prop_22"/>
      <sheetName val="Load_Details-220kV22"/>
      <sheetName val="Sheet3_(2)22"/>
      <sheetName val="4_222"/>
      <sheetName val="Linked_Lead22"/>
      <sheetName val="Legal_Risk_Analysis22"/>
      <sheetName val="old_boq22"/>
      <sheetName val="STAFFSCHED_22"/>
      <sheetName val="Cover_sheet22"/>
      <sheetName val="Summary_US$25"/>
      <sheetName val="Summary_Local_$25"/>
      <sheetName val="Project_Budget_Worksheet25"/>
      <sheetName val="Quick_Reference_Guide25"/>
      <sheetName val="030625_GKC_Bluebook_(AC)23"/>
      <sheetName val="INPUT_SHEET23"/>
      <sheetName val="Builtup_Area23"/>
      <sheetName val="CFForecast_detail24"/>
      <sheetName val="Extra_Item23"/>
      <sheetName val="Fill_this_out_first___23"/>
      <sheetName val="DEPTH_CHART_(ORR)_L_S_23"/>
      <sheetName val="TBAL9697_-group_wise__sdpl23"/>
      <sheetName val="Material_23"/>
      <sheetName val="Labour_&amp;_Plant23"/>
      <sheetName val="Fin_Sum23"/>
      <sheetName val="Basement_Budget23"/>
      <sheetName val="IO_LIST23"/>
      <sheetName val="schedule_nos23"/>
      <sheetName val="Break_up_Sheet23"/>
      <sheetName val="Block_A_-_BOQ23"/>
      <sheetName val="BASIS_-DEC_0823"/>
      <sheetName val="Rate_Analysis23"/>
      <sheetName val="ABP_inputs23"/>
      <sheetName val="Synergy_Sales_Budget23"/>
      <sheetName val="Fin__Assumpt__-_Sensitivities23"/>
      <sheetName val="Meas_-Hotel_Part23"/>
      <sheetName val="07016,_Master_List-Major_Mino23"/>
      <sheetName val="Discount_&amp;_Margin23"/>
      <sheetName val="Basic_Rates23"/>
      <sheetName val="WORK_TABLE23"/>
      <sheetName val="3__Elemental_Summary24"/>
      <sheetName val="12a__CFTable24"/>
      <sheetName val="Cashflow_projection23"/>
      <sheetName val="1-Internal_electrical23"/>
      <sheetName val="Cost_Index23"/>
      <sheetName val="Data_sheet23"/>
      <sheetName val="X_rate23"/>
      <sheetName val="BOQ_Direct_selling_cost23"/>
      <sheetName val="Civil_Boq23"/>
      <sheetName val="Site_Dev_BOQ23"/>
      <sheetName val="labour_coeff23"/>
      <sheetName val="RCC,Ret__Wall23"/>
      <sheetName val="Column_steel23"/>
      <sheetName val="Final_Summary23"/>
      <sheetName val="water_prop_23"/>
      <sheetName val="Load_Details-220kV23"/>
      <sheetName val="Sheet3_(2)23"/>
      <sheetName val="4_223"/>
      <sheetName val="Linked_Lead23"/>
      <sheetName val="Legal_Risk_Analysis23"/>
      <sheetName val="old_boq23"/>
      <sheetName val="STAFFSCHED_23"/>
      <sheetName val="Cover_sheet23"/>
      <sheetName val="Summary_US$26"/>
      <sheetName val="Summary_Local_$26"/>
      <sheetName val="Project_Budget_Worksheet26"/>
      <sheetName val="Quick_Reference_Guide26"/>
      <sheetName val="030625_GKC_Bluebook_(AC)24"/>
      <sheetName val="INPUT_SHEET24"/>
      <sheetName val="Builtup_Area24"/>
      <sheetName val="CFForecast_detail25"/>
      <sheetName val="Extra_Item24"/>
      <sheetName val="Fill_this_out_first___24"/>
      <sheetName val="DEPTH_CHART_(ORR)_L_S_24"/>
      <sheetName val="TBAL9697_-group_wise__sdpl24"/>
      <sheetName val="Material_24"/>
      <sheetName val="Labour_&amp;_Plant24"/>
      <sheetName val="Fin_Sum24"/>
      <sheetName val="Basement_Budget24"/>
      <sheetName val="IO_LIST24"/>
      <sheetName val="schedule_nos24"/>
      <sheetName val="Break_up_Sheet24"/>
      <sheetName val="Block_A_-_BOQ24"/>
      <sheetName val="BASIS_-DEC_0824"/>
      <sheetName val="Rate_Analysis24"/>
      <sheetName val="ABP_inputs24"/>
      <sheetName val="Synergy_Sales_Budget24"/>
      <sheetName val="Fin__Assumpt__-_Sensitivities24"/>
      <sheetName val="Meas_-Hotel_Part24"/>
      <sheetName val="07016,_Master_List-Major_Mino24"/>
      <sheetName val="Discount_&amp;_Margin24"/>
      <sheetName val="Basic_Rates24"/>
      <sheetName val="WORK_TABLE24"/>
      <sheetName val="3__Elemental_Summary25"/>
      <sheetName val="12a__CFTable25"/>
      <sheetName val="Cashflow_projection24"/>
      <sheetName val="1-Internal_electrical24"/>
      <sheetName val="Cost_Index24"/>
      <sheetName val="Data_sheet24"/>
      <sheetName val="X_rate24"/>
      <sheetName val="BOQ_Direct_selling_cost24"/>
      <sheetName val="Civil_Boq24"/>
      <sheetName val="Site_Dev_BOQ24"/>
      <sheetName val="labour_coeff24"/>
      <sheetName val="RCC,Ret__Wall24"/>
      <sheetName val="Column_steel24"/>
      <sheetName val="Final_Summary24"/>
      <sheetName val="water_prop_24"/>
      <sheetName val="Load_Details-220kV24"/>
      <sheetName val="Sheet3_(2)24"/>
      <sheetName val="4_224"/>
      <sheetName val="Linked_Lead24"/>
      <sheetName val="Legal_Risk_Analysis24"/>
      <sheetName val="old_boq24"/>
      <sheetName val="STAFFSCHED_24"/>
      <sheetName val="Cover_sheet24"/>
      <sheetName val="Approved MTD Proj #'s"/>
      <sheetName val="Financials"/>
      <sheetName val="PCC"/>
      <sheetName val="PRECAST lightconc-II"/>
      <sheetName val="Balustrade"/>
      <sheetName val="VCH-SLC"/>
      <sheetName val="Supplier"/>
      <sheetName val="Labor abs-NMR"/>
      <sheetName val="Plant &amp;  Machinery"/>
      <sheetName val="Field Values"/>
      <sheetName val="Control"/>
      <sheetName val="Sheet 1"/>
      <sheetName val="Labour productivity"/>
      <sheetName val="item"/>
      <sheetName val="Labour"/>
      <sheetName val="Pur"/>
      <sheetName val="Bills of Quantities"/>
      <sheetName val="STEEL STRUCTURE"/>
      <sheetName val="MATERIALS_masterlist"/>
      <sheetName val="sumary"/>
      <sheetName val="piping"/>
      <sheetName val="girder"/>
      <sheetName val="Input"/>
      <sheetName val="Break_Up"/>
      <sheetName val="RESULT"/>
      <sheetName val="Bldg"/>
      <sheetName val="except wiring"/>
      <sheetName val="switch"/>
      <sheetName val="SITE OVERHEADS"/>
      <sheetName val="SINTER PLANT BEAM &amp; COLUMN "/>
      <sheetName val="EST-CIVIL"/>
      <sheetName val="datas"/>
      <sheetName val="030625_GKC%20Bluebook%20(AC)"/>
      <sheetName val="Summary_US$27"/>
      <sheetName val="Summary_Local_$27"/>
      <sheetName val="Project_Budget_Worksheet27"/>
      <sheetName val="Quick_Reference_Guide27"/>
      <sheetName val="030625_GKC_Bluebook_(AC)25"/>
      <sheetName val="INPUT_SHEET25"/>
      <sheetName val="IO_LIST25"/>
      <sheetName val="Builtup_Area25"/>
      <sheetName val="CFForecast_detail26"/>
      <sheetName val="Extra_Item25"/>
      <sheetName val="Fill_this_out_first___25"/>
      <sheetName val="DEPTH_CHART_(ORR)_L_S_25"/>
      <sheetName val="TBAL9697_-group_wise__sdpl25"/>
      <sheetName val="Material_25"/>
      <sheetName val="Labour_&amp;_Plant25"/>
      <sheetName val="Fin_Sum25"/>
      <sheetName val="Basement_Budget25"/>
      <sheetName val="schedule_nos25"/>
      <sheetName val="Break_up_Sheet25"/>
      <sheetName val="Block_A_-_BOQ25"/>
      <sheetName val="BASIS_-DEC_0825"/>
      <sheetName val="Rate_Analysis25"/>
      <sheetName val="ABP_inputs25"/>
      <sheetName val="Synergy_Sales_Budget25"/>
      <sheetName val="Fin__Assumpt__-_Sensitivities25"/>
      <sheetName val="Meas_-Hotel_Part25"/>
      <sheetName val="07016,_Master_List-Major_Mino25"/>
      <sheetName val="Discount_&amp;_Margin25"/>
      <sheetName val="Basic_Rates25"/>
      <sheetName val="WORK_TABLE25"/>
      <sheetName val="Data_sheet25"/>
      <sheetName val="Cashflow_projection25"/>
      <sheetName val="3__Elemental_Summary26"/>
      <sheetName val="12a__CFTable26"/>
      <sheetName val="1-Internal_electrical25"/>
      <sheetName val="Cost_Index25"/>
      <sheetName val="X_rate25"/>
      <sheetName val="Civil_Boq25"/>
      <sheetName val="Site_Dev_BOQ25"/>
      <sheetName val="BOQ_Direct_selling_cost25"/>
      <sheetName val="labour_coeff25"/>
      <sheetName val="Legal_Risk_Analysis25"/>
      <sheetName val="RCC,Ret__Wall25"/>
      <sheetName val="Column_steel25"/>
      <sheetName val="Linked_Lead25"/>
      <sheetName val="Final_Summary25"/>
      <sheetName val="water_prop_25"/>
      <sheetName val="Load_Details-220kV25"/>
      <sheetName val="Sheet3_(2)25"/>
      <sheetName val="4_225"/>
      <sheetName val="STAFFSCHED_25"/>
      <sheetName val="Sheet2_(2)"/>
      <sheetName val="Cover_sheet25"/>
      <sheetName val="old_boq25"/>
      <sheetName val="INDIGINEOUS_ITEMS_"/>
      <sheetName val="column(T)_FD__to_Gr_"/>
      <sheetName val="column(T)_Gr__to_Upp__Gr_"/>
      <sheetName val="Bill_No_8_-_A1"/>
      <sheetName val="Beam_at_Ground_flr_lvl(Steel)"/>
      <sheetName val="MAR_GENSRV"/>
      <sheetName val="site_fab&amp;ernstr"/>
      <sheetName val="Material_List_"/>
      <sheetName val="Back_filling"/>
      <sheetName val="NT_items_summary"/>
      <sheetName val="Lead_(Final)"/>
      <sheetName val="_"/>
      <sheetName val="Sheet_1"/>
      <sheetName val="Plant_&amp;__Machinery"/>
      <sheetName val="Approved_MTD_Proj_#'s"/>
      <sheetName val="Bills_of_Quantities"/>
      <sheetName val="STEEL_STRUCTURE"/>
      <sheetName val="Common_Data"/>
      <sheetName val="Labour_productivity"/>
      <sheetName val="Labor_abs-NMR"/>
      <sheetName val="except_wiring"/>
      <sheetName val="SITE_OVERHEADS"/>
      <sheetName val="SINTER_PLANT_BEAM_&amp;_COLUMN_"/>
      <sheetName val="Clause 9"/>
      <sheetName val="Unit Weight"/>
      <sheetName val="MDA"/>
      <sheetName val="PRECAST_lightconc-II"/>
      <sheetName val="concrete"/>
      <sheetName val="DETAILED  BOQ"/>
      <sheetName val="B"/>
      <sheetName val="horizontal"/>
      <sheetName val="APPENDIX 4.1a"/>
      <sheetName val="2.EV"/>
      <sheetName val="Webcity 2- LAS  Apr'16"/>
      <sheetName val="Cash Flow Working"/>
      <sheetName val="Sqn_Abs"/>
      <sheetName val="Cost summary"/>
      <sheetName val="BASIC MATERIAL RATES"/>
      <sheetName val="S &amp; A"/>
      <sheetName val="Area"/>
      <sheetName val="预算"/>
      <sheetName val="Sheet5"/>
      <sheetName val="Sectional  Summary"/>
      <sheetName val="A1-Continuous"/>
      <sheetName val="SPEC"/>
      <sheetName val="RA"/>
      <sheetName val="M.R.1"/>
      <sheetName val="GF Columns"/>
      <sheetName val="steam table"/>
      <sheetName val="Comparative"/>
      <sheetName val="Measurment"/>
      <sheetName val="Footings"/>
      <sheetName val="Indices"/>
      <sheetName val="beam-reinft"/>
      <sheetName val="INDEX"/>
      <sheetName val="loaddata"/>
      <sheetName val="사진"/>
      <sheetName val="BOQ HT"/>
      <sheetName val="Gr. H"/>
      <sheetName val="Branch Power"/>
      <sheetName val="Distrib"/>
      <sheetName val="Emergency"/>
      <sheetName val="Equipment"/>
      <sheetName val="Lighting"/>
      <sheetName val="COLUMN"/>
      <sheetName val="final abstract"/>
      <sheetName val="CABLE DATA"/>
      <sheetName val="소상 &quot;1&quot;"/>
      <sheetName val="Intro."/>
    </sheetNames>
    <sheetDataSet>
      <sheetData sheetId="0">
        <row r="1">
          <cell r="A1" t="str">
            <v>MORGAN STANLEY DEAN WITTER</v>
          </cell>
        </row>
      </sheetData>
      <sheetData sheetId="1">
        <row r="1">
          <cell r="A1" t="str">
            <v>MORGAN STANLEY DEAN WITTER</v>
          </cell>
        </row>
      </sheetData>
      <sheetData sheetId="2">
        <row r="1">
          <cell r="A1" t="str">
            <v>MORGAN STANLEY DEAN WITTER</v>
          </cell>
        </row>
      </sheetData>
      <sheetData sheetId="3">
        <row r="1">
          <cell r="A1" t="str">
            <v>MORGAN STANLEY DEAN WITTER</v>
          </cell>
        </row>
      </sheetData>
      <sheetData sheetId="4">
        <row r="1">
          <cell r="A1" t="str">
            <v>MORGAN STANLEY DEAN WITTER</v>
          </cell>
        </row>
      </sheetData>
      <sheetData sheetId="5">
        <row r="1">
          <cell r="A1" t="str">
            <v>MORGAN STANLEY DEAN WITTER</v>
          </cell>
        </row>
      </sheetData>
      <sheetData sheetId="6">
        <row r="1">
          <cell r="A1" t="str">
            <v>MORGAN STANLEY DEAN WITTER</v>
          </cell>
        </row>
      </sheetData>
      <sheetData sheetId="7">
        <row r="1">
          <cell r="A1" t="str">
            <v>MORGAN STANLEY DEAN WITTER</v>
          </cell>
        </row>
      </sheetData>
      <sheetData sheetId="8">
        <row r="1">
          <cell r="A1" t="str">
            <v>MORGAN STANLEY DEAN WITTER</v>
          </cell>
        </row>
      </sheetData>
      <sheetData sheetId="9">
        <row r="1">
          <cell r="A1" t="str">
            <v>MORGAN STANLEY DEAN WITTER</v>
          </cell>
        </row>
      </sheetData>
      <sheetData sheetId="10">
        <row r="1">
          <cell r="A1" t="str">
            <v>MORGAN STANLEY DEAN WITTER</v>
          </cell>
        </row>
      </sheetData>
      <sheetData sheetId="11">
        <row r="1">
          <cell r="A1" t="str">
            <v>MORGAN STANLEY DEAN WITTER</v>
          </cell>
        </row>
      </sheetData>
      <sheetData sheetId="12">
        <row r="1">
          <cell r="A1" t="str">
            <v>MORGAN STANLEY DEAN WITTER</v>
          </cell>
        </row>
      </sheetData>
      <sheetData sheetId="13">
        <row r="1">
          <cell r="A1" t="str">
            <v>MORGAN STANLEY DEAN WITTER</v>
          </cell>
        </row>
      </sheetData>
      <sheetData sheetId="14">
        <row r="1">
          <cell r="A1" t="str">
            <v>MORGAN STANLEY DEAN WITTER</v>
          </cell>
        </row>
      </sheetData>
      <sheetData sheetId="15">
        <row r="1">
          <cell r="A1" t="str">
            <v>MORGAN STANLEY DEAN WITTER</v>
          </cell>
        </row>
      </sheetData>
      <sheetData sheetId="16">
        <row r="1">
          <cell r="A1" t="str">
            <v>MORGAN STANLEY DEAN WITTER</v>
          </cell>
        </row>
      </sheetData>
      <sheetData sheetId="17">
        <row r="1">
          <cell r="A1" t="str">
            <v>MORGAN STANLEY DEAN WITTER</v>
          </cell>
        </row>
      </sheetData>
      <sheetData sheetId="18">
        <row r="1">
          <cell r="A1" t="str">
            <v>MORGAN STANLEY DEAN WITTER</v>
          </cell>
        </row>
      </sheetData>
      <sheetData sheetId="19">
        <row r="1">
          <cell r="A1" t="str">
            <v>MORGAN STANLEY DEAN WITTER</v>
          </cell>
        </row>
      </sheetData>
      <sheetData sheetId="20">
        <row r="1">
          <cell r="A1" t="str">
            <v>MORGAN STANLEY DEAN WITTER</v>
          </cell>
        </row>
      </sheetData>
      <sheetData sheetId="21">
        <row r="1">
          <cell r="A1" t="str">
            <v>MORGAN STANLEY DEAN WITTER</v>
          </cell>
        </row>
      </sheetData>
      <sheetData sheetId="22">
        <row r="1">
          <cell r="A1" t="str">
            <v>MORGAN STANLEY DEAN WITTER</v>
          </cell>
        </row>
      </sheetData>
      <sheetData sheetId="23">
        <row r="1">
          <cell r="A1" t="str">
            <v>MORGAN STANLEY DEAN WITTER</v>
          </cell>
        </row>
      </sheetData>
      <sheetData sheetId="24">
        <row r="1">
          <cell r="A1" t="str">
            <v>MORGAN STANLEY DEAN WITTER</v>
          </cell>
        </row>
      </sheetData>
      <sheetData sheetId="25">
        <row r="1">
          <cell r="A1" t="str">
            <v>MORGAN STANLEY DEAN WITTER</v>
          </cell>
        </row>
      </sheetData>
      <sheetData sheetId="26">
        <row r="1">
          <cell r="A1" t="str">
            <v>MORGAN STANLEY DEAN WITTER</v>
          </cell>
        </row>
      </sheetData>
      <sheetData sheetId="27">
        <row r="1">
          <cell r="A1" t="str">
            <v>MORGAN STANLEY DEAN WITTER</v>
          </cell>
        </row>
      </sheetData>
      <sheetData sheetId="28">
        <row r="1">
          <cell r="A1" t="str">
            <v>MORGAN STANLEY DEAN WITTER</v>
          </cell>
        </row>
      </sheetData>
      <sheetData sheetId="29">
        <row r="1">
          <cell r="A1" t="str">
            <v>MORGAN STANLEY DEAN WITTER</v>
          </cell>
        </row>
      </sheetData>
      <sheetData sheetId="30">
        <row r="1">
          <cell r="A1" t="str">
            <v>MORGAN STANLEY DEAN WITTER</v>
          </cell>
        </row>
      </sheetData>
      <sheetData sheetId="31">
        <row r="1">
          <cell r="A1" t="str">
            <v>MORGAN STANLEY DEAN WITTER</v>
          </cell>
        </row>
      </sheetData>
      <sheetData sheetId="32"/>
      <sheetData sheetId="33"/>
      <sheetData sheetId="34"/>
      <sheetData sheetId="35"/>
      <sheetData sheetId="36"/>
      <sheetData sheetId="37">
        <row r="1">
          <cell r="A1" t="str">
            <v>MORGAN STANLEY DEAN WITTER</v>
          </cell>
        </row>
      </sheetData>
      <sheetData sheetId="38">
        <row r="1">
          <cell r="A1" t="str">
            <v>MORGAN STANLEY DEAN WITTER</v>
          </cell>
        </row>
      </sheetData>
      <sheetData sheetId="39">
        <row r="1">
          <cell r="A1" t="str">
            <v>MORGAN STANLEY DEAN WITTER</v>
          </cell>
        </row>
      </sheetData>
      <sheetData sheetId="40">
        <row r="1">
          <cell r="A1" t="str">
            <v>MORGAN STANLEY DEAN WITTER</v>
          </cell>
        </row>
      </sheetData>
      <sheetData sheetId="41">
        <row r="1">
          <cell r="A1" t="str">
            <v>MORGAN STANLEY DEAN WITTER</v>
          </cell>
        </row>
      </sheetData>
      <sheetData sheetId="42">
        <row r="1">
          <cell r="A1" t="str">
            <v>MORGAN STANLEY DEAN WITTER</v>
          </cell>
        </row>
      </sheetData>
      <sheetData sheetId="43">
        <row r="1">
          <cell r="A1" t="str">
            <v>MORGAN STANLEY DEAN WITTER</v>
          </cell>
        </row>
      </sheetData>
      <sheetData sheetId="44">
        <row r="1">
          <cell r="A1" t="str">
            <v>MORGAN STANLEY DEAN WITTER</v>
          </cell>
        </row>
      </sheetData>
      <sheetData sheetId="45">
        <row r="1">
          <cell r="A1" t="str">
            <v>MORGAN STANLEY DEAN WITTER</v>
          </cell>
        </row>
      </sheetData>
      <sheetData sheetId="46">
        <row r="1">
          <cell r="A1" t="str">
            <v>MORGAN STANLEY DEAN WITTER</v>
          </cell>
        </row>
      </sheetData>
      <sheetData sheetId="47">
        <row r="1">
          <cell r="A1" t="str">
            <v>MORGAN STANLEY DEAN WITTER</v>
          </cell>
        </row>
      </sheetData>
      <sheetData sheetId="48">
        <row r="1">
          <cell r="A1" t="str">
            <v>MORGAN STANLEY DEAN WITTER</v>
          </cell>
        </row>
      </sheetData>
      <sheetData sheetId="49">
        <row r="1">
          <cell r="A1" t="str">
            <v>MORGAN STANLEY DEAN WITTER</v>
          </cell>
        </row>
      </sheetData>
      <sheetData sheetId="50">
        <row r="1">
          <cell r="A1" t="str">
            <v>MORGAN STANLEY DEAN WITTER</v>
          </cell>
        </row>
      </sheetData>
      <sheetData sheetId="51">
        <row r="1">
          <cell r="A1" t="str">
            <v>MORGAN STANLEY DEAN WITTER</v>
          </cell>
        </row>
      </sheetData>
      <sheetData sheetId="52">
        <row r="1">
          <cell r="A1" t="str">
            <v>MORGAN STANLEY DEAN WITTER</v>
          </cell>
        </row>
      </sheetData>
      <sheetData sheetId="53">
        <row r="1">
          <cell r="A1" t="str">
            <v>MORGAN STANLEY DEAN WITTER</v>
          </cell>
        </row>
      </sheetData>
      <sheetData sheetId="54">
        <row r="1">
          <cell r="A1" t="str">
            <v>MORGAN STANLEY DEAN WITTER</v>
          </cell>
        </row>
      </sheetData>
      <sheetData sheetId="55">
        <row r="1">
          <cell r="A1" t="str">
            <v>MORGAN STANLEY DEAN WITTER</v>
          </cell>
        </row>
      </sheetData>
      <sheetData sheetId="56">
        <row r="1">
          <cell r="A1" t="str">
            <v>MORGAN STANLEY DEAN WITTER</v>
          </cell>
        </row>
      </sheetData>
      <sheetData sheetId="57">
        <row r="1">
          <cell r="A1" t="str">
            <v>MORGAN STANLEY DEAN WITTER</v>
          </cell>
        </row>
      </sheetData>
      <sheetData sheetId="58">
        <row r="1">
          <cell r="A1" t="str">
            <v>MORGAN STANLEY DEAN WITTER</v>
          </cell>
        </row>
      </sheetData>
      <sheetData sheetId="59">
        <row r="1">
          <cell r="A1" t="str">
            <v>MORGAN STANLEY DEAN WITTER</v>
          </cell>
        </row>
      </sheetData>
      <sheetData sheetId="60">
        <row r="1">
          <cell r="A1" t="str">
            <v>MORGAN STANLEY DEAN WITTER</v>
          </cell>
        </row>
      </sheetData>
      <sheetData sheetId="61">
        <row r="1">
          <cell r="A1" t="str">
            <v>MORGAN STANLEY DEAN WITTER</v>
          </cell>
        </row>
      </sheetData>
      <sheetData sheetId="62">
        <row r="1">
          <cell r="A1" t="str">
            <v>MORGAN STANLEY DEAN WITTER</v>
          </cell>
        </row>
      </sheetData>
      <sheetData sheetId="63">
        <row r="1">
          <cell r="A1" t="str">
            <v>MORGAN STANLEY DEAN WITTER</v>
          </cell>
        </row>
      </sheetData>
      <sheetData sheetId="64">
        <row r="1">
          <cell r="A1" t="str">
            <v>MORGAN STANLEY DEAN WITTER</v>
          </cell>
        </row>
      </sheetData>
      <sheetData sheetId="65">
        <row r="1">
          <cell r="A1" t="str">
            <v>MORGAN STANLEY DEAN WITTER</v>
          </cell>
        </row>
      </sheetData>
      <sheetData sheetId="66">
        <row r="1">
          <cell r="A1" t="str">
            <v>MORGAN STANLEY DEAN WITTER</v>
          </cell>
        </row>
      </sheetData>
      <sheetData sheetId="67">
        <row r="1">
          <cell r="A1" t="str">
            <v>MORGAN STANLEY DEAN WITTER</v>
          </cell>
        </row>
      </sheetData>
      <sheetData sheetId="68">
        <row r="1">
          <cell r="A1" t="str">
            <v>MORGAN STANLEY DEAN WITTER</v>
          </cell>
        </row>
      </sheetData>
      <sheetData sheetId="69">
        <row r="1">
          <cell r="A1" t="str">
            <v>MORGAN STANLEY DEAN WITTER</v>
          </cell>
        </row>
      </sheetData>
      <sheetData sheetId="70">
        <row r="1">
          <cell r="A1" t="str">
            <v>MORGAN STANLEY DEAN WITTER</v>
          </cell>
        </row>
      </sheetData>
      <sheetData sheetId="71">
        <row r="1">
          <cell r="A1" t="str">
            <v>MORGAN STANLEY DEAN WITTER</v>
          </cell>
        </row>
      </sheetData>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ow r="1">
          <cell r="A1" t="str">
            <v>MORGAN STANLEY DEAN WITTER</v>
          </cell>
        </row>
      </sheetData>
      <sheetData sheetId="135">
        <row r="1">
          <cell r="A1" t="str">
            <v>MORGAN STANLEY DEAN WITTER</v>
          </cell>
        </row>
      </sheetData>
      <sheetData sheetId="136">
        <row r="1">
          <cell r="A1" t="str">
            <v>MORGAN STANLEY DEAN WITTER</v>
          </cell>
        </row>
      </sheetData>
      <sheetData sheetId="137">
        <row r="1">
          <cell r="A1" t="str">
            <v>MORGAN STANLEY DEAN WITTER</v>
          </cell>
        </row>
      </sheetData>
      <sheetData sheetId="138">
        <row r="1">
          <cell r="A1" t="str">
            <v>MORGAN STANLEY DEAN WITTER</v>
          </cell>
        </row>
      </sheetData>
      <sheetData sheetId="139">
        <row r="1">
          <cell r="A1" t="str">
            <v>MORGAN STANLEY DEAN WITTER</v>
          </cell>
        </row>
      </sheetData>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ow r="1">
          <cell r="A1" t="str">
            <v>MORGAN STANLEY DEAN WITTER</v>
          </cell>
        </row>
      </sheetData>
      <sheetData sheetId="191">
        <row r="1">
          <cell r="A1" t="str">
            <v>MORGAN STANLEY DEAN WITTER</v>
          </cell>
        </row>
      </sheetData>
      <sheetData sheetId="192">
        <row r="1">
          <cell r="A1" t="str">
            <v>MORGAN STANLEY DEAN WITTER</v>
          </cell>
        </row>
      </sheetData>
      <sheetData sheetId="193">
        <row r="1">
          <cell r="A1" t="str">
            <v>MORGAN STANLEY DEAN WITTER</v>
          </cell>
        </row>
      </sheetData>
      <sheetData sheetId="194">
        <row r="1">
          <cell r="A1" t="str">
            <v>MORGAN STANLEY DEAN WITTER</v>
          </cell>
        </row>
      </sheetData>
      <sheetData sheetId="195">
        <row r="1">
          <cell r="A1" t="str">
            <v>MORGAN STANLEY DEAN WITTER</v>
          </cell>
        </row>
      </sheetData>
      <sheetData sheetId="196">
        <row r="1">
          <cell r="A1" t="str">
            <v>MORGAN STANLEY DEAN WITTER</v>
          </cell>
        </row>
      </sheetData>
      <sheetData sheetId="197">
        <row r="1">
          <cell r="A1" t="str">
            <v>MORGAN STANLEY DEAN WITTER</v>
          </cell>
        </row>
      </sheetData>
      <sheetData sheetId="198">
        <row r="1">
          <cell r="A1" t="str">
            <v>MORGAN STANLEY DEAN WITTER</v>
          </cell>
        </row>
      </sheetData>
      <sheetData sheetId="199">
        <row r="1">
          <cell r="A1" t="str">
            <v>MORGAN STANLEY DEAN WITTER</v>
          </cell>
        </row>
      </sheetData>
      <sheetData sheetId="200">
        <row r="1">
          <cell r="A1" t="str">
            <v>MORGAN STANLEY DEAN WITTER</v>
          </cell>
        </row>
      </sheetData>
      <sheetData sheetId="201">
        <row r="1">
          <cell r="A1" t="str">
            <v>MORGAN STANLEY DEAN WITTER</v>
          </cell>
        </row>
      </sheetData>
      <sheetData sheetId="202">
        <row r="1">
          <cell r="A1" t="str">
            <v>MORGAN STANLEY DEAN WITTER</v>
          </cell>
        </row>
      </sheetData>
      <sheetData sheetId="203">
        <row r="1">
          <cell r="A1" t="str">
            <v>MORGAN STANLEY DEAN WITTER</v>
          </cell>
        </row>
      </sheetData>
      <sheetData sheetId="204">
        <row r="1">
          <cell r="A1" t="str">
            <v>MORGAN STANLEY DEAN WITTER</v>
          </cell>
        </row>
      </sheetData>
      <sheetData sheetId="205">
        <row r="1">
          <cell r="A1" t="str">
            <v>MORGAN STANLEY DEAN WITTER</v>
          </cell>
        </row>
      </sheetData>
      <sheetData sheetId="206">
        <row r="1">
          <cell r="A1" t="str">
            <v>MORGAN STANLEY DEAN WITTER</v>
          </cell>
        </row>
      </sheetData>
      <sheetData sheetId="207">
        <row r="1">
          <cell r="A1" t="str">
            <v>MORGAN STANLEY DEAN WITTER</v>
          </cell>
        </row>
      </sheetData>
      <sheetData sheetId="208">
        <row r="1">
          <cell r="A1" t="str">
            <v>MORGAN STANLEY DEAN WITTER</v>
          </cell>
        </row>
      </sheetData>
      <sheetData sheetId="209">
        <row r="1">
          <cell r="A1" t="str">
            <v>MORGAN STANLEY DEAN WITTER</v>
          </cell>
        </row>
      </sheetData>
      <sheetData sheetId="210">
        <row r="1">
          <cell r="A1" t="str">
            <v>MORGAN STANLEY DEAN WITTER</v>
          </cell>
        </row>
      </sheetData>
      <sheetData sheetId="211">
        <row r="1">
          <cell r="A1" t="str">
            <v>MORGAN STANLEY DEAN WITTER</v>
          </cell>
        </row>
      </sheetData>
      <sheetData sheetId="212">
        <row r="1">
          <cell r="A1" t="str">
            <v>MORGAN STANLEY DEAN WITTER</v>
          </cell>
        </row>
      </sheetData>
      <sheetData sheetId="213">
        <row r="1">
          <cell r="A1" t="str">
            <v>MORGAN STANLEY DEAN WITTER</v>
          </cell>
        </row>
      </sheetData>
      <sheetData sheetId="214">
        <row r="1">
          <cell r="A1" t="str">
            <v>MORGAN STANLEY DEAN WITTER</v>
          </cell>
        </row>
      </sheetData>
      <sheetData sheetId="215">
        <row r="1">
          <cell r="A1" t="str">
            <v>MORGAN STANLEY DEAN WITTER</v>
          </cell>
        </row>
      </sheetData>
      <sheetData sheetId="216">
        <row r="1">
          <cell r="A1" t="str">
            <v>MORGAN STANLEY DEAN WITTER</v>
          </cell>
        </row>
      </sheetData>
      <sheetData sheetId="217">
        <row r="1">
          <cell r="A1" t="str">
            <v>MORGAN STANLEY DEAN WITTER</v>
          </cell>
        </row>
      </sheetData>
      <sheetData sheetId="218">
        <row r="1">
          <cell r="A1" t="str">
            <v>MORGAN STANLEY DEAN WITTER</v>
          </cell>
        </row>
      </sheetData>
      <sheetData sheetId="219">
        <row r="1">
          <cell r="A1" t="str">
            <v>MORGAN STANLEY DEAN WITTER</v>
          </cell>
        </row>
      </sheetData>
      <sheetData sheetId="220">
        <row r="1">
          <cell r="A1" t="str">
            <v>MORGAN STANLEY DEAN WITTER</v>
          </cell>
        </row>
      </sheetData>
      <sheetData sheetId="221">
        <row r="1">
          <cell r="A1" t="str">
            <v>MORGAN STANLEY DEAN WITTER</v>
          </cell>
        </row>
      </sheetData>
      <sheetData sheetId="222">
        <row r="1">
          <cell r="A1" t="str">
            <v>MORGAN STANLEY DEAN WITTER</v>
          </cell>
        </row>
      </sheetData>
      <sheetData sheetId="223">
        <row r="1">
          <cell r="A1" t="str">
            <v>MORGAN STANLEY DEAN WITTER</v>
          </cell>
        </row>
      </sheetData>
      <sheetData sheetId="224">
        <row r="1">
          <cell r="A1" t="str">
            <v>MORGAN STANLEY DEAN WITTER</v>
          </cell>
        </row>
      </sheetData>
      <sheetData sheetId="225">
        <row r="1">
          <cell r="A1" t="str">
            <v>MORGAN STANLEY DEAN WITTER</v>
          </cell>
        </row>
      </sheetData>
      <sheetData sheetId="226"/>
      <sheetData sheetId="227"/>
      <sheetData sheetId="228"/>
      <sheetData sheetId="229"/>
      <sheetData sheetId="230"/>
      <sheetData sheetId="231"/>
      <sheetData sheetId="232"/>
      <sheetData sheetId="233"/>
      <sheetData sheetId="234"/>
      <sheetData sheetId="235"/>
      <sheetData sheetId="236"/>
      <sheetData sheetId="237"/>
      <sheetData sheetId="238">
        <row r="1">
          <cell r="A1" t="str">
            <v>MORGAN STANLEY DEAN WITTER</v>
          </cell>
        </row>
      </sheetData>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row r="1">
          <cell r="A1" t="str">
            <v>MORGAN STANLEY DEAN WITTER</v>
          </cell>
        </row>
      </sheetData>
      <sheetData sheetId="253">
        <row r="1">
          <cell r="A1" t="str">
            <v>MORGAN STANLEY DEAN WITTER</v>
          </cell>
        </row>
      </sheetData>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row r="1">
          <cell r="A1" t="str">
            <v>MORGAN STANLEY DEAN WITTER</v>
          </cell>
        </row>
      </sheetData>
      <sheetData sheetId="285">
        <row r="1">
          <cell r="A1" t="str">
            <v>MORGAN STANLEY DEAN WITTER</v>
          </cell>
        </row>
      </sheetData>
      <sheetData sheetId="286">
        <row r="1">
          <cell r="A1" t="str">
            <v>MORGAN STANLEY DEAN WITTER</v>
          </cell>
        </row>
      </sheetData>
      <sheetData sheetId="287">
        <row r="1">
          <cell r="A1" t="str">
            <v>MORGAN STANLEY DEAN WITTER</v>
          </cell>
        </row>
      </sheetData>
      <sheetData sheetId="288">
        <row r="1">
          <cell r="A1" t="str">
            <v>MORGAN STANLEY DEAN WITTER</v>
          </cell>
        </row>
      </sheetData>
      <sheetData sheetId="289">
        <row r="1">
          <cell r="A1" t="str">
            <v>MORGAN STANLEY DEAN WITTER</v>
          </cell>
        </row>
      </sheetData>
      <sheetData sheetId="290">
        <row r="1">
          <cell r="A1" t="str">
            <v>MORGAN STANLEY DEAN WITTER</v>
          </cell>
        </row>
      </sheetData>
      <sheetData sheetId="291">
        <row r="1">
          <cell r="A1" t="str">
            <v>MORGAN STANLEY DEAN WITTER</v>
          </cell>
        </row>
      </sheetData>
      <sheetData sheetId="292">
        <row r="1">
          <cell r="A1" t="str">
            <v>MORGAN STANLEY DEAN WITTER</v>
          </cell>
        </row>
      </sheetData>
      <sheetData sheetId="293">
        <row r="1">
          <cell r="A1" t="str">
            <v>MORGAN STANLEY DEAN WITTER</v>
          </cell>
        </row>
      </sheetData>
      <sheetData sheetId="294">
        <row r="1">
          <cell r="A1" t="str">
            <v>MORGAN STANLEY DEAN WITTER</v>
          </cell>
        </row>
      </sheetData>
      <sheetData sheetId="295">
        <row r="1">
          <cell r="A1" t="str">
            <v>MORGAN STANLEY DEAN WITTER</v>
          </cell>
        </row>
      </sheetData>
      <sheetData sheetId="296">
        <row r="1">
          <cell r="A1" t="str">
            <v>MORGAN STANLEY DEAN WITTER</v>
          </cell>
        </row>
      </sheetData>
      <sheetData sheetId="297">
        <row r="1">
          <cell r="A1" t="str">
            <v>MORGAN STANLEY DEAN WITTER</v>
          </cell>
        </row>
      </sheetData>
      <sheetData sheetId="298">
        <row r="1">
          <cell r="A1" t="str">
            <v>MORGAN STANLEY DEAN WITTER</v>
          </cell>
        </row>
      </sheetData>
      <sheetData sheetId="299">
        <row r="1">
          <cell r="A1" t="str">
            <v>MORGAN STANLEY DEAN WITTER</v>
          </cell>
        </row>
      </sheetData>
      <sheetData sheetId="300">
        <row r="1">
          <cell r="A1" t="str">
            <v>MORGAN STANLEY DEAN WITTER</v>
          </cell>
        </row>
      </sheetData>
      <sheetData sheetId="301">
        <row r="1">
          <cell r="A1" t="str">
            <v>MORGAN STANLEY DEAN WITTER</v>
          </cell>
        </row>
      </sheetData>
      <sheetData sheetId="302">
        <row r="1">
          <cell r="A1" t="str">
            <v>MORGAN STANLEY DEAN WITTER</v>
          </cell>
        </row>
      </sheetData>
      <sheetData sheetId="303">
        <row r="1">
          <cell r="A1" t="str">
            <v>MORGAN STANLEY DEAN WITTER</v>
          </cell>
        </row>
      </sheetData>
      <sheetData sheetId="304">
        <row r="1">
          <cell r="A1" t="str">
            <v>MORGAN STANLEY DEAN WITTER</v>
          </cell>
        </row>
      </sheetData>
      <sheetData sheetId="305">
        <row r="1">
          <cell r="A1" t="str">
            <v>MORGAN STANLEY DEAN WITTER</v>
          </cell>
        </row>
      </sheetData>
      <sheetData sheetId="306">
        <row r="1">
          <cell r="A1" t="str">
            <v>MORGAN STANLEY DEAN WITTER</v>
          </cell>
        </row>
      </sheetData>
      <sheetData sheetId="307">
        <row r="1">
          <cell r="A1" t="str">
            <v>MORGAN STANLEY DEAN WITTER</v>
          </cell>
        </row>
      </sheetData>
      <sheetData sheetId="308">
        <row r="1">
          <cell r="A1" t="str">
            <v>MORGAN STANLEY DEAN WITTER</v>
          </cell>
        </row>
      </sheetData>
      <sheetData sheetId="309">
        <row r="1">
          <cell r="A1" t="str">
            <v>MORGAN STANLEY DEAN WITTER</v>
          </cell>
        </row>
      </sheetData>
      <sheetData sheetId="310">
        <row r="1">
          <cell r="A1" t="str">
            <v>MORGAN STANLEY DEAN WITTER</v>
          </cell>
        </row>
      </sheetData>
      <sheetData sheetId="311">
        <row r="1">
          <cell r="A1" t="str">
            <v>MORGAN STANLEY DEAN WITTER</v>
          </cell>
        </row>
      </sheetData>
      <sheetData sheetId="312">
        <row r="1">
          <cell r="A1" t="str">
            <v>MORGAN STANLEY DEAN WITTER</v>
          </cell>
        </row>
      </sheetData>
      <sheetData sheetId="313">
        <row r="1">
          <cell r="A1" t="str">
            <v>MORGAN STANLEY DEAN WITTER</v>
          </cell>
        </row>
      </sheetData>
      <sheetData sheetId="314">
        <row r="1">
          <cell r="A1" t="str">
            <v>MORGAN STANLEY DEAN WITTER</v>
          </cell>
        </row>
      </sheetData>
      <sheetData sheetId="315">
        <row r="1">
          <cell r="A1" t="str">
            <v>MORGAN STANLEY DEAN WITTER</v>
          </cell>
        </row>
      </sheetData>
      <sheetData sheetId="316">
        <row r="1">
          <cell r="A1" t="str">
            <v>MORGAN STANLEY DEAN WITTER</v>
          </cell>
        </row>
      </sheetData>
      <sheetData sheetId="317">
        <row r="1">
          <cell r="A1" t="str">
            <v>MORGAN STANLEY DEAN WITTER</v>
          </cell>
        </row>
      </sheetData>
      <sheetData sheetId="318">
        <row r="1">
          <cell r="A1" t="str">
            <v>MORGAN STANLEY DEAN WITTER</v>
          </cell>
        </row>
      </sheetData>
      <sheetData sheetId="319">
        <row r="1">
          <cell r="A1" t="str">
            <v>MORGAN STANLEY DEAN WITTER</v>
          </cell>
        </row>
      </sheetData>
      <sheetData sheetId="320">
        <row r="1">
          <cell r="A1" t="str">
            <v>MORGAN STANLEY DEAN WITTER</v>
          </cell>
        </row>
      </sheetData>
      <sheetData sheetId="321">
        <row r="1">
          <cell r="A1" t="str">
            <v>MORGAN STANLEY DEAN WITTER</v>
          </cell>
        </row>
      </sheetData>
      <sheetData sheetId="322">
        <row r="1">
          <cell r="A1" t="str">
            <v>MORGAN STANLEY DEAN WITTER</v>
          </cell>
        </row>
      </sheetData>
      <sheetData sheetId="323">
        <row r="1">
          <cell r="A1" t="str">
            <v>MORGAN STANLEY DEAN WITTER</v>
          </cell>
        </row>
      </sheetData>
      <sheetData sheetId="324">
        <row r="1">
          <cell r="A1" t="str">
            <v>MORGAN STANLEY DEAN WITTER</v>
          </cell>
        </row>
      </sheetData>
      <sheetData sheetId="325">
        <row r="1">
          <cell r="A1" t="str">
            <v>MORGAN STANLEY DEAN WITTER</v>
          </cell>
        </row>
      </sheetData>
      <sheetData sheetId="326">
        <row r="1">
          <cell r="A1" t="str">
            <v>MORGAN STANLEY DEAN WITTER</v>
          </cell>
        </row>
      </sheetData>
      <sheetData sheetId="327">
        <row r="1">
          <cell r="A1" t="str">
            <v>MORGAN STANLEY DEAN WITTER</v>
          </cell>
        </row>
      </sheetData>
      <sheetData sheetId="328">
        <row r="1">
          <cell r="A1" t="str">
            <v>MORGAN STANLEY DEAN WITTER</v>
          </cell>
        </row>
      </sheetData>
      <sheetData sheetId="329">
        <row r="1">
          <cell r="A1" t="str">
            <v>MORGAN STANLEY DEAN WITTER</v>
          </cell>
        </row>
      </sheetData>
      <sheetData sheetId="330">
        <row r="1">
          <cell r="A1" t="str">
            <v>MORGAN STANLEY DEAN WITTER</v>
          </cell>
        </row>
      </sheetData>
      <sheetData sheetId="331">
        <row r="1">
          <cell r="A1" t="str">
            <v>MORGAN STANLEY DEAN WITTER</v>
          </cell>
        </row>
      </sheetData>
      <sheetData sheetId="332">
        <row r="1">
          <cell r="A1" t="str">
            <v>MORGAN STANLEY DEAN WITTER</v>
          </cell>
        </row>
      </sheetData>
      <sheetData sheetId="333">
        <row r="1">
          <cell r="A1" t="str">
            <v>MORGAN STANLEY DEAN WITTER</v>
          </cell>
        </row>
      </sheetData>
      <sheetData sheetId="334">
        <row r="1">
          <cell r="A1" t="str">
            <v>MORGAN STANLEY DEAN WITTER</v>
          </cell>
        </row>
      </sheetData>
      <sheetData sheetId="335">
        <row r="1">
          <cell r="A1" t="str">
            <v>MORGAN STANLEY DEAN WITTER</v>
          </cell>
        </row>
      </sheetData>
      <sheetData sheetId="336">
        <row r="1">
          <cell r="A1" t="str">
            <v>MORGAN STANLEY DEAN WITTER</v>
          </cell>
        </row>
      </sheetData>
      <sheetData sheetId="337">
        <row r="1">
          <cell r="A1" t="str">
            <v>MORGAN STANLEY DEAN WITTER</v>
          </cell>
        </row>
      </sheetData>
      <sheetData sheetId="338">
        <row r="1">
          <cell r="A1" t="str">
            <v>MORGAN STANLEY DEAN WITTER</v>
          </cell>
        </row>
      </sheetData>
      <sheetData sheetId="339">
        <row r="1">
          <cell r="A1" t="str">
            <v>MORGAN STANLEY DEAN WITTER</v>
          </cell>
        </row>
      </sheetData>
      <sheetData sheetId="340">
        <row r="1">
          <cell r="A1" t="str">
            <v>MORGAN STANLEY DEAN WITTER</v>
          </cell>
        </row>
      </sheetData>
      <sheetData sheetId="341">
        <row r="1">
          <cell r="A1" t="str">
            <v>MORGAN STANLEY DEAN WITTER</v>
          </cell>
        </row>
      </sheetData>
      <sheetData sheetId="342">
        <row r="1">
          <cell r="A1" t="str">
            <v>MORGAN STANLEY DEAN WITTER</v>
          </cell>
        </row>
      </sheetData>
      <sheetData sheetId="343">
        <row r="1">
          <cell r="A1" t="str">
            <v>MORGAN STANLEY DEAN WITTER</v>
          </cell>
        </row>
      </sheetData>
      <sheetData sheetId="344">
        <row r="1">
          <cell r="A1" t="str">
            <v>MORGAN STANLEY DEAN WITTER</v>
          </cell>
        </row>
      </sheetData>
      <sheetData sheetId="345">
        <row r="1">
          <cell r="A1" t="str">
            <v>MORGAN STANLEY DEAN WITTER</v>
          </cell>
        </row>
      </sheetData>
      <sheetData sheetId="346">
        <row r="1">
          <cell r="A1" t="str">
            <v>MORGAN STANLEY DEAN WITTER</v>
          </cell>
        </row>
      </sheetData>
      <sheetData sheetId="347">
        <row r="1">
          <cell r="A1" t="str">
            <v>MORGAN STANLEY DEAN WITTER</v>
          </cell>
        </row>
      </sheetData>
      <sheetData sheetId="348">
        <row r="1">
          <cell r="A1" t="str">
            <v>MORGAN STANLEY DEAN WITTER</v>
          </cell>
        </row>
      </sheetData>
      <sheetData sheetId="349">
        <row r="1">
          <cell r="A1" t="str">
            <v>MORGAN STANLEY DEAN WITTER</v>
          </cell>
        </row>
      </sheetData>
      <sheetData sheetId="350">
        <row r="1">
          <cell r="A1" t="str">
            <v>MORGAN STANLEY DEAN WITTER</v>
          </cell>
        </row>
      </sheetData>
      <sheetData sheetId="351">
        <row r="1">
          <cell r="A1" t="str">
            <v>MORGAN STANLEY DEAN WITTER</v>
          </cell>
        </row>
      </sheetData>
      <sheetData sheetId="352">
        <row r="1">
          <cell r="A1" t="str">
            <v>MORGAN STANLEY DEAN WITTER</v>
          </cell>
        </row>
      </sheetData>
      <sheetData sheetId="353">
        <row r="1">
          <cell r="A1" t="str">
            <v>MORGAN STANLEY DEAN WITTER</v>
          </cell>
        </row>
      </sheetData>
      <sheetData sheetId="354">
        <row r="1">
          <cell r="A1" t="str">
            <v>MORGAN STANLEY DEAN WITTER</v>
          </cell>
        </row>
      </sheetData>
      <sheetData sheetId="355">
        <row r="1">
          <cell r="A1" t="str">
            <v>MORGAN STANLEY DEAN WITTER</v>
          </cell>
        </row>
      </sheetData>
      <sheetData sheetId="356">
        <row r="1">
          <cell r="A1" t="str">
            <v>MORGAN STANLEY DEAN WITTER</v>
          </cell>
        </row>
      </sheetData>
      <sheetData sheetId="357">
        <row r="1">
          <cell r="A1" t="str">
            <v>MORGAN STANLEY DEAN WITTER</v>
          </cell>
        </row>
      </sheetData>
      <sheetData sheetId="358">
        <row r="1">
          <cell r="A1" t="str">
            <v>MORGAN STANLEY DEAN WITTER</v>
          </cell>
        </row>
      </sheetData>
      <sheetData sheetId="359">
        <row r="1">
          <cell r="A1" t="str">
            <v>MORGAN STANLEY DEAN WITTER</v>
          </cell>
        </row>
      </sheetData>
      <sheetData sheetId="360">
        <row r="1">
          <cell r="A1" t="str">
            <v>MORGAN STANLEY DEAN WITTER</v>
          </cell>
        </row>
      </sheetData>
      <sheetData sheetId="361">
        <row r="1">
          <cell r="A1" t="str">
            <v>MORGAN STANLEY DEAN WITTER</v>
          </cell>
        </row>
      </sheetData>
      <sheetData sheetId="362">
        <row r="1">
          <cell r="A1" t="str">
            <v>MORGAN STANLEY DEAN WITTER</v>
          </cell>
        </row>
      </sheetData>
      <sheetData sheetId="363">
        <row r="1">
          <cell r="A1" t="str">
            <v>MORGAN STANLEY DEAN WITTER</v>
          </cell>
        </row>
      </sheetData>
      <sheetData sheetId="364">
        <row r="1">
          <cell r="A1" t="str">
            <v>MORGAN STANLEY DEAN WITTER</v>
          </cell>
        </row>
      </sheetData>
      <sheetData sheetId="365">
        <row r="1">
          <cell r="A1" t="str">
            <v>MORGAN STANLEY DEAN WITTER</v>
          </cell>
        </row>
      </sheetData>
      <sheetData sheetId="366">
        <row r="1">
          <cell r="A1" t="str">
            <v>MORGAN STANLEY DEAN WITTER</v>
          </cell>
        </row>
      </sheetData>
      <sheetData sheetId="367">
        <row r="1">
          <cell r="A1" t="str">
            <v>MORGAN STANLEY DEAN WITTER</v>
          </cell>
        </row>
      </sheetData>
      <sheetData sheetId="368">
        <row r="1">
          <cell r="A1" t="str">
            <v>MORGAN STANLEY DEAN WITTER</v>
          </cell>
        </row>
      </sheetData>
      <sheetData sheetId="369"/>
      <sheetData sheetId="370"/>
      <sheetData sheetId="371">
        <row r="1">
          <cell r="A1" t="str">
            <v>MORGAN STANLEY DEAN WITTER</v>
          </cell>
        </row>
      </sheetData>
      <sheetData sheetId="372">
        <row r="1">
          <cell r="A1" t="str">
            <v>MORGAN STANLEY DEAN WITTER</v>
          </cell>
        </row>
      </sheetData>
      <sheetData sheetId="373">
        <row r="1">
          <cell r="A1" t="str">
            <v>MORGAN STANLEY DEAN WITTER</v>
          </cell>
        </row>
      </sheetData>
      <sheetData sheetId="374">
        <row r="1">
          <cell r="A1" t="str">
            <v>MORGAN STANLEY DEAN WITTER</v>
          </cell>
        </row>
      </sheetData>
      <sheetData sheetId="375">
        <row r="1">
          <cell r="A1" t="str">
            <v>MORGAN STANLEY DEAN WITTER</v>
          </cell>
        </row>
      </sheetData>
      <sheetData sheetId="376">
        <row r="1">
          <cell r="A1" t="str">
            <v>MORGAN STANLEY DEAN WITTER</v>
          </cell>
        </row>
      </sheetData>
      <sheetData sheetId="377">
        <row r="1">
          <cell r="A1" t="str">
            <v>MORGAN STANLEY DEAN WITTER</v>
          </cell>
        </row>
      </sheetData>
      <sheetData sheetId="378">
        <row r="1">
          <cell r="A1" t="str">
            <v>MORGAN STANLEY DEAN WITTER</v>
          </cell>
        </row>
      </sheetData>
      <sheetData sheetId="379">
        <row r="1">
          <cell r="A1" t="str">
            <v>MORGAN STANLEY DEAN WITTER</v>
          </cell>
        </row>
      </sheetData>
      <sheetData sheetId="380">
        <row r="1">
          <cell r="A1" t="str">
            <v>MORGAN STANLEY DEAN WITTER</v>
          </cell>
        </row>
      </sheetData>
      <sheetData sheetId="381">
        <row r="1">
          <cell r="A1" t="str">
            <v>MORGAN STANLEY DEAN WITTER</v>
          </cell>
        </row>
      </sheetData>
      <sheetData sheetId="382">
        <row r="1">
          <cell r="A1" t="str">
            <v>MORGAN STANLEY DEAN WITTER</v>
          </cell>
        </row>
      </sheetData>
      <sheetData sheetId="383">
        <row r="1">
          <cell r="A1" t="str">
            <v>MORGAN STANLEY DEAN WITTER</v>
          </cell>
        </row>
      </sheetData>
      <sheetData sheetId="384">
        <row r="1">
          <cell r="A1" t="str">
            <v>MORGAN STANLEY DEAN WITTER</v>
          </cell>
        </row>
      </sheetData>
      <sheetData sheetId="385">
        <row r="1">
          <cell r="A1" t="str">
            <v>MORGAN STANLEY DEAN WITTER</v>
          </cell>
        </row>
      </sheetData>
      <sheetData sheetId="386">
        <row r="1">
          <cell r="A1" t="str">
            <v>MORGAN STANLEY DEAN WITTER</v>
          </cell>
        </row>
      </sheetData>
      <sheetData sheetId="387">
        <row r="1">
          <cell r="A1" t="str">
            <v>MORGAN STANLEY DEAN WITTER</v>
          </cell>
        </row>
      </sheetData>
      <sheetData sheetId="388">
        <row r="1">
          <cell r="A1" t="str">
            <v>MORGAN STANLEY DEAN WITTER</v>
          </cell>
        </row>
      </sheetData>
      <sheetData sheetId="389">
        <row r="1">
          <cell r="A1" t="str">
            <v>MORGAN STANLEY DEAN WITTER</v>
          </cell>
        </row>
      </sheetData>
      <sheetData sheetId="390">
        <row r="1">
          <cell r="A1" t="str">
            <v>MORGAN STANLEY DEAN WITTER</v>
          </cell>
        </row>
      </sheetData>
      <sheetData sheetId="391">
        <row r="1">
          <cell r="A1" t="str">
            <v>MORGAN STANLEY DEAN WITTER</v>
          </cell>
        </row>
      </sheetData>
      <sheetData sheetId="392">
        <row r="1">
          <cell r="A1" t="str">
            <v>MORGAN STANLEY DEAN WITTER</v>
          </cell>
        </row>
      </sheetData>
      <sheetData sheetId="393">
        <row r="1">
          <cell r="A1" t="str">
            <v>MORGAN STANLEY DEAN WITTER</v>
          </cell>
        </row>
      </sheetData>
      <sheetData sheetId="394">
        <row r="1">
          <cell r="A1" t="str">
            <v>MORGAN STANLEY DEAN WITTER</v>
          </cell>
        </row>
      </sheetData>
      <sheetData sheetId="395">
        <row r="1">
          <cell r="A1" t="str">
            <v>MORGAN STANLEY DEAN WITTER</v>
          </cell>
        </row>
      </sheetData>
      <sheetData sheetId="396">
        <row r="1">
          <cell r="A1" t="str">
            <v>MORGAN STANLEY DEAN WITTER</v>
          </cell>
        </row>
      </sheetData>
      <sheetData sheetId="397">
        <row r="1">
          <cell r="A1" t="str">
            <v>MORGAN STANLEY DEAN WITTER</v>
          </cell>
        </row>
      </sheetData>
      <sheetData sheetId="398">
        <row r="1">
          <cell r="A1" t="str">
            <v>MORGAN STANLEY DEAN WITTER</v>
          </cell>
        </row>
      </sheetData>
      <sheetData sheetId="399">
        <row r="1">
          <cell r="A1" t="str">
            <v>MORGAN STANLEY DEAN WITTER</v>
          </cell>
        </row>
      </sheetData>
      <sheetData sheetId="400">
        <row r="1">
          <cell r="A1" t="str">
            <v>MORGAN STANLEY DEAN WITTER</v>
          </cell>
        </row>
      </sheetData>
      <sheetData sheetId="401">
        <row r="1">
          <cell r="A1" t="str">
            <v>MORGAN STANLEY DEAN WITTER</v>
          </cell>
        </row>
      </sheetData>
      <sheetData sheetId="402">
        <row r="1">
          <cell r="A1" t="str">
            <v>MORGAN STANLEY DEAN WITTER</v>
          </cell>
        </row>
      </sheetData>
      <sheetData sheetId="403">
        <row r="1">
          <cell r="A1" t="str">
            <v>MORGAN STANLEY DEAN WITTER</v>
          </cell>
        </row>
      </sheetData>
      <sheetData sheetId="404">
        <row r="1">
          <cell r="A1" t="str">
            <v>MORGAN STANLEY DEAN WITTER</v>
          </cell>
        </row>
      </sheetData>
      <sheetData sheetId="405">
        <row r="1">
          <cell r="A1" t="str">
            <v>MORGAN STANLEY DEAN WITTER</v>
          </cell>
        </row>
      </sheetData>
      <sheetData sheetId="406">
        <row r="1">
          <cell r="A1" t="str">
            <v>MORGAN STANLEY DEAN WITTER</v>
          </cell>
        </row>
      </sheetData>
      <sheetData sheetId="407">
        <row r="1">
          <cell r="A1" t="str">
            <v>MORGAN STANLEY DEAN WITTER</v>
          </cell>
        </row>
      </sheetData>
      <sheetData sheetId="408">
        <row r="1">
          <cell r="A1" t="str">
            <v>MORGAN STANLEY DEAN WITTER</v>
          </cell>
        </row>
      </sheetData>
      <sheetData sheetId="409">
        <row r="1">
          <cell r="A1" t="str">
            <v>MORGAN STANLEY DEAN WITTER</v>
          </cell>
        </row>
      </sheetData>
      <sheetData sheetId="410">
        <row r="1">
          <cell r="A1" t="str">
            <v>MORGAN STANLEY DEAN WITTER</v>
          </cell>
        </row>
      </sheetData>
      <sheetData sheetId="411">
        <row r="1">
          <cell r="A1" t="str">
            <v>MORGAN STANLEY DEAN WITTER</v>
          </cell>
        </row>
      </sheetData>
      <sheetData sheetId="412">
        <row r="1">
          <cell r="A1" t="str">
            <v>MORGAN STANLEY DEAN WITTER</v>
          </cell>
        </row>
      </sheetData>
      <sheetData sheetId="413">
        <row r="1">
          <cell r="A1" t="str">
            <v>MORGAN STANLEY DEAN WITTER</v>
          </cell>
        </row>
      </sheetData>
      <sheetData sheetId="414">
        <row r="1">
          <cell r="A1" t="str">
            <v>MORGAN STANLEY DEAN WITTER</v>
          </cell>
        </row>
      </sheetData>
      <sheetData sheetId="415">
        <row r="1">
          <cell r="A1" t="str">
            <v>MORGAN STANLEY DEAN WITTER</v>
          </cell>
        </row>
      </sheetData>
      <sheetData sheetId="416">
        <row r="1">
          <cell r="A1" t="str">
            <v>MORGAN STANLEY DEAN WITTER</v>
          </cell>
        </row>
      </sheetData>
      <sheetData sheetId="417">
        <row r="1">
          <cell r="A1" t="str">
            <v>MORGAN STANLEY DEAN WITTER</v>
          </cell>
        </row>
      </sheetData>
      <sheetData sheetId="418">
        <row r="1">
          <cell r="A1" t="str">
            <v>MORGAN STANLEY DEAN WITTER</v>
          </cell>
        </row>
      </sheetData>
      <sheetData sheetId="419">
        <row r="1">
          <cell r="A1" t="str">
            <v>MORGAN STANLEY DEAN WITTER</v>
          </cell>
        </row>
      </sheetData>
      <sheetData sheetId="420">
        <row r="1">
          <cell r="A1" t="str">
            <v>MORGAN STANLEY DEAN WITTER</v>
          </cell>
        </row>
      </sheetData>
      <sheetData sheetId="421">
        <row r="1">
          <cell r="A1" t="str">
            <v>MORGAN STANLEY DEAN WITTER</v>
          </cell>
        </row>
      </sheetData>
      <sheetData sheetId="422">
        <row r="1">
          <cell r="A1" t="str">
            <v>MORGAN STANLEY DEAN WITTER</v>
          </cell>
        </row>
      </sheetData>
      <sheetData sheetId="423">
        <row r="1">
          <cell r="A1" t="str">
            <v>MORGAN STANLEY DEAN WITTER</v>
          </cell>
        </row>
      </sheetData>
      <sheetData sheetId="424">
        <row r="1">
          <cell r="A1" t="str">
            <v>MORGAN STANLEY DEAN WITTER</v>
          </cell>
        </row>
      </sheetData>
      <sheetData sheetId="425">
        <row r="1">
          <cell r="A1" t="str">
            <v>MORGAN STANLEY DEAN WITTER</v>
          </cell>
        </row>
      </sheetData>
      <sheetData sheetId="426">
        <row r="1">
          <cell r="A1" t="str">
            <v>MORGAN STANLEY DEAN WITTER</v>
          </cell>
        </row>
      </sheetData>
      <sheetData sheetId="427">
        <row r="1">
          <cell r="A1" t="str">
            <v>MORGAN STANLEY DEAN WITTER</v>
          </cell>
        </row>
      </sheetData>
      <sheetData sheetId="428">
        <row r="1">
          <cell r="A1" t="str">
            <v>MORGAN STANLEY DEAN WITTER</v>
          </cell>
        </row>
      </sheetData>
      <sheetData sheetId="429">
        <row r="1">
          <cell r="A1" t="str">
            <v>MORGAN STANLEY DEAN WITTER</v>
          </cell>
        </row>
      </sheetData>
      <sheetData sheetId="430">
        <row r="1">
          <cell r="A1" t="str">
            <v>MORGAN STANLEY DEAN WITTER</v>
          </cell>
        </row>
      </sheetData>
      <sheetData sheetId="431">
        <row r="1">
          <cell r="A1" t="str">
            <v>MORGAN STANLEY DEAN WITTER</v>
          </cell>
        </row>
      </sheetData>
      <sheetData sheetId="432">
        <row r="1">
          <cell r="A1" t="str">
            <v>MORGAN STANLEY DEAN WITTER</v>
          </cell>
        </row>
      </sheetData>
      <sheetData sheetId="433">
        <row r="1">
          <cell r="A1" t="str">
            <v>MORGAN STANLEY DEAN WITTER</v>
          </cell>
        </row>
      </sheetData>
      <sheetData sheetId="434">
        <row r="1">
          <cell r="A1" t="str">
            <v>MORGAN STANLEY DEAN WITTER</v>
          </cell>
        </row>
      </sheetData>
      <sheetData sheetId="435">
        <row r="1">
          <cell r="A1" t="str">
            <v>MORGAN STANLEY DEAN WITTER</v>
          </cell>
        </row>
      </sheetData>
      <sheetData sheetId="436">
        <row r="1">
          <cell r="A1" t="str">
            <v>MORGAN STANLEY DEAN WITTER</v>
          </cell>
        </row>
      </sheetData>
      <sheetData sheetId="437">
        <row r="1">
          <cell r="A1" t="str">
            <v>MORGAN STANLEY DEAN WITTER</v>
          </cell>
        </row>
      </sheetData>
      <sheetData sheetId="438">
        <row r="1">
          <cell r="A1" t="str">
            <v>MORGAN STANLEY DEAN WITTER</v>
          </cell>
        </row>
      </sheetData>
      <sheetData sheetId="439">
        <row r="1">
          <cell r="A1" t="str">
            <v>MORGAN STANLEY DEAN WITTER</v>
          </cell>
        </row>
      </sheetData>
      <sheetData sheetId="440">
        <row r="1">
          <cell r="A1" t="str">
            <v>MORGAN STANLEY DEAN WITTER</v>
          </cell>
        </row>
      </sheetData>
      <sheetData sheetId="441">
        <row r="1">
          <cell r="A1" t="str">
            <v>MORGAN STANLEY DEAN WITTER</v>
          </cell>
        </row>
      </sheetData>
      <sheetData sheetId="442">
        <row r="1">
          <cell r="A1" t="str">
            <v>MORGAN STANLEY DEAN WITTER</v>
          </cell>
        </row>
      </sheetData>
      <sheetData sheetId="443">
        <row r="1">
          <cell r="A1" t="str">
            <v>MORGAN STANLEY DEAN WITTER</v>
          </cell>
        </row>
      </sheetData>
      <sheetData sheetId="444">
        <row r="1">
          <cell r="A1" t="str">
            <v>MORGAN STANLEY DEAN WITTER</v>
          </cell>
        </row>
      </sheetData>
      <sheetData sheetId="445">
        <row r="1">
          <cell r="A1" t="str">
            <v>MORGAN STANLEY DEAN WITTER</v>
          </cell>
        </row>
      </sheetData>
      <sheetData sheetId="446">
        <row r="1">
          <cell r="A1" t="str">
            <v>MORGAN STANLEY DEAN WITTER</v>
          </cell>
        </row>
      </sheetData>
      <sheetData sheetId="447">
        <row r="1">
          <cell r="A1" t="str">
            <v>MORGAN STANLEY DEAN WITTER</v>
          </cell>
        </row>
      </sheetData>
      <sheetData sheetId="448">
        <row r="1">
          <cell r="A1" t="str">
            <v>MORGAN STANLEY DEAN WITTER</v>
          </cell>
        </row>
      </sheetData>
      <sheetData sheetId="449">
        <row r="1">
          <cell r="A1" t="str">
            <v>MORGAN STANLEY DEAN WITTER</v>
          </cell>
        </row>
      </sheetData>
      <sheetData sheetId="450">
        <row r="1">
          <cell r="A1" t="str">
            <v>MORGAN STANLEY DEAN WITTER</v>
          </cell>
        </row>
      </sheetData>
      <sheetData sheetId="451">
        <row r="1">
          <cell r="A1" t="str">
            <v>MORGAN STANLEY DEAN WITTER</v>
          </cell>
        </row>
      </sheetData>
      <sheetData sheetId="452">
        <row r="1">
          <cell r="A1" t="str">
            <v>MORGAN STANLEY DEAN WITTER</v>
          </cell>
        </row>
      </sheetData>
      <sheetData sheetId="453">
        <row r="1">
          <cell r="A1" t="str">
            <v>MORGAN STANLEY DEAN WITTER</v>
          </cell>
        </row>
      </sheetData>
      <sheetData sheetId="454">
        <row r="1">
          <cell r="A1" t="str">
            <v>MORGAN STANLEY DEAN WITTER</v>
          </cell>
        </row>
      </sheetData>
      <sheetData sheetId="455">
        <row r="1">
          <cell r="A1" t="str">
            <v>MORGAN STANLEY DEAN WITTER</v>
          </cell>
        </row>
      </sheetData>
      <sheetData sheetId="456">
        <row r="1">
          <cell r="A1" t="str">
            <v>MORGAN STANLEY DEAN WITTER</v>
          </cell>
        </row>
      </sheetData>
      <sheetData sheetId="457">
        <row r="1">
          <cell r="A1" t="str">
            <v>MORGAN STANLEY DEAN WITTER</v>
          </cell>
        </row>
      </sheetData>
      <sheetData sheetId="458">
        <row r="1">
          <cell r="A1" t="str">
            <v>MORGAN STANLEY DEAN WITTER</v>
          </cell>
        </row>
      </sheetData>
      <sheetData sheetId="459">
        <row r="1">
          <cell r="A1" t="str">
            <v>MORGAN STANLEY DEAN WITTER</v>
          </cell>
        </row>
      </sheetData>
      <sheetData sheetId="460">
        <row r="1">
          <cell r="A1" t="str">
            <v>MORGAN STANLEY DEAN WITTER</v>
          </cell>
        </row>
      </sheetData>
      <sheetData sheetId="461">
        <row r="1">
          <cell r="A1" t="str">
            <v>MORGAN STANLEY DEAN WITTER</v>
          </cell>
        </row>
      </sheetData>
      <sheetData sheetId="462">
        <row r="1">
          <cell r="A1" t="str">
            <v>MORGAN STANLEY DEAN WITTER</v>
          </cell>
        </row>
      </sheetData>
      <sheetData sheetId="463">
        <row r="1">
          <cell r="A1" t="str">
            <v>MORGAN STANLEY DEAN WITTER</v>
          </cell>
        </row>
      </sheetData>
      <sheetData sheetId="464">
        <row r="1">
          <cell r="A1" t="str">
            <v>MORGAN STANLEY DEAN WITTER</v>
          </cell>
        </row>
      </sheetData>
      <sheetData sheetId="465">
        <row r="1">
          <cell r="A1" t="str">
            <v>MORGAN STANLEY DEAN WITTER</v>
          </cell>
        </row>
      </sheetData>
      <sheetData sheetId="466">
        <row r="1">
          <cell r="A1" t="str">
            <v>MORGAN STANLEY DEAN WITTER</v>
          </cell>
        </row>
      </sheetData>
      <sheetData sheetId="467">
        <row r="1">
          <cell r="A1" t="str">
            <v>MORGAN STANLEY DEAN WITTER</v>
          </cell>
        </row>
      </sheetData>
      <sheetData sheetId="468">
        <row r="1">
          <cell r="A1" t="str">
            <v>MORGAN STANLEY DEAN WITTER</v>
          </cell>
        </row>
      </sheetData>
      <sheetData sheetId="469">
        <row r="1">
          <cell r="A1" t="str">
            <v>MORGAN STANLEY DEAN WITTER</v>
          </cell>
        </row>
      </sheetData>
      <sheetData sheetId="470">
        <row r="1">
          <cell r="A1" t="str">
            <v>MORGAN STANLEY DEAN WITTER</v>
          </cell>
        </row>
      </sheetData>
      <sheetData sheetId="471">
        <row r="1">
          <cell r="A1" t="str">
            <v>MORGAN STANLEY DEAN WITTER</v>
          </cell>
        </row>
      </sheetData>
      <sheetData sheetId="472">
        <row r="1">
          <cell r="A1" t="str">
            <v>MORGAN STANLEY DEAN WITTER</v>
          </cell>
        </row>
      </sheetData>
      <sheetData sheetId="473">
        <row r="1">
          <cell r="A1" t="str">
            <v>MORGAN STANLEY DEAN WITTER</v>
          </cell>
        </row>
      </sheetData>
      <sheetData sheetId="474">
        <row r="1">
          <cell r="A1" t="str">
            <v>MORGAN STANLEY DEAN WITTER</v>
          </cell>
        </row>
      </sheetData>
      <sheetData sheetId="475">
        <row r="1">
          <cell r="A1" t="str">
            <v>MORGAN STANLEY DEAN WITTER</v>
          </cell>
        </row>
      </sheetData>
      <sheetData sheetId="476">
        <row r="1">
          <cell r="A1" t="str">
            <v>MORGAN STANLEY DEAN WITTER</v>
          </cell>
        </row>
      </sheetData>
      <sheetData sheetId="477">
        <row r="1">
          <cell r="A1" t="str">
            <v>MORGAN STANLEY DEAN WITTER</v>
          </cell>
        </row>
      </sheetData>
      <sheetData sheetId="478">
        <row r="1">
          <cell r="A1" t="str">
            <v>MORGAN STANLEY DEAN WITTER</v>
          </cell>
        </row>
      </sheetData>
      <sheetData sheetId="479">
        <row r="1">
          <cell r="A1" t="str">
            <v>MORGAN STANLEY DEAN WITTER</v>
          </cell>
        </row>
      </sheetData>
      <sheetData sheetId="480">
        <row r="1">
          <cell r="A1" t="str">
            <v>MORGAN STANLEY DEAN WITTER</v>
          </cell>
        </row>
      </sheetData>
      <sheetData sheetId="481">
        <row r="1">
          <cell r="A1" t="str">
            <v>MORGAN STANLEY DEAN WITTER</v>
          </cell>
        </row>
      </sheetData>
      <sheetData sheetId="482">
        <row r="1">
          <cell r="A1" t="str">
            <v>MORGAN STANLEY DEAN WITTER</v>
          </cell>
        </row>
      </sheetData>
      <sheetData sheetId="483">
        <row r="1">
          <cell r="A1" t="str">
            <v>MORGAN STANLEY DEAN WITTER</v>
          </cell>
        </row>
      </sheetData>
      <sheetData sheetId="484">
        <row r="1">
          <cell r="A1" t="str">
            <v>MORGAN STANLEY DEAN WITTER</v>
          </cell>
        </row>
      </sheetData>
      <sheetData sheetId="485">
        <row r="1">
          <cell r="A1" t="str">
            <v>MORGAN STANLEY DEAN WITTER</v>
          </cell>
        </row>
      </sheetData>
      <sheetData sheetId="486">
        <row r="1">
          <cell r="A1" t="str">
            <v>MORGAN STANLEY DEAN WITTER</v>
          </cell>
        </row>
      </sheetData>
      <sheetData sheetId="487">
        <row r="1">
          <cell r="A1" t="str">
            <v>MORGAN STANLEY DEAN WITTER</v>
          </cell>
        </row>
      </sheetData>
      <sheetData sheetId="488">
        <row r="1">
          <cell r="A1" t="str">
            <v>MORGAN STANLEY DEAN WITTER</v>
          </cell>
        </row>
      </sheetData>
      <sheetData sheetId="489">
        <row r="1">
          <cell r="A1" t="str">
            <v>MORGAN STANLEY DEAN WITTER</v>
          </cell>
        </row>
      </sheetData>
      <sheetData sheetId="490">
        <row r="1">
          <cell r="A1" t="str">
            <v>MORGAN STANLEY DEAN WITTER</v>
          </cell>
        </row>
      </sheetData>
      <sheetData sheetId="491">
        <row r="1">
          <cell r="A1" t="str">
            <v>MORGAN STANLEY DEAN WITTER</v>
          </cell>
        </row>
      </sheetData>
      <sheetData sheetId="492">
        <row r="1">
          <cell r="A1" t="str">
            <v>MORGAN STANLEY DEAN WITTER</v>
          </cell>
        </row>
      </sheetData>
      <sheetData sheetId="493">
        <row r="1">
          <cell r="A1" t="str">
            <v>MORGAN STANLEY DEAN WITTER</v>
          </cell>
        </row>
      </sheetData>
      <sheetData sheetId="494">
        <row r="1">
          <cell r="A1" t="str">
            <v>MORGAN STANLEY DEAN WITTER</v>
          </cell>
        </row>
      </sheetData>
      <sheetData sheetId="495">
        <row r="1">
          <cell r="A1" t="str">
            <v>MORGAN STANLEY DEAN WITTER</v>
          </cell>
        </row>
      </sheetData>
      <sheetData sheetId="496">
        <row r="1">
          <cell r="A1" t="str">
            <v>MORGAN STANLEY DEAN WITTER</v>
          </cell>
        </row>
      </sheetData>
      <sheetData sheetId="497">
        <row r="1">
          <cell r="A1" t="str">
            <v>MORGAN STANLEY DEAN WITTER</v>
          </cell>
        </row>
      </sheetData>
      <sheetData sheetId="498">
        <row r="1">
          <cell r="A1" t="str">
            <v>MORGAN STANLEY DEAN WITTER</v>
          </cell>
        </row>
      </sheetData>
      <sheetData sheetId="499">
        <row r="1">
          <cell r="A1" t="str">
            <v>MORGAN STANLEY DEAN WITTER</v>
          </cell>
        </row>
      </sheetData>
      <sheetData sheetId="500">
        <row r="1">
          <cell r="A1" t="str">
            <v>MORGAN STANLEY DEAN WITTER</v>
          </cell>
        </row>
      </sheetData>
      <sheetData sheetId="501">
        <row r="1">
          <cell r="A1" t="str">
            <v>MORGAN STANLEY DEAN WITTER</v>
          </cell>
        </row>
      </sheetData>
      <sheetData sheetId="502">
        <row r="1">
          <cell r="A1" t="str">
            <v>MORGAN STANLEY DEAN WITTER</v>
          </cell>
        </row>
      </sheetData>
      <sheetData sheetId="503">
        <row r="1">
          <cell r="A1" t="str">
            <v>MORGAN STANLEY DEAN WITTER</v>
          </cell>
        </row>
      </sheetData>
      <sheetData sheetId="504">
        <row r="1">
          <cell r="A1" t="str">
            <v>MORGAN STANLEY DEAN WITTER</v>
          </cell>
        </row>
      </sheetData>
      <sheetData sheetId="505">
        <row r="1">
          <cell r="A1" t="str">
            <v>MORGAN STANLEY DEAN WITTER</v>
          </cell>
        </row>
      </sheetData>
      <sheetData sheetId="506">
        <row r="1">
          <cell r="A1" t="str">
            <v>MORGAN STANLEY DEAN WITTER</v>
          </cell>
        </row>
      </sheetData>
      <sheetData sheetId="507">
        <row r="1">
          <cell r="A1" t="str">
            <v>MORGAN STANLEY DEAN WITTER</v>
          </cell>
        </row>
      </sheetData>
      <sheetData sheetId="508">
        <row r="1">
          <cell r="A1" t="str">
            <v>MORGAN STANLEY DEAN WITTER</v>
          </cell>
        </row>
      </sheetData>
      <sheetData sheetId="509">
        <row r="1">
          <cell r="A1" t="str">
            <v>MORGAN STANLEY DEAN WITTER</v>
          </cell>
        </row>
      </sheetData>
      <sheetData sheetId="510">
        <row r="1">
          <cell r="A1" t="str">
            <v>MORGAN STANLEY DEAN WITTER</v>
          </cell>
        </row>
      </sheetData>
      <sheetData sheetId="511">
        <row r="1">
          <cell r="A1" t="str">
            <v>MORGAN STANLEY DEAN WITTER</v>
          </cell>
        </row>
      </sheetData>
      <sheetData sheetId="512">
        <row r="1">
          <cell r="A1" t="str">
            <v>MORGAN STANLEY DEAN WITTER</v>
          </cell>
        </row>
      </sheetData>
      <sheetData sheetId="513">
        <row r="1">
          <cell r="A1" t="str">
            <v>MORGAN STANLEY DEAN WITTER</v>
          </cell>
        </row>
      </sheetData>
      <sheetData sheetId="514">
        <row r="1">
          <cell r="A1" t="str">
            <v>MORGAN STANLEY DEAN WITTER</v>
          </cell>
        </row>
      </sheetData>
      <sheetData sheetId="515">
        <row r="1">
          <cell r="A1" t="str">
            <v>MORGAN STANLEY DEAN WITTER</v>
          </cell>
        </row>
      </sheetData>
      <sheetData sheetId="516">
        <row r="1">
          <cell r="A1" t="str">
            <v>MORGAN STANLEY DEAN WITTER</v>
          </cell>
        </row>
      </sheetData>
      <sheetData sheetId="517">
        <row r="1">
          <cell r="A1" t="str">
            <v>MORGAN STANLEY DEAN WITTER</v>
          </cell>
        </row>
      </sheetData>
      <sheetData sheetId="518">
        <row r="1">
          <cell r="A1" t="str">
            <v>MORGAN STANLEY DEAN WITTER</v>
          </cell>
        </row>
      </sheetData>
      <sheetData sheetId="519">
        <row r="1">
          <cell r="A1" t="str">
            <v>MORGAN STANLEY DEAN WITTER</v>
          </cell>
        </row>
      </sheetData>
      <sheetData sheetId="520">
        <row r="1">
          <cell r="A1" t="str">
            <v>MORGAN STANLEY DEAN WITTER</v>
          </cell>
        </row>
      </sheetData>
      <sheetData sheetId="521">
        <row r="1">
          <cell r="A1" t="str">
            <v>MORGAN STANLEY DEAN WITTER</v>
          </cell>
        </row>
      </sheetData>
      <sheetData sheetId="522">
        <row r="1">
          <cell r="A1" t="str">
            <v>MORGAN STANLEY DEAN WITTER</v>
          </cell>
        </row>
      </sheetData>
      <sheetData sheetId="523">
        <row r="1">
          <cell r="A1" t="str">
            <v>MORGAN STANLEY DEAN WITTER</v>
          </cell>
        </row>
      </sheetData>
      <sheetData sheetId="524">
        <row r="1">
          <cell r="A1" t="str">
            <v>MORGAN STANLEY DEAN WITTER</v>
          </cell>
        </row>
      </sheetData>
      <sheetData sheetId="525">
        <row r="1">
          <cell r="A1" t="str">
            <v>MORGAN STANLEY DEAN WITTER</v>
          </cell>
        </row>
      </sheetData>
      <sheetData sheetId="526">
        <row r="1">
          <cell r="A1" t="str">
            <v>MORGAN STANLEY DEAN WITTER</v>
          </cell>
        </row>
      </sheetData>
      <sheetData sheetId="527">
        <row r="1">
          <cell r="A1" t="str">
            <v>MORGAN STANLEY DEAN WITTER</v>
          </cell>
        </row>
      </sheetData>
      <sheetData sheetId="528">
        <row r="1">
          <cell r="A1" t="str">
            <v>MORGAN STANLEY DEAN WITTER</v>
          </cell>
        </row>
      </sheetData>
      <sheetData sheetId="529">
        <row r="1">
          <cell r="A1" t="str">
            <v>MORGAN STANLEY DEAN WITTER</v>
          </cell>
        </row>
      </sheetData>
      <sheetData sheetId="530">
        <row r="1">
          <cell r="A1" t="str">
            <v>MORGAN STANLEY DEAN WITTER</v>
          </cell>
        </row>
      </sheetData>
      <sheetData sheetId="531">
        <row r="1">
          <cell r="A1" t="str">
            <v>MORGAN STANLEY DEAN WITTER</v>
          </cell>
        </row>
      </sheetData>
      <sheetData sheetId="532">
        <row r="1">
          <cell r="A1" t="str">
            <v>MORGAN STANLEY DEAN WITTER</v>
          </cell>
        </row>
      </sheetData>
      <sheetData sheetId="533">
        <row r="1">
          <cell r="A1" t="str">
            <v>MORGAN STANLEY DEAN WITTER</v>
          </cell>
        </row>
      </sheetData>
      <sheetData sheetId="534">
        <row r="1">
          <cell r="A1" t="str">
            <v>MORGAN STANLEY DEAN WITTER</v>
          </cell>
        </row>
      </sheetData>
      <sheetData sheetId="535">
        <row r="1">
          <cell r="A1" t="str">
            <v>MORGAN STANLEY DEAN WITTER</v>
          </cell>
        </row>
      </sheetData>
      <sheetData sheetId="536">
        <row r="1">
          <cell r="A1" t="str">
            <v>MORGAN STANLEY DEAN WITTER</v>
          </cell>
        </row>
      </sheetData>
      <sheetData sheetId="537">
        <row r="1">
          <cell r="A1" t="str">
            <v>MORGAN STANLEY DEAN WITTER</v>
          </cell>
        </row>
      </sheetData>
      <sheetData sheetId="538">
        <row r="1">
          <cell r="A1" t="str">
            <v>MORGAN STANLEY DEAN WITTER</v>
          </cell>
        </row>
      </sheetData>
      <sheetData sheetId="539"/>
      <sheetData sheetId="540"/>
      <sheetData sheetId="541"/>
      <sheetData sheetId="542"/>
      <sheetData sheetId="543">
        <row r="1">
          <cell r="A1" t="str">
            <v>MORGAN STANLEY DEAN WITTER</v>
          </cell>
        </row>
      </sheetData>
      <sheetData sheetId="544">
        <row r="1">
          <cell r="A1" t="str">
            <v>MORGAN STANLEY DEAN WITTER</v>
          </cell>
        </row>
      </sheetData>
      <sheetData sheetId="545"/>
      <sheetData sheetId="546"/>
      <sheetData sheetId="547"/>
      <sheetData sheetId="548">
        <row r="1">
          <cell r="A1" t="str">
            <v>MORGAN STANLEY DEAN WITTER</v>
          </cell>
        </row>
      </sheetData>
      <sheetData sheetId="549"/>
      <sheetData sheetId="550"/>
      <sheetData sheetId="551"/>
      <sheetData sheetId="552"/>
      <sheetData sheetId="553"/>
      <sheetData sheetId="554"/>
      <sheetData sheetId="555">
        <row r="1">
          <cell r="A1" t="str">
            <v>MORGAN STANLEY DEAN WITTER</v>
          </cell>
        </row>
      </sheetData>
      <sheetData sheetId="556">
        <row r="1">
          <cell r="A1" t="str">
            <v>MORGAN STANLEY DEAN WITTER</v>
          </cell>
        </row>
      </sheetData>
      <sheetData sheetId="557">
        <row r="1">
          <cell r="A1" t="str">
            <v>MORGAN STANLEY DEAN WITTER</v>
          </cell>
        </row>
      </sheetData>
      <sheetData sheetId="558">
        <row r="1">
          <cell r="A1" t="str">
            <v>MORGAN STANLEY DEAN WITTER</v>
          </cell>
        </row>
      </sheetData>
      <sheetData sheetId="559">
        <row r="1">
          <cell r="A1" t="str">
            <v>MORGAN STANLEY DEAN WITTER</v>
          </cell>
        </row>
      </sheetData>
      <sheetData sheetId="560">
        <row r="1">
          <cell r="A1" t="str">
            <v>MORGAN STANLEY DEAN WITTER</v>
          </cell>
        </row>
      </sheetData>
      <sheetData sheetId="561">
        <row r="1">
          <cell r="A1" t="str">
            <v>MORGAN STANLEY DEAN WITTER</v>
          </cell>
        </row>
      </sheetData>
      <sheetData sheetId="562">
        <row r="1">
          <cell r="A1" t="str">
            <v>MORGAN STANLEY DEAN WITTER</v>
          </cell>
        </row>
      </sheetData>
      <sheetData sheetId="563">
        <row r="1">
          <cell r="A1" t="str">
            <v>MORGAN STANLEY DEAN WITTER</v>
          </cell>
        </row>
      </sheetData>
      <sheetData sheetId="564">
        <row r="1">
          <cell r="A1" t="str">
            <v>MORGAN STANLEY DEAN WITTER</v>
          </cell>
        </row>
      </sheetData>
      <sheetData sheetId="565">
        <row r="1">
          <cell r="A1" t="str">
            <v>MORGAN STANLEY DEAN WITTER</v>
          </cell>
        </row>
      </sheetData>
      <sheetData sheetId="566">
        <row r="1">
          <cell r="A1" t="str">
            <v>MORGAN STANLEY DEAN WITTER</v>
          </cell>
        </row>
      </sheetData>
      <sheetData sheetId="567">
        <row r="1">
          <cell r="A1" t="str">
            <v>MORGAN STANLEY DEAN WITTER</v>
          </cell>
        </row>
      </sheetData>
      <sheetData sheetId="568">
        <row r="1">
          <cell r="A1" t="str">
            <v>MORGAN STANLEY DEAN WITTER</v>
          </cell>
        </row>
      </sheetData>
      <sheetData sheetId="569">
        <row r="1">
          <cell r="A1" t="str">
            <v>MORGAN STANLEY DEAN WITTER</v>
          </cell>
        </row>
      </sheetData>
      <sheetData sheetId="570">
        <row r="1">
          <cell r="A1" t="str">
            <v>MORGAN STANLEY DEAN WITTER</v>
          </cell>
        </row>
      </sheetData>
      <sheetData sheetId="571">
        <row r="1">
          <cell r="A1" t="str">
            <v>MORGAN STANLEY DEAN WITTER</v>
          </cell>
        </row>
      </sheetData>
      <sheetData sheetId="572">
        <row r="1">
          <cell r="A1" t="str">
            <v>MORGAN STANLEY DEAN WITTER</v>
          </cell>
        </row>
      </sheetData>
      <sheetData sheetId="573">
        <row r="1">
          <cell r="A1" t="str">
            <v>MORGAN STANLEY DEAN WITTER</v>
          </cell>
        </row>
      </sheetData>
      <sheetData sheetId="574">
        <row r="1">
          <cell r="A1" t="str">
            <v>MORGAN STANLEY DEAN WITTER</v>
          </cell>
        </row>
      </sheetData>
      <sheetData sheetId="575">
        <row r="1">
          <cell r="A1" t="str">
            <v>MORGAN STANLEY DEAN WITTER</v>
          </cell>
        </row>
      </sheetData>
      <sheetData sheetId="576">
        <row r="1">
          <cell r="A1" t="str">
            <v>MORGAN STANLEY DEAN WITTER</v>
          </cell>
        </row>
      </sheetData>
      <sheetData sheetId="577">
        <row r="1">
          <cell r="A1" t="str">
            <v>MORGAN STANLEY DEAN WITTER</v>
          </cell>
        </row>
      </sheetData>
      <sheetData sheetId="578">
        <row r="1">
          <cell r="A1" t="str">
            <v>MORGAN STANLEY DEAN WITTER</v>
          </cell>
        </row>
      </sheetData>
      <sheetData sheetId="579">
        <row r="1">
          <cell r="A1" t="str">
            <v>MORGAN STANLEY DEAN WITTER</v>
          </cell>
        </row>
      </sheetData>
      <sheetData sheetId="580">
        <row r="1">
          <cell r="A1" t="str">
            <v>MORGAN STANLEY DEAN WITTER</v>
          </cell>
        </row>
      </sheetData>
      <sheetData sheetId="581">
        <row r="1">
          <cell r="A1" t="str">
            <v>MORGAN STANLEY DEAN WITTER</v>
          </cell>
        </row>
      </sheetData>
      <sheetData sheetId="582">
        <row r="1">
          <cell r="A1" t="str">
            <v>MORGAN STANLEY DEAN WITTER</v>
          </cell>
        </row>
      </sheetData>
      <sheetData sheetId="583">
        <row r="1">
          <cell r="A1" t="str">
            <v>MORGAN STANLEY DEAN WITTER</v>
          </cell>
        </row>
      </sheetData>
      <sheetData sheetId="584">
        <row r="1">
          <cell r="A1" t="str">
            <v>MORGAN STANLEY DEAN WITTER</v>
          </cell>
        </row>
      </sheetData>
      <sheetData sheetId="585">
        <row r="1">
          <cell r="A1" t="str">
            <v>MORGAN STANLEY DEAN WITTER</v>
          </cell>
        </row>
      </sheetData>
      <sheetData sheetId="586">
        <row r="1">
          <cell r="A1" t="str">
            <v>MORGAN STANLEY DEAN WITTER</v>
          </cell>
        </row>
      </sheetData>
      <sheetData sheetId="587">
        <row r="1">
          <cell r="A1" t="str">
            <v>MORGAN STANLEY DEAN WITTER</v>
          </cell>
        </row>
      </sheetData>
      <sheetData sheetId="588">
        <row r="1">
          <cell r="A1" t="str">
            <v>MORGAN STANLEY DEAN WITTER</v>
          </cell>
        </row>
      </sheetData>
      <sheetData sheetId="589">
        <row r="1">
          <cell r="A1" t="str">
            <v>MORGAN STANLEY DEAN WITTER</v>
          </cell>
        </row>
      </sheetData>
      <sheetData sheetId="590">
        <row r="1">
          <cell r="A1" t="str">
            <v>MORGAN STANLEY DEAN WITTER</v>
          </cell>
        </row>
      </sheetData>
      <sheetData sheetId="591">
        <row r="1">
          <cell r="A1" t="str">
            <v>MORGAN STANLEY DEAN WITTER</v>
          </cell>
        </row>
      </sheetData>
      <sheetData sheetId="592">
        <row r="1">
          <cell r="A1" t="str">
            <v>MORGAN STANLEY DEAN WITTER</v>
          </cell>
        </row>
      </sheetData>
      <sheetData sheetId="593">
        <row r="1">
          <cell r="A1" t="str">
            <v>MORGAN STANLEY DEAN WITTER</v>
          </cell>
        </row>
      </sheetData>
      <sheetData sheetId="594">
        <row r="1">
          <cell r="A1" t="str">
            <v>MORGAN STANLEY DEAN WITTER</v>
          </cell>
        </row>
      </sheetData>
      <sheetData sheetId="595">
        <row r="1">
          <cell r="A1" t="str">
            <v>MORGAN STANLEY DEAN WITTER</v>
          </cell>
        </row>
      </sheetData>
      <sheetData sheetId="596">
        <row r="1">
          <cell r="A1" t="str">
            <v>MORGAN STANLEY DEAN WITTER</v>
          </cell>
        </row>
      </sheetData>
      <sheetData sheetId="597">
        <row r="1">
          <cell r="A1" t="str">
            <v>MORGAN STANLEY DEAN WITTER</v>
          </cell>
        </row>
      </sheetData>
      <sheetData sheetId="598">
        <row r="1">
          <cell r="A1" t="str">
            <v>MORGAN STANLEY DEAN WITTER</v>
          </cell>
        </row>
      </sheetData>
      <sheetData sheetId="599">
        <row r="1">
          <cell r="A1" t="str">
            <v>MORGAN STANLEY DEAN WITTER</v>
          </cell>
        </row>
      </sheetData>
      <sheetData sheetId="600">
        <row r="1">
          <cell r="A1" t="str">
            <v>MORGAN STANLEY DEAN WITTER</v>
          </cell>
        </row>
      </sheetData>
      <sheetData sheetId="601">
        <row r="1">
          <cell r="A1" t="str">
            <v>MORGAN STANLEY DEAN WITTER</v>
          </cell>
        </row>
      </sheetData>
      <sheetData sheetId="602">
        <row r="1">
          <cell r="A1" t="str">
            <v>MORGAN STANLEY DEAN WITTER</v>
          </cell>
        </row>
      </sheetData>
      <sheetData sheetId="603">
        <row r="1">
          <cell r="A1" t="str">
            <v>MORGAN STANLEY DEAN WITTER</v>
          </cell>
        </row>
      </sheetData>
      <sheetData sheetId="604">
        <row r="1">
          <cell r="A1" t="str">
            <v>MORGAN STANLEY DEAN WITTER</v>
          </cell>
        </row>
      </sheetData>
      <sheetData sheetId="605">
        <row r="1">
          <cell r="A1" t="str">
            <v>MORGAN STANLEY DEAN WITTER</v>
          </cell>
        </row>
      </sheetData>
      <sheetData sheetId="606">
        <row r="1">
          <cell r="A1" t="str">
            <v>MORGAN STANLEY DEAN WITTER</v>
          </cell>
        </row>
      </sheetData>
      <sheetData sheetId="607">
        <row r="1">
          <cell r="A1" t="str">
            <v>MORGAN STANLEY DEAN WITTER</v>
          </cell>
        </row>
      </sheetData>
      <sheetData sheetId="608">
        <row r="1">
          <cell r="A1" t="str">
            <v>MORGAN STANLEY DEAN WITTER</v>
          </cell>
        </row>
      </sheetData>
      <sheetData sheetId="609">
        <row r="1">
          <cell r="A1" t="str">
            <v>MORGAN STANLEY DEAN WITTER</v>
          </cell>
        </row>
      </sheetData>
      <sheetData sheetId="610">
        <row r="1">
          <cell r="A1" t="str">
            <v>MORGAN STANLEY DEAN WITTER</v>
          </cell>
        </row>
      </sheetData>
      <sheetData sheetId="611">
        <row r="1">
          <cell r="A1" t="str">
            <v>MORGAN STANLEY DEAN WITTER</v>
          </cell>
        </row>
      </sheetData>
      <sheetData sheetId="612">
        <row r="1">
          <cell r="A1" t="str">
            <v>MORGAN STANLEY DEAN WITTER</v>
          </cell>
        </row>
      </sheetData>
      <sheetData sheetId="613">
        <row r="1">
          <cell r="A1" t="str">
            <v>MORGAN STANLEY DEAN WITTER</v>
          </cell>
        </row>
      </sheetData>
      <sheetData sheetId="614">
        <row r="1">
          <cell r="A1" t="str">
            <v>MORGAN STANLEY DEAN WITTER</v>
          </cell>
        </row>
      </sheetData>
      <sheetData sheetId="615">
        <row r="1">
          <cell r="A1" t="str">
            <v>MORGAN STANLEY DEAN WITTER</v>
          </cell>
        </row>
      </sheetData>
      <sheetData sheetId="616">
        <row r="1">
          <cell r="A1" t="str">
            <v>MORGAN STANLEY DEAN WITTER</v>
          </cell>
        </row>
      </sheetData>
      <sheetData sheetId="617">
        <row r="1">
          <cell r="A1" t="str">
            <v>MORGAN STANLEY DEAN WITTER</v>
          </cell>
        </row>
      </sheetData>
      <sheetData sheetId="618">
        <row r="1">
          <cell r="A1" t="str">
            <v>MORGAN STANLEY DEAN WITTER</v>
          </cell>
        </row>
      </sheetData>
      <sheetData sheetId="619">
        <row r="1">
          <cell r="A1" t="str">
            <v>MORGAN STANLEY DEAN WITTER</v>
          </cell>
        </row>
      </sheetData>
      <sheetData sheetId="620">
        <row r="1">
          <cell r="A1" t="str">
            <v>MORGAN STANLEY DEAN WITTER</v>
          </cell>
        </row>
      </sheetData>
      <sheetData sheetId="621">
        <row r="1">
          <cell r="A1" t="str">
            <v>MORGAN STANLEY DEAN WITTER</v>
          </cell>
        </row>
      </sheetData>
      <sheetData sheetId="622">
        <row r="1">
          <cell r="A1" t="str">
            <v>MORGAN STANLEY DEAN WITTER</v>
          </cell>
        </row>
      </sheetData>
      <sheetData sheetId="623">
        <row r="1">
          <cell r="A1" t="str">
            <v>MORGAN STANLEY DEAN WITTER</v>
          </cell>
        </row>
      </sheetData>
      <sheetData sheetId="624">
        <row r="1">
          <cell r="A1" t="str">
            <v>MORGAN STANLEY DEAN WITTER</v>
          </cell>
        </row>
      </sheetData>
      <sheetData sheetId="625">
        <row r="1">
          <cell r="A1" t="str">
            <v>MORGAN STANLEY DEAN WITTER</v>
          </cell>
        </row>
      </sheetData>
      <sheetData sheetId="626">
        <row r="1">
          <cell r="A1" t="str">
            <v>MORGAN STANLEY DEAN WITTER</v>
          </cell>
        </row>
      </sheetData>
      <sheetData sheetId="627">
        <row r="1">
          <cell r="A1" t="str">
            <v>MORGAN STANLEY DEAN WITTER</v>
          </cell>
        </row>
      </sheetData>
      <sheetData sheetId="628">
        <row r="1">
          <cell r="A1" t="str">
            <v>MORGAN STANLEY DEAN WITTER</v>
          </cell>
        </row>
      </sheetData>
      <sheetData sheetId="629">
        <row r="1">
          <cell r="A1" t="str">
            <v>MORGAN STANLEY DEAN WITTER</v>
          </cell>
        </row>
      </sheetData>
      <sheetData sheetId="630">
        <row r="1">
          <cell r="A1" t="str">
            <v>MORGAN STANLEY DEAN WITTER</v>
          </cell>
        </row>
      </sheetData>
      <sheetData sheetId="631">
        <row r="1">
          <cell r="A1" t="str">
            <v>MORGAN STANLEY DEAN WITTER</v>
          </cell>
        </row>
      </sheetData>
      <sheetData sheetId="632">
        <row r="1">
          <cell r="A1" t="str">
            <v>MORGAN STANLEY DEAN WITTER</v>
          </cell>
        </row>
      </sheetData>
      <sheetData sheetId="633">
        <row r="1">
          <cell r="A1" t="str">
            <v>MORGAN STANLEY DEAN WITTER</v>
          </cell>
        </row>
      </sheetData>
      <sheetData sheetId="634">
        <row r="1">
          <cell r="A1" t="str">
            <v>MORGAN STANLEY DEAN WITTER</v>
          </cell>
        </row>
      </sheetData>
      <sheetData sheetId="635">
        <row r="1">
          <cell r="A1" t="str">
            <v>MORGAN STANLEY DEAN WITTER</v>
          </cell>
        </row>
      </sheetData>
      <sheetData sheetId="636">
        <row r="1">
          <cell r="A1" t="str">
            <v>MORGAN STANLEY DEAN WITTER</v>
          </cell>
        </row>
      </sheetData>
      <sheetData sheetId="637">
        <row r="1">
          <cell r="A1" t="str">
            <v>MORGAN STANLEY DEAN WITTER</v>
          </cell>
        </row>
      </sheetData>
      <sheetData sheetId="638">
        <row r="1">
          <cell r="A1" t="str">
            <v>MORGAN STANLEY DEAN WITTER</v>
          </cell>
        </row>
      </sheetData>
      <sheetData sheetId="639">
        <row r="1">
          <cell r="A1" t="str">
            <v>MORGAN STANLEY DEAN WITTER</v>
          </cell>
        </row>
      </sheetData>
      <sheetData sheetId="640">
        <row r="1">
          <cell r="A1" t="str">
            <v>MORGAN STANLEY DEAN WITTER</v>
          </cell>
        </row>
      </sheetData>
      <sheetData sheetId="641">
        <row r="1">
          <cell r="A1" t="str">
            <v>MORGAN STANLEY DEAN WITTER</v>
          </cell>
        </row>
      </sheetData>
      <sheetData sheetId="642">
        <row r="1">
          <cell r="A1" t="str">
            <v>MORGAN STANLEY DEAN WITTER</v>
          </cell>
        </row>
      </sheetData>
      <sheetData sheetId="643">
        <row r="1">
          <cell r="A1" t="str">
            <v>MORGAN STANLEY DEAN WITTER</v>
          </cell>
        </row>
      </sheetData>
      <sheetData sheetId="644">
        <row r="1">
          <cell r="A1" t="str">
            <v>MORGAN STANLEY DEAN WITTER</v>
          </cell>
        </row>
      </sheetData>
      <sheetData sheetId="645">
        <row r="1">
          <cell r="A1" t="str">
            <v>MORGAN STANLEY DEAN WITTER</v>
          </cell>
        </row>
      </sheetData>
      <sheetData sheetId="646">
        <row r="1">
          <cell r="A1" t="str">
            <v>MORGAN STANLEY DEAN WITTER</v>
          </cell>
        </row>
      </sheetData>
      <sheetData sheetId="647">
        <row r="1">
          <cell r="A1" t="str">
            <v>MORGAN STANLEY DEAN WITTER</v>
          </cell>
        </row>
      </sheetData>
      <sheetData sheetId="648">
        <row r="1">
          <cell r="A1" t="str">
            <v>MORGAN STANLEY DEAN WITTER</v>
          </cell>
        </row>
      </sheetData>
      <sheetData sheetId="649">
        <row r="1">
          <cell r="A1" t="str">
            <v>MORGAN STANLEY DEAN WITTER</v>
          </cell>
        </row>
      </sheetData>
      <sheetData sheetId="650">
        <row r="1">
          <cell r="A1" t="str">
            <v>MORGAN STANLEY DEAN WITTER</v>
          </cell>
        </row>
      </sheetData>
      <sheetData sheetId="651">
        <row r="1">
          <cell r="A1" t="str">
            <v>MORGAN STANLEY DEAN WITTER</v>
          </cell>
        </row>
      </sheetData>
      <sheetData sheetId="652">
        <row r="1">
          <cell r="A1" t="str">
            <v>MORGAN STANLEY DEAN WITTER</v>
          </cell>
        </row>
      </sheetData>
      <sheetData sheetId="653">
        <row r="1">
          <cell r="A1" t="str">
            <v>MORGAN STANLEY DEAN WITTER</v>
          </cell>
        </row>
      </sheetData>
      <sheetData sheetId="654">
        <row r="1">
          <cell r="A1" t="str">
            <v>MORGAN STANLEY DEAN WITTER</v>
          </cell>
        </row>
      </sheetData>
      <sheetData sheetId="655">
        <row r="1">
          <cell r="A1" t="str">
            <v>MORGAN STANLEY DEAN WITTER</v>
          </cell>
        </row>
      </sheetData>
      <sheetData sheetId="656">
        <row r="1">
          <cell r="A1" t="str">
            <v>MORGAN STANLEY DEAN WITTER</v>
          </cell>
        </row>
      </sheetData>
      <sheetData sheetId="657">
        <row r="1">
          <cell r="A1" t="str">
            <v>MORGAN STANLEY DEAN WITTER</v>
          </cell>
        </row>
      </sheetData>
      <sheetData sheetId="658">
        <row r="1">
          <cell r="A1" t="str">
            <v>MORGAN STANLEY DEAN WITTER</v>
          </cell>
        </row>
      </sheetData>
      <sheetData sheetId="659">
        <row r="1">
          <cell r="A1" t="str">
            <v>MORGAN STANLEY DEAN WITTER</v>
          </cell>
        </row>
      </sheetData>
      <sheetData sheetId="660">
        <row r="1">
          <cell r="A1" t="str">
            <v>MORGAN STANLEY DEAN WITTER</v>
          </cell>
        </row>
      </sheetData>
      <sheetData sheetId="661">
        <row r="1">
          <cell r="A1" t="str">
            <v>MORGAN STANLEY DEAN WITTER</v>
          </cell>
        </row>
      </sheetData>
      <sheetData sheetId="662">
        <row r="1">
          <cell r="A1" t="str">
            <v>MORGAN STANLEY DEAN WITTER</v>
          </cell>
        </row>
      </sheetData>
      <sheetData sheetId="663">
        <row r="1">
          <cell r="A1" t="str">
            <v>MORGAN STANLEY DEAN WITTER</v>
          </cell>
        </row>
      </sheetData>
      <sheetData sheetId="664">
        <row r="1">
          <cell r="A1" t="str">
            <v>MORGAN STANLEY DEAN WITTER</v>
          </cell>
        </row>
      </sheetData>
      <sheetData sheetId="665">
        <row r="1">
          <cell r="A1" t="str">
            <v>MORGAN STANLEY DEAN WITTER</v>
          </cell>
        </row>
      </sheetData>
      <sheetData sheetId="666">
        <row r="1">
          <cell r="A1" t="str">
            <v>MORGAN STANLEY DEAN WITTER</v>
          </cell>
        </row>
      </sheetData>
      <sheetData sheetId="667">
        <row r="1">
          <cell r="A1" t="str">
            <v>MORGAN STANLEY DEAN WITTER</v>
          </cell>
        </row>
      </sheetData>
      <sheetData sheetId="668">
        <row r="1">
          <cell r="A1" t="str">
            <v>MORGAN STANLEY DEAN WITTER</v>
          </cell>
        </row>
      </sheetData>
      <sheetData sheetId="669">
        <row r="1">
          <cell r="A1" t="str">
            <v>MORGAN STANLEY DEAN WITTER</v>
          </cell>
        </row>
      </sheetData>
      <sheetData sheetId="670">
        <row r="1">
          <cell r="A1" t="str">
            <v>MORGAN STANLEY DEAN WITTER</v>
          </cell>
        </row>
      </sheetData>
      <sheetData sheetId="671">
        <row r="1">
          <cell r="A1" t="str">
            <v>MORGAN STANLEY DEAN WITTER</v>
          </cell>
        </row>
      </sheetData>
      <sheetData sheetId="672">
        <row r="1">
          <cell r="A1" t="str">
            <v>MORGAN STANLEY DEAN WITTER</v>
          </cell>
        </row>
      </sheetData>
      <sheetData sheetId="673">
        <row r="1">
          <cell r="A1" t="str">
            <v>MORGAN STANLEY DEAN WITTER</v>
          </cell>
        </row>
      </sheetData>
      <sheetData sheetId="674">
        <row r="1">
          <cell r="A1" t="str">
            <v>MORGAN STANLEY DEAN WITTER</v>
          </cell>
        </row>
      </sheetData>
      <sheetData sheetId="675">
        <row r="1">
          <cell r="A1" t="str">
            <v>MORGAN STANLEY DEAN WITTER</v>
          </cell>
        </row>
      </sheetData>
      <sheetData sheetId="676">
        <row r="1">
          <cell r="A1" t="str">
            <v>MORGAN STANLEY DEAN WITTER</v>
          </cell>
        </row>
      </sheetData>
      <sheetData sheetId="677">
        <row r="1">
          <cell r="A1" t="str">
            <v>MORGAN STANLEY DEAN WITTER</v>
          </cell>
        </row>
      </sheetData>
      <sheetData sheetId="678">
        <row r="1">
          <cell r="A1" t="str">
            <v>MORGAN STANLEY DEAN WITTER</v>
          </cell>
        </row>
      </sheetData>
      <sheetData sheetId="679">
        <row r="1">
          <cell r="A1" t="str">
            <v>MORGAN STANLEY DEAN WITTER</v>
          </cell>
        </row>
      </sheetData>
      <sheetData sheetId="680">
        <row r="1">
          <cell r="A1" t="str">
            <v>MORGAN STANLEY DEAN WITTER</v>
          </cell>
        </row>
      </sheetData>
      <sheetData sheetId="681">
        <row r="1">
          <cell r="A1" t="str">
            <v>MORGAN STANLEY DEAN WITTER</v>
          </cell>
        </row>
      </sheetData>
      <sheetData sheetId="682">
        <row r="1">
          <cell r="A1" t="str">
            <v>MORGAN STANLEY DEAN WITTER</v>
          </cell>
        </row>
      </sheetData>
      <sheetData sheetId="683">
        <row r="1">
          <cell r="A1" t="str">
            <v>MORGAN STANLEY DEAN WITTER</v>
          </cell>
        </row>
      </sheetData>
      <sheetData sheetId="684">
        <row r="1">
          <cell r="A1" t="str">
            <v>MORGAN STANLEY DEAN WITTER</v>
          </cell>
        </row>
      </sheetData>
      <sheetData sheetId="685">
        <row r="1">
          <cell r="A1" t="str">
            <v>MORGAN STANLEY DEAN WITTER</v>
          </cell>
        </row>
      </sheetData>
      <sheetData sheetId="686">
        <row r="1">
          <cell r="A1" t="str">
            <v>MORGAN STANLEY DEAN WITTER</v>
          </cell>
        </row>
      </sheetData>
      <sheetData sheetId="687">
        <row r="1">
          <cell r="A1" t="str">
            <v>MORGAN STANLEY DEAN WITTER</v>
          </cell>
        </row>
      </sheetData>
      <sheetData sheetId="688">
        <row r="1">
          <cell r="A1" t="str">
            <v>MORGAN STANLEY DEAN WITTER</v>
          </cell>
        </row>
      </sheetData>
      <sheetData sheetId="689">
        <row r="1">
          <cell r="A1" t="str">
            <v>MORGAN STANLEY DEAN WITTER</v>
          </cell>
        </row>
      </sheetData>
      <sheetData sheetId="690">
        <row r="1">
          <cell r="A1" t="str">
            <v>MORGAN STANLEY DEAN WITTER</v>
          </cell>
        </row>
      </sheetData>
      <sheetData sheetId="691">
        <row r="1">
          <cell r="A1" t="str">
            <v>MORGAN STANLEY DEAN WITTER</v>
          </cell>
        </row>
      </sheetData>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row r="1">
          <cell r="A1" t="str">
            <v>MORGAN STANLEY DEAN WITTER</v>
          </cell>
        </row>
      </sheetData>
      <sheetData sheetId="713">
        <row r="1">
          <cell r="A1" t="str">
            <v>MORGAN STANLEY DEAN WITTER</v>
          </cell>
        </row>
      </sheetData>
      <sheetData sheetId="714">
        <row r="1">
          <cell r="A1" t="str">
            <v>MORGAN STANLEY DEAN WITTER</v>
          </cell>
        </row>
      </sheetData>
      <sheetData sheetId="715">
        <row r="1">
          <cell r="A1" t="str">
            <v>MORGAN STANLEY DEAN WITTER</v>
          </cell>
        </row>
      </sheetData>
      <sheetData sheetId="716">
        <row r="1">
          <cell r="A1" t="str">
            <v>MORGAN STANLEY DEAN WITTER</v>
          </cell>
        </row>
      </sheetData>
      <sheetData sheetId="717">
        <row r="1">
          <cell r="A1" t="str">
            <v>MORGAN STANLEY DEAN WITTER</v>
          </cell>
        </row>
      </sheetData>
      <sheetData sheetId="718">
        <row r="1">
          <cell r="A1" t="str">
            <v>MORGAN STANLEY DEAN WITTER</v>
          </cell>
        </row>
      </sheetData>
      <sheetData sheetId="719">
        <row r="1">
          <cell r="A1" t="str">
            <v>MORGAN STANLEY DEAN WITTER</v>
          </cell>
        </row>
      </sheetData>
      <sheetData sheetId="720">
        <row r="1">
          <cell r="A1" t="str">
            <v>MORGAN STANLEY DEAN WITTER</v>
          </cell>
        </row>
      </sheetData>
      <sheetData sheetId="721">
        <row r="1">
          <cell r="A1" t="str">
            <v>MORGAN STANLEY DEAN WITTER</v>
          </cell>
        </row>
      </sheetData>
      <sheetData sheetId="722">
        <row r="1">
          <cell r="A1" t="str">
            <v>MORGAN STANLEY DEAN WITTER</v>
          </cell>
        </row>
      </sheetData>
      <sheetData sheetId="723">
        <row r="1">
          <cell r="A1" t="str">
            <v>MORGAN STANLEY DEAN WITTER</v>
          </cell>
        </row>
      </sheetData>
      <sheetData sheetId="724">
        <row r="1">
          <cell r="A1" t="str">
            <v>MORGAN STANLEY DEAN WITTER</v>
          </cell>
        </row>
      </sheetData>
      <sheetData sheetId="725">
        <row r="1">
          <cell r="A1" t="str">
            <v>MORGAN STANLEY DEAN WITTER</v>
          </cell>
        </row>
      </sheetData>
      <sheetData sheetId="726">
        <row r="1">
          <cell r="A1" t="str">
            <v>MORGAN STANLEY DEAN WITTER</v>
          </cell>
        </row>
      </sheetData>
      <sheetData sheetId="727">
        <row r="1">
          <cell r="A1" t="str">
            <v>MORGAN STANLEY DEAN WITTER</v>
          </cell>
        </row>
      </sheetData>
      <sheetData sheetId="728">
        <row r="1">
          <cell r="A1" t="str">
            <v>MORGAN STANLEY DEAN WITTER</v>
          </cell>
        </row>
      </sheetData>
      <sheetData sheetId="729">
        <row r="1">
          <cell r="A1" t="str">
            <v>MORGAN STANLEY DEAN WITTER</v>
          </cell>
        </row>
      </sheetData>
      <sheetData sheetId="730">
        <row r="1">
          <cell r="A1" t="str">
            <v>MORGAN STANLEY DEAN WITTER</v>
          </cell>
        </row>
      </sheetData>
      <sheetData sheetId="731">
        <row r="1">
          <cell r="A1" t="str">
            <v>MORGAN STANLEY DEAN WITTER</v>
          </cell>
        </row>
      </sheetData>
      <sheetData sheetId="732">
        <row r="1">
          <cell r="A1" t="str">
            <v>MORGAN STANLEY DEAN WITTER</v>
          </cell>
        </row>
      </sheetData>
      <sheetData sheetId="733">
        <row r="1">
          <cell r="A1" t="str">
            <v>MORGAN STANLEY DEAN WITTER</v>
          </cell>
        </row>
      </sheetData>
      <sheetData sheetId="734">
        <row r="1">
          <cell r="A1" t="str">
            <v>MORGAN STANLEY DEAN WITTER</v>
          </cell>
        </row>
      </sheetData>
      <sheetData sheetId="735">
        <row r="1">
          <cell r="A1" t="str">
            <v>MORGAN STANLEY DEAN WITTER</v>
          </cell>
        </row>
      </sheetData>
      <sheetData sheetId="736">
        <row r="1">
          <cell r="A1" t="str">
            <v>MORGAN STANLEY DEAN WITTER</v>
          </cell>
        </row>
      </sheetData>
      <sheetData sheetId="737">
        <row r="1">
          <cell r="A1" t="str">
            <v>MORGAN STANLEY DEAN WITTER</v>
          </cell>
        </row>
      </sheetData>
      <sheetData sheetId="738">
        <row r="1">
          <cell r="A1" t="str">
            <v>MORGAN STANLEY DEAN WITTER</v>
          </cell>
        </row>
      </sheetData>
      <sheetData sheetId="739">
        <row r="1">
          <cell r="A1" t="str">
            <v>MORGAN STANLEY DEAN WITTER</v>
          </cell>
        </row>
      </sheetData>
      <sheetData sheetId="740">
        <row r="1">
          <cell r="A1" t="str">
            <v>MORGAN STANLEY DEAN WITTER</v>
          </cell>
        </row>
      </sheetData>
      <sheetData sheetId="741">
        <row r="1">
          <cell r="A1" t="str">
            <v>MORGAN STANLEY DEAN WITTER</v>
          </cell>
        </row>
      </sheetData>
      <sheetData sheetId="742">
        <row r="1">
          <cell r="A1" t="str">
            <v>MORGAN STANLEY DEAN WITTER</v>
          </cell>
        </row>
      </sheetData>
      <sheetData sheetId="743">
        <row r="1">
          <cell r="A1" t="str">
            <v>MORGAN STANLEY DEAN WITTER</v>
          </cell>
        </row>
      </sheetData>
      <sheetData sheetId="744">
        <row r="1">
          <cell r="A1" t="str">
            <v>MORGAN STANLEY DEAN WITTER</v>
          </cell>
        </row>
      </sheetData>
      <sheetData sheetId="745">
        <row r="1">
          <cell r="A1" t="str">
            <v>MORGAN STANLEY DEAN WITTER</v>
          </cell>
        </row>
      </sheetData>
      <sheetData sheetId="746">
        <row r="1">
          <cell r="A1" t="str">
            <v>MORGAN STANLEY DEAN WITTER</v>
          </cell>
        </row>
      </sheetData>
      <sheetData sheetId="747">
        <row r="1">
          <cell r="A1" t="str">
            <v>MORGAN STANLEY DEAN WITTER</v>
          </cell>
        </row>
      </sheetData>
      <sheetData sheetId="748">
        <row r="1">
          <cell r="A1" t="str">
            <v>MORGAN STANLEY DEAN WITTER</v>
          </cell>
        </row>
      </sheetData>
      <sheetData sheetId="749">
        <row r="1">
          <cell r="A1" t="str">
            <v>MORGAN STANLEY DEAN WITTER</v>
          </cell>
        </row>
      </sheetData>
      <sheetData sheetId="750">
        <row r="1">
          <cell r="A1" t="str">
            <v>MORGAN STANLEY DEAN WITTER</v>
          </cell>
        </row>
      </sheetData>
      <sheetData sheetId="751">
        <row r="1">
          <cell r="A1" t="str">
            <v>MORGAN STANLEY DEAN WITTER</v>
          </cell>
        </row>
      </sheetData>
      <sheetData sheetId="752">
        <row r="1">
          <cell r="A1" t="str">
            <v>MORGAN STANLEY DEAN WITTER</v>
          </cell>
        </row>
      </sheetData>
      <sheetData sheetId="753">
        <row r="1">
          <cell r="A1" t="str">
            <v>MORGAN STANLEY DEAN WITTER</v>
          </cell>
        </row>
      </sheetData>
      <sheetData sheetId="754">
        <row r="1">
          <cell r="A1" t="str">
            <v>MORGAN STANLEY DEAN WITTER</v>
          </cell>
        </row>
      </sheetData>
      <sheetData sheetId="755">
        <row r="1">
          <cell r="A1" t="str">
            <v>MORGAN STANLEY DEAN WITTER</v>
          </cell>
        </row>
      </sheetData>
      <sheetData sheetId="756">
        <row r="1">
          <cell r="A1" t="str">
            <v>MORGAN STANLEY DEAN WITTER</v>
          </cell>
        </row>
      </sheetData>
      <sheetData sheetId="757">
        <row r="1">
          <cell r="A1" t="str">
            <v>MORGAN STANLEY DEAN WITTER</v>
          </cell>
        </row>
      </sheetData>
      <sheetData sheetId="758">
        <row r="1">
          <cell r="A1" t="str">
            <v>MORGAN STANLEY DEAN WITTER</v>
          </cell>
        </row>
      </sheetData>
      <sheetData sheetId="759">
        <row r="1">
          <cell r="A1" t="str">
            <v>MORGAN STANLEY DEAN WITTER</v>
          </cell>
        </row>
      </sheetData>
      <sheetData sheetId="760">
        <row r="1">
          <cell r="A1" t="str">
            <v>MORGAN STANLEY DEAN WITTER</v>
          </cell>
        </row>
      </sheetData>
      <sheetData sheetId="761">
        <row r="1">
          <cell r="A1" t="str">
            <v>MORGAN STANLEY DEAN WITTER</v>
          </cell>
        </row>
      </sheetData>
      <sheetData sheetId="762">
        <row r="1">
          <cell r="A1" t="str">
            <v>MORGAN STANLEY DEAN WITTER</v>
          </cell>
        </row>
      </sheetData>
      <sheetData sheetId="763">
        <row r="1">
          <cell r="A1" t="str">
            <v>MORGAN STANLEY DEAN WITTER</v>
          </cell>
        </row>
      </sheetData>
      <sheetData sheetId="764">
        <row r="1">
          <cell r="A1" t="str">
            <v>MORGAN STANLEY DEAN WITTER</v>
          </cell>
        </row>
      </sheetData>
      <sheetData sheetId="765">
        <row r="1">
          <cell r="A1" t="str">
            <v>MORGAN STANLEY DEAN WITTER</v>
          </cell>
        </row>
      </sheetData>
      <sheetData sheetId="766">
        <row r="1">
          <cell r="A1" t="str">
            <v>MORGAN STANLEY DEAN WITTER</v>
          </cell>
        </row>
      </sheetData>
      <sheetData sheetId="767">
        <row r="1">
          <cell r="A1" t="str">
            <v>MORGAN STANLEY DEAN WITTER</v>
          </cell>
        </row>
      </sheetData>
      <sheetData sheetId="768">
        <row r="1">
          <cell r="A1" t="str">
            <v>MORGAN STANLEY DEAN WITTER</v>
          </cell>
        </row>
      </sheetData>
      <sheetData sheetId="769">
        <row r="1">
          <cell r="A1" t="str">
            <v>MORGAN STANLEY DEAN WITTER</v>
          </cell>
        </row>
      </sheetData>
      <sheetData sheetId="770">
        <row r="1">
          <cell r="A1" t="str">
            <v>MORGAN STANLEY DEAN WITTER</v>
          </cell>
        </row>
      </sheetData>
      <sheetData sheetId="771">
        <row r="1">
          <cell r="A1" t="str">
            <v>MORGAN STANLEY DEAN WITTER</v>
          </cell>
        </row>
      </sheetData>
      <sheetData sheetId="772">
        <row r="1">
          <cell r="A1" t="str">
            <v>MORGAN STANLEY DEAN WITTER</v>
          </cell>
        </row>
      </sheetData>
      <sheetData sheetId="773">
        <row r="1">
          <cell r="A1" t="str">
            <v>MORGAN STANLEY DEAN WITTER</v>
          </cell>
        </row>
      </sheetData>
      <sheetData sheetId="774">
        <row r="1">
          <cell r="A1" t="str">
            <v>MORGAN STANLEY DEAN WITTER</v>
          </cell>
        </row>
      </sheetData>
      <sheetData sheetId="775">
        <row r="1">
          <cell r="A1" t="str">
            <v>MORGAN STANLEY DEAN WITTER</v>
          </cell>
        </row>
      </sheetData>
      <sheetData sheetId="776">
        <row r="1">
          <cell r="A1" t="str">
            <v>MORGAN STANLEY DEAN WITTER</v>
          </cell>
        </row>
      </sheetData>
      <sheetData sheetId="777">
        <row r="1">
          <cell r="A1" t="str">
            <v>MORGAN STANLEY DEAN WITTER</v>
          </cell>
        </row>
      </sheetData>
      <sheetData sheetId="778">
        <row r="1">
          <cell r="A1" t="str">
            <v>MORGAN STANLEY DEAN WITTER</v>
          </cell>
        </row>
      </sheetData>
      <sheetData sheetId="779">
        <row r="1">
          <cell r="A1" t="str">
            <v>MORGAN STANLEY DEAN WITTER</v>
          </cell>
        </row>
      </sheetData>
      <sheetData sheetId="780">
        <row r="1">
          <cell r="A1" t="str">
            <v>MORGAN STANLEY DEAN WITTER</v>
          </cell>
        </row>
      </sheetData>
      <sheetData sheetId="781">
        <row r="1">
          <cell r="A1" t="str">
            <v>MORGAN STANLEY DEAN WITTER</v>
          </cell>
        </row>
      </sheetData>
      <sheetData sheetId="782">
        <row r="1">
          <cell r="A1" t="str">
            <v>MORGAN STANLEY DEAN WITTER</v>
          </cell>
        </row>
      </sheetData>
      <sheetData sheetId="783">
        <row r="1">
          <cell r="A1" t="str">
            <v>MORGAN STANLEY DEAN WITTER</v>
          </cell>
        </row>
      </sheetData>
      <sheetData sheetId="784">
        <row r="1">
          <cell r="A1" t="str">
            <v>MORGAN STANLEY DEAN WITTER</v>
          </cell>
        </row>
      </sheetData>
      <sheetData sheetId="785">
        <row r="1">
          <cell r="A1" t="str">
            <v>MORGAN STANLEY DEAN WITTER</v>
          </cell>
        </row>
      </sheetData>
      <sheetData sheetId="786">
        <row r="1">
          <cell r="A1" t="str">
            <v>MORGAN STANLEY DEAN WITTER</v>
          </cell>
        </row>
      </sheetData>
      <sheetData sheetId="787">
        <row r="1">
          <cell r="A1" t="str">
            <v>MORGAN STANLEY DEAN WITTER</v>
          </cell>
        </row>
      </sheetData>
      <sheetData sheetId="788">
        <row r="1">
          <cell r="A1" t="str">
            <v>MORGAN STANLEY DEAN WITTER</v>
          </cell>
        </row>
      </sheetData>
      <sheetData sheetId="789">
        <row r="1">
          <cell r="A1" t="str">
            <v>MORGAN STANLEY DEAN WITTER</v>
          </cell>
        </row>
      </sheetData>
      <sheetData sheetId="790">
        <row r="1">
          <cell r="A1" t="str">
            <v>MORGAN STANLEY DEAN WITTER</v>
          </cell>
        </row>
      </sheetData>
      <sheetData sheetId="791">
        <row r="1">
          <cell r="A1" t="str">
            <v>MORGAN STANLEY DEAN WITTER</v>
          </cell>
        </row>
      </sheetData>
      <sheetData sheetId="792">
        <row r="1">
          <cell r="A1" t="str">
            <v>MORGAN STANLEY DEAN WITTER</v>
          </cell>
        </row>
      </sheetData>
      <sheetData sheetId="793">
        <row r="1">
          <cell r="A1" t="str">
            <v>MORGAN STANLEY DEAN WITTER</v>
          </cell>
        </row>
      </sheetData>
      <sheetData sheetId="794">
        <row r="1">
          <cell r="A1" t="str">
            <v>MORGAN STANLEY DEAN WITTER</v>
          </cell>
        </row>
      </sheetData>
      <sheetData sheetId="795">
        <row r="1">
          <cell r="A1" t="str">
            <v>MORGAN STANLEY DEAN WITTER</v>
          </cell>
        </row>
      </sheetData>
      <sheetData sheetId="796">
        <row r="1">
          <cell r="A1" t="str">
            <v>MORGAN STANLEY DEAN WITTER</v>
          </cell>
        </row>
      </sheetData>
      <sheetData sheetId="797">
        <row r="1">
          <cell r="A1" t="str">
            <v>MORGAN STANLEY DEAN WITTER</v>
          </cell>
        </row>
      </sheetData>
      <sheetData sheetId="798">
        <row r="1">
          <cell r="A1" t="str">
            <v>MORGAN STANLEY DEAN WITTER</v>
          </cell>
        </row>
      </sheetData>
      <sheetData sheetId="799">
        <row r="1">
          <cell r="A1" t="str">
            <v>MORGAN STANLEY DEAN WITTER</v>
          </cell>
        </row>
      </sheetData>
      <sheetData sheetId="800">
        <row r="1">
          <cell r="A1" t="str">
            <v>MORGAN STANLEY DEAN WITTER</v>
          </cell>
        </row>
      </sheetData>
      <sheetData sheetId="801">
        <row r="1">
          <cell r="A1" t="str">
            <v>MORGAN STANLEY DEAN WITTER</v>
          </cell>
        </row>
      </sheetData>
      <sheetData sheetId="802">
        <row r="1">
          <cell r="A1" t="str">
            <v>MORGAN STANLEY DEAN WITTER</v>
          </cell>
        </row>
      </sheetData>
      <sheetData sheetId="803">
        <row r="1">
          <cell r="A1" t="str">
            <v>MORGAN STANLEY DEAN WITTER</v>
          </cell>
        </row>
      </sheetData>
      <sheetData sheetId="804">
        <row r="1">
          <cell r="A1" t="str">
            <v>MORGAN STANLEY DEAN WITTER</v>
          </cell>
        </row>
      </sheetData>
      <sheetData sheetId="805">
        <row r="1">
          <cell r="A1" t="str">
            <v>MORGAN STANLEY DEAN WITTER</v>
          </cell>
        </row>
      </sheetData>
      <sheetData sheetId="806">
        <row r="1">
          <cell r="A1" t="str">
            <v>MORGAN STANLEY DEAN WITTER</v>
          </cell>
        </row>
      </sheetData>
      <sheetData sheetId="807">
        <row r="1">
          <cell r="A1" t="str">
            <v>MORGAN STANLEY DEAN WITTER</v>
          </cell>
        </row>
      </sheetData>
      <sheetData sheetId="808">
        <row r="1">
          <cell r="A1" t="str">
            <v>MORGAN STANLEY DEAN WITTER</v>
          </cell>
        </row>
      </sheetData>
      <sheetData sheetId="809">
        <row r="1">
          <cell r="A1" t="str">
            <v>MORGAN STANLEY DEAN WITTER</v>
          </cell>
        </row>
      </sheetData>
      <sheetData sheetId="810">
        <row r="1">
          <cell r="A1" t="str">
            <v>MORGAN STANLEY DEAN WITTER</v>
          </cell>
        </row>
      </sheetData>
      <sheetData sheetId="811">
        <row r="1">
          <cell r="A1" t="str">
            <v>MORGAN STANLEY DEAN WITTER</v>
          </cell>
        </row>
      </sheetData>
      <sheetData sheetId="812">
        <row r="1">
          <cell r="A1" t="str">
            <v>MORGAN STANLEY DEAN WITTER</v>
          </cell>
        </row>
      </sheetData>
      <sheetData sheetId="813">
        <row r="1">
          <cell r="A1" t="str">
            <v>MORGAN STANLEY DEAN WITTER</v>
          </cell>
        </row>
      </sheetData>
      <sheetData sheetId="814">
        <row r="1">
          <cell r="A1" t="str">
            <v>MORGAN STANLEY DEAN WITTER</v>
          </cell>
        </row>
      </sheetData>
      <sheetData sheetId="815">
        <row r="1">
          <cell r="A1" t="str">
            <v>MORGAN STANLEY DEAN WITTER</v>
          </cell>
        </row>
      </sheetData>
      <sheetData sheetId="816">
        <row r="1">
          <cell r="A1" t="str">
            <v>MORGAN STANLEY DEAN WITTER</v>
          </cell>
        </row>
      </sheetData>
      <sheetData sheetId="817">
        <row r="1">
          <cell r="A1" t="str">
            <v>MORGAN STANLEY DEAN WITTER</v>
          </cell>
        </row>
      </sheetData>
      <sheetData sheetId="818">
        <row r="1">
          <cell r="A1" t="str">
            <v>MORGAN STANLEY DEAN WITTER</v>
          </cell>
        </row>
      </sheetData>
      <sheetData sheetId="819">
        <row r="1">
          <cell r="A1" t="str">
            <v>MORGAN STANLEY DEAN WITTER</v>
          </cell>
        </row>
      </sheetData>
      <sheetData sheetId="820">
        <row r="1">
          <cell r="A1" t="str">
            <v>MORGAN STANLEY DEAN WITTER</v>
          </cell>
        </row>
      </sheetData>
      <sheetData sheetId="821">
        <row r="1">
          <cell r="A1" t="str">
            <v>MORGAN STANLEY DEAN WITTER</v>
          </cell>
        </row>
      </sheetData>
      <sheetData sheetId="822">
        <row r="1">
          <cell r="A1" t="str">
            <v>MORGAN STANLEY DEAN WITTER</v>
          </cell>
        </row>
      </sheetData>
      <sheetData sheetId="823">
        <row r="1">
          <cell r="A1" t="str">
            <v>MORGAN STANLEY DEAN WITTER</v>
          </cell>
        </row>
      </sheetData>
      <sheetData sheetId="824">
        <row r="1">
          <cell r="A1" t="str">
            <v>MORGAN STANLEY DEAN WITTER</v>
          </cell>
        </row>
      </sheetData>
      <sheetData sheetId="825">
        <row r="1">
          <cell r="A1" t="str">
            <v>MORGAN STANLEY DEAN WITTER</v>
          </cell>
        </row>
      </sheetData>
      <sheetData sheetId="826">
        <row r="1">
          <cell r="A1" t="str">
            <v>MORGAN STANLEY DEAN WITTER</v>
          </cell>
        </row>
      </sheetData>
      <sheetData sheetId="827">
        <row r="1">
          <cell r="A1" t="str">
            <v>MORGAN STANLEY DEAN WITTER</v>
          </cell>
        </row>
      </sheetData>
      <sheetData sheetId="828">
        <row r="1">
          <cell r="A1" t="str">
            <v>MORGAN STANLEY DEAN WITTER</v>
          </cell>
        </row>
      </sheetData>
      <sheetData sheetId="829">
        <row r="1">
          <cell r="A1" t="str">
            <v>MORGAN STANLEY DEAN WITTER</v>
          </cell>
        </row>
      </sheetData>
      <sheetData sheetId="830">
        <row r="1">
          <cell r="A1" t="str">
            <v>MORGAN STANLEY DEAN WITTER</v>
          </cell>
        </row>
      </sheetData>
      <sheetData sheetId="831">
        <row r="1">
          <cell r="A1" t="str">
            <v>MORGAN STANLEY DEAN WITTER</v>
          </cell>
        </row>
      </sheetData>
      <sheetData sheetId="832">
        <row r="1">
          <cell r="A1" t="str">
            <v>MORGAN STANLEY DEAN WITTER</v>
          </cell>
        </row>
      </sheetData>
      <sheetData sheetId="833">
        <row r="1">
          <cell r="A1" t="str">
            <v>MORGAN STANLEY DEAN WITTER</v>
          </cell>
        </row>
      </sheetData>
      <sheetData sheetId="834">
        <row r="1">
          <cell r="A1" t="str">
            <v>MORGAN STANLEY DEAN WITTER</v>
          </cell>
        </row>
      </sheetData>
      <sheetData sheetId="835">
        <row r="1">
          <cell r="A1" t="str">
            <v>MORGAN STANLEY DEAN WITTER</v>
          </cell>
        </row>
      </sheetData>
      <sheetData sheetId="836">
        <row r="1">
          <cell r="A1" t="str">
            <v>MORGAN STANLEY DEAN WITTER</v>
          </cell>
        </row>
      </sheetData>
      <sheetData sheetId="837">
        <row r="1">
          <cell r="A1" t="str">
            <v>MORGAN STANLEY DEAN WITTER</v>
          </cell>
        </row>
      </sheetData>
      <sheetData sheetId="838">
        <row r="1">
          <cell r="A1" t="str">
            <v>MORGAN STANLEY DEAN WITTER</v>
          </cell>
        </row>
      </sheetData>
      <sheetData sheetId="839">
        <row r="1">
          <cell r="A1" t="str">
            <v>MORGAN STANLEY DEAN WITTER</v>
          </cell>
        </row>
      </sheetData>
      <sheetData sheetId="840">
        <row r="1">
          <cell r="A1" t="str">
            <v>MORGAN STANLEY DEAN WITTER</v>
          </cell>
        </row>
      </sheetData>
      <sheetData sheetId="841">
        <row r="1">
          <cell r="A1" t="str">
            <v>MORGAN STANLEY DEAN WITTER</v>
          </cell>
        </row>
      </sheetData>
      <sheetData sheetId="842">
        <row r="1">
          <cell r="A1" t="str">
            <v>MORGAN STANLEY DEAN WITTER</v>
          </cell>
        </row>
      </sheetData>
      <sheetData sheetId="843">
        <row r="1">
          <cell r="A1" t="str">
            <v>MORGAN STANLEY DEAN WITTER</v>
          </cell>
        </row>
      </sheetData>
      <sheetData sheetId="844">
        <row r="1">
          <cell r="A1" t="str">
            <v>MORGAN STANLEY DEAN WITTER</v>
          </cell>
        </row>
      </sheetData>
      <sheetData sheetId="845">
        <row r="1">
          <cell r="A1" t="str">
            <v>MORGAN STANLEY DEAN WITTER</v>
          </cell>
        </row>
      </sheetData>
      <sheetData sheetId="846">
        <row r="1">
          <cell r="A1" t="str">
            <v>MORGAN STANLEY DEAN WITTER</v>
          </cell>
        </row>
      </sheetData>
      <sheetData sheetId="847">
        <row r="1">
          <cell r="A1" t="str">
            <v>MORGAN STANLEY DEAN WITTER</v>
          </cell>
        </row>
      </sheetData>
      <sheetData sheetId="848">
        <row r="1">
          <cell r="A1" t="str">
            <v>MORGAN STANLEY DEAN WITTER</v>
          </cell>
        </row>
      </sheetData>
      <sheetData sheetId="849">
        <row r="1">
          <cell r="A1" t="str">
            <v>MORGAN STANLEY DEAN WITTER</v>
          </cell>
        </row>
      </sheetData>
      <sheetData sheetId="850">
        <row r="1">
          <cell r="A1" t="str">
            <v>MORGAN STANLEY DEAN WITTER</v>
          </cell>
        </row>
      </sheetData>
      <sheetData sheetId="851">
        <row r="1">
          <cell r="A1" t="str">
            <v>MORGAN STANLEY DEAN WITTER</v>
          </cell>
        </row>
      </sheetData>
      <sheetData sheetId="852">
        <row r="1">
          <cell r="A1" t="str">
            <v>MORGAN STANLEY DEAN WITTER</v>
          </cell>
        </row>
      </sheetData>
      <sheetData sheetId="853">
        <row r="1">
          <cell r="A1" t="str">
            <v>MORGAN STANLEY DEAN WITTER</v>
          </cell>
        </row>
      </sheetData>
      <sheetData sheetId="854">
        <row r="1">
          <cell r="A1" t="str">
            <v>MORGAN STANLEY DEAN WITTER</v>
          </cell>
        </row>
      </sheetData>
      <sheetData sheetId="855">
        <row r="1">
          <cell r="A1" t="str">
            <v>MORGAN STANLEY DEAN WITTER</v>
          </cell>
        </row>
      </sheetData>
      <sheetData sheetId="856">
        <row r="1">
          <cell r="A1" t="str">
            <v>MORGAN STANLEY DEAN WITTER</v>
          </cell>
        </row>
      </sheetData>
      <sheetData sheetId="857">
        <row r="1">
          <cell r="A1" t="str">
            <v>MORGAN STANLEY DEAN WITTER</v>
          </cell>
        </row>
      </sheetData>
      <sheetData sheetId="858">
        <row r="1">
          <cell r="A1" t="str">
            <v>MORGAN STANLEY DEAN WITTER</v>
          </cell>
        </row>
      </sheetData>
      <sheetData sheetId="859">
        <row r="1">
          <cell r="A1" t="str">
            <v>MORGAN STANLEY DEAN WITTER</v>
          </cell>
        </row>
      </sheetData>
      <sheetData sheetId="860">
        <row r="1">
          <cell r="A1" t="str">
            <v>MORGAN STANLEY DEAN WITTER</v>
          </cell>
        </row>
      </sheetData>
      <sheetData sheetId="861">
        <row r="1">
          <cell r="A1" t="str">
            <v>MORGAN STANLEY DEAN WITTER</v>
          </cell>
        </row>
      </sheetData>
      <sheetData sheetId="862">
        <row r="1">
          <cell r="A1" t="str">
            <v>MORGAN STANLEY DEAN WITTER</v>
          </cell>
        </row>
      </sheetData>
      <sheetData sheetId="863">
        <row r="1">
          <cell r="A1" t="str">
            <v>MORGAN STANLEY DEAN WITTER</v>
          </cell>
        </row>
      </sheetData>
      <sheetData sheetId="864">
        <row r="1">
          <cell r="A1" t="str">
            <v>MORGAN STANLEY DEAN WITTER</v>
          </cell>
        </row>
      </sheetData>
      <sheetData sheetId="865">
        <row r="1">
          <cell r="A1" t="str">
            <v>MORGAN STANLEY DEAN WITTER</v>
          </cell>
        </row>
      </sheetData>
      <sheetData sheetId="866">
        <row r="1">
          <cell r="A1" t="str">
            <v>MORGAN STANLEY DEAN WITTER</v>
          </cell>
        </row>
      </sheetData>
      <sheetData sheetId="867">
        <row r="1">
          <cell r="A1" t="str">
            <v>MORGAN STANLEY DEAN WITTER</v>
          </cell>
        </row>
      </sheetData>
      <sheetData sheetId="868">
        <row r="1">
          <cell r="A1" t="str">
            <v>MORGAN STANLEY DEAN WITTER</v>
          </cell>
        </row>
      </sheetData>
      <sheetData sheetId="869">
        <row r="1">
          <cell r="A1" t="str">
            <v>MORGAN STANLEY DEAN WITTER</v>
          </cell>
        </row>
      </sheetData>
      <sheetData sheetId="870">
        <row r="1">
          <cell r="A1" t="str">
            <v>MORGAN STANLEY DEAN WITTER</v>
          </cell>
        </row>
      </sheetData>
      <sheetData sheetId="871">
        <row r="1">
          <cell r="A1" t="str">
            <v>MORGAN STANLEY DEAN WITTER</v>
          </cell>
        </row>
      </sheetData>
      <sheetData sheetId="872">
        <row r="1">
          <cell r="A1" t="str">
            <v>MORGAN STANLEY DEAN WITTER</v>
          </cell>
        </row>
      </sheetData>
      <sheetData sheetId="873">
        <row r="1">
          <cell r="A1" t="str">
            <v>MORGAN STANLEY DEAN WITTER</v>
          </cell>
        </row>
      </sheetData>
      <sheetData sheetId="874">
        <row r="1">
          <cell r="A1" t="str">
            <v>MORGAN STANLEY DEAN WITTER</v>
          </cell>
        </row>
      </sheetData>
      <sheetData sheetId="875">
        <row r="1">
          <cell r="A1" t="str">
            <v>MORGAN STANLEY DEAN WITTER</v>
          </cell>
        </row>
      </sheetData>
      <sheetData sheetId="876">
        <row r="1">
          <cell r="A1" t="str">
            <v>MORGAN STANLEY DEAN WITTER</v>
          </cell>
        </row>
      </sheetData>
      <sheetData sheetId="877">
        <row r="1">
          <cell r="A1" t="str">
            <v>MORGAN STANLEY DEAN WITTER</v>
          </cell>
        </row>
      </sheetData>
      <sheetData sheetId="878">
        <row r="1">
          <cell r="A1" t="str">
            <v>MORGAN STANLEY DEAN WITTER</v>
          </cell>
        </row>
      </sheetData>
      <sheetData sheetId="879">
        <row r="1">
          <cell r="A1" t="str">
            <v>MORGAN STANLEY DEAN WITTER</v>
          </cell>
        </row>
      </sheetData>
      <sheetData sheetId="880">
        <row r="1">
          <cell r="A1" t="str">
            <v>MORGAN STANLEY DEAN WITTER</v>
          </cell>
        </row>
      </sheetData>
      <sheetData sheetId="881">
        <row r="1">
          <cell r="A1" t="str">
            <v>MORGAN STANLEY DEAN WITTER</v>
          </cell>
        </row>
      </sheetData>
      <sheetData sheetId="882">
        <row r="1">
          <cell r="A1" t="str">
            <v>MORGAN STANLEY DEAN WITTER</v>
          </cell>
        </row>
      </sheetData>
      <sheetData sheetId="883">
        <row r="1">
          <cell r="A1" t="str">
            <v>MORGAN STANLEY DEAN WITTER</v>
          </cell>
        </row>
      </sheetData>
      <sheetData sheetId="884">
        <row r="1">
          <cell r="A1" t="str">
            <v>MORGAN STANLEY DEAN WITTER</v>
          </cell>
        </row>
      </sheetData>
      <sheetData sheetId="885">
        <row r="1">
          <cell r="A1" t="str">
            <v>MORGAN STANLEY DEAN WITTER</v>
          </cell>
        </row>
      </sheetData>
      <sheetData sheetId="886">
        <row r="1">
          <cell r="A1" t="str">
            <v>MORGAN STANLEY DEAN WITTER</v>
          </cell>
        </row>
      </sheetData>
      <sheetData sheetId="887">
        <row r="1">
          <cell r="A1" t="str">
            <v>MORGAN STANLEY DEAN WITTER</v>
          </cell>
        </row>
      </sheetData>
      <sheetData sheetId="888">
        <row r="1">
          <cell r="A1" t="str">
            <v>MORGAN STANLEY DEAN WITTER</v>
          </cell>
        </row>
      </sheetData>
      <sheetData sheetId="889">
        <row r="1">
          <cell r="A1" t="str">
            <v>MORGAN STANLEY DEAN WITTER</v>
          </cell>
        </row>
      </sheetData>
      <sheetData sheetId="890">
        <row r="1">
          <cell r="A1" t="str">
            <v>MORGAN STANLEY DEAN WITTER</v>
          </cell>
        </row>
      </sheetData>
      <sheetData sheetId="891">
        <row r="1">
          <cell r="A1" t="str">
            <v>MORGAN STANLEY DEAN WITTER</v>
          </cell>
        </row>
      </sheetData>
      <sheetData sheetId="892">
        <row r="1">
          <cell r="A1" t="str">
            <v>MORGAN STANLEY DEAN WITTER</v>
          </cell>
        </row>
      </sheetData>
      <sheetData sheetId="893">
        <row r="1">
          <cell r="A1" t="str">
            <v>MORGAN STANLEY DEAN WITTER</v>
          </cell>
        </row>
      </sheetData>
      <sheetData sheetId="894">
        <row r="1">
          <cell r="A1" t="str">
            <v>MORGAN STANLEY DEAN WITTER</v>
          </cell>
        </row>
      </sheetData>
      <sheetData sheetId="895">
        <row r="1">
          <cell r="A1" t="str">
            <v>MORGAN STANLEY DEAN WITTER</v>
          </cell>
        </row>
      </sheetData>
      <sheetData sheetId="896">
        <row r="1">
          <cell r="A1" t="str">
            <v>MORGAN STANLEY DEAN WITTER</v>
          </cell>
        </row>
      </sheetData>
      <sheetData sheetId="897">
        <row r="1">
          <cell r="A1" t="str">
            <v>MORGAN STANLEY DEAN WITTER</v>
          </cell>
        </row>
      </sheetData>
      <sheetData sheetId="898">
        <row r="1">
          <cell r="A1" t="str">
            <v>MORGAN STANLEY DEAN WITTER</v>
          </cell>
        </row>
      </sheetData>
      <sheetData sheetId="899">
        <row r="1">
          <cell r="A1" t="str">
            <v>MORGAN STANLEY DEAN WITTER</v>
          </cell>
        </row>
      </sheetData>
      <sheetData sheetId="900">
        <row r="1">
          <cell r="A1" t="str">
            <v>MORGAN STANLEY DEAN WITTER</v>
          </cell>
        </row>
      </sheetData>
      <sheetData sheetId="901">
        <row r="1">
          <cell r="A1" t="str">
            <v>MORGAN STANLEY DEAN WITTER</v>
          </cell>
        </row>
      </sheetData>
      <sheetData sheetId="902">
        <row r="1">
          <cell r="A1" t="str">
            <v>MORGAN STANLEY DEAN WITTER</v>
          </cell>
        </row>
      </sheetData>
      <sheetData sheetId="903">
        <row r="1">
          <cell r="A1" t="str">
            <v>MORGAN STANLEY DEAN WITTER</v>
          </cell>
        </row>
      </sheetData>
      <sheetData sheetId="904">
        <row r="1">
          <cell r="A1" t="str">
            <v>MORGAN STANLEY DEAN WITTER</v>
          </cell>
        </row>
      </sheetData>
      <sheetData sheetId="905">
        <row r="1">
          <cell r="A1" t="str">
            <v>MORGAN STANLEY DEAN WITTER</v>
          </cell>
        </row>
      </sheetData>
      <sheetData sheetId="906">
        <row r="1">
          <cell r="A1" t="str">
            <v>MORGAN STANLEY DEAN WITTER</v>
          </cell>
        </row>
      </sheetData>
      <sheetData sheetId="907">
        <row r="1">
          <cell r="A1" t="str">
            <v>MORGAN STANLEY DEAN WITTER</v>
          </cell>
        </row>
      </sheetData>
      <sheetData sheetId="908">
        <row r="1">
          <cell r="A1" t="str">
            <v>MORGAN STANLEY DEAN WITTER</v>
          </cell>
        </row>
      </sheetData>
      <sheetData sheetId="909">
        <row r="1">
          <cell r="A1" t="str">
            <v>MORGAN STANLEY DEAN WITTER</v>
          </cell>
        </row>
      </sheetData>
      <sheetData sheetId="910">
        <row r="1">
          <cell r="A1" t="str">
            <v>MORGAN STANLEY DEAN WITTER</v>
          </cell>
        </row>
      </sheetData>
      <sheetData sheetId="911">
        <row r="1">
          <cell r="A1" t="str">
            <v>MORGAN STANLEY DEAN WITTER</v>
          </cell>
        </row>
      </sheetData>
      <sheetData sheetId="912">
        <row r="1">
          <cell r="A1" t="str">
            <v>MORGAN STANLEY DEAN WITTER</v>
          </cell>
        </row>
      </sheetData>
      <sheetData sheetId="913">
        <row r="1">
          <cell r="A1" t="str">
            <v>MORGAN STANLEY DEAN WITTER</v>
          </cell>
        </row>
      </sheetData>
      <sheetData sheetId="914">
        <row r="1">
          <cell r="A1" t="str">
            <v>MORGAN STANLEY DEAN WITTER</v>
          </cell>
        </row>
      </sheetData>
      <sheetData sheetId="915">
        <row r="1">
          <cell r="A1" t="str">
            <v>MORGAN STANLEY DEAN WITTER</v>
          </cell>
        </row>
      </sheetData>
      <sheetData sheetId="916">
        <row r="1">
          <cell r="A1" t="str">
            <v>MORGAN STANLEY DEAN WITTER</v>
          </cell>
        </row>
      </sheetData>
      <sheetData sheetId="917">
        <row r="1">
          <cell r="A1" t="str">
            <v>MORGAN STANLEY DEAN WITTER</v>
          </cell>
        </row>
      </sheetData>
      <sheetData sheetId="918">
        <row r="1">
          <cell r="A1" t="str">
            <v>MORGAN STANLEY DEAN WITTER</v>
          </cell>
        </row>
      </sheetData>
      <sheetData sheetId="919">
        <row r="1">
          <cell r="A1" t="str">
            <v>MORGAN STANLEY DEAN WITTER</v>
          </cell>
        </row>
      </sheetData>
      <sheetData sheetId="920">
        <row r="1">
          <cell r="A1" t="str">
            <v>MORGAN STANLEY DEAN WITTER</v>
          </cell>
        </row>
      </sheetData>
      <sheetData sheetId="921">
        <row r="1">
          <cell r="A1" t="str">
            <v>MORGAN STANLEY DEAN WITTER</v>
          </cell>
        </row>
      </sheetData>
      <sheetData sheetId="922">
        <row r="1">
          <cell r="A1" t="str">
            <v>MORGAN STANLEY DEAN WITTER</v>
          </cell>
        </row>
      </sheetData>
      <sheetData sheetId="923">
        <row r="1">
          <cell r="A1" t="str">
            <v>MORGAN STANLEY DEAN WITTER</v>
          </cell>
        </row>
      </sheetData>
      <sheetData sheetId="924">
        <row r="1">
          <cell r="A1" t="str">
            <v>MORGAN STANLEY DEAN WITTER</v>
          </cell>
        </row>
      </sheetData>
      <sheetData sheetId="925">
        <row r="1">
          <cell r="A1" t="str">
            <v>MORGAN STANLEY DEAN WITTER</v>
          </cell>
        </row>
      </sheetData>
      <sheetData sheetId="926">
        <row r="1">
          <cell r="A1" t="str">
            <v>MORGAN STANLEY DEAN WITTER</v>
          </cell>
        </row>
      </sheetData>
      <sheetData sheetId="927">
        <row r="1">
          <cell r="A1" t="str">
            <v>MORGAN STANLEY DEAN WITTER</v>
          </cell>
        </row>
      </sheetData>
      <sheetData sheetId="928">
        <row r="1">
          <cell r="A1" t="str">
            <v>MORGAN STANLEY DEAN WITTER</v>
          </cell>
        </row>
      </sheetData>
      <sheetData sheetId="929">
        <row r="1">
          <cell r="A1" t="str">
            <v>MORGAN STANLEY DEAN WITTER</v>
          </cell>
        </row>
      </sheetData>
      <sheetData sheetId="930">
        <row r="1">
          <cell r="A1" t="str">
            <v>MORGAN STANLEY DEAN WITTER</v>
          </cell>
        </row>
      </sheetData>
      <sheetData sheetId="931">
        <row r="1">
          <cell r="A1" t="str">
            <v>MORGAN STANLEY DEAN WITTER</v>
          </cell>
        </row>
      </sheetData>
      <sheetData sheetId="932">
        <row r="1">
          <cell r="A1" t="str">
            <v>MORGAN STANLEY DEAN WITTER</v>
          </cell>
        </row>
      </sheetData>
      <sheetData sheetId="933">
        <row r="1">
          <cell r="A1" t="str">
            <v>MORGAN STANLEY DEAN WITTER</v>
          </cell>
        </row>
      </sheetData>
      <sheetData sheetId="934">
        <row r="1">
          <cell r="A1" t="str">
            <v>MORGAN STANLEY DEAN WITTER</v>
          </cell>
        </row>
      </sheetData>
      <sheetData sheetId="935">
        <row r="1">
          <cell r="A1" t="str">
            <v>MORGAN STANLEY DEAN WITTER</v>
          </cell>
        </row>
      </sheetData>
      <sheetData sheetId="936">
        <row r="1">
          <cell r="A1" t="str">
            <v>MORGAN STANLEY DEAN WITTER</v>
          </cell>
        </row>
      </sheetData>
      <sheetData sheetId="937">
        <row r="1">
          <cell r="A1" t="str">
            <v>MORGAN STANLEY DEAN WITTER</v>
          </cell>
        </row>
      </sheetData>
      <sheetData sheetId="938">
        <row r="1">
          <cell r="A1" t="str">
            <v>MORGAN STANLEY DEAN WITTER</v>
          </cell>
        </row>
      </sheetData>
      <sheetData sheetId="939">
        <row r="1">
          <cell r="A1" t="str">
            <v>MORGAN STANLEY DEAN WITTER</v>
          </cell>
        </row>
      </sheetData>
      <sheetData sheetId="940">
        <row r="1">
          <cell r="A1" t="str">
            <v>MORGAN STANLEY DEAN WITTER</v>
          </cell>
        </row>
      </sheetData>
      <sheetData sheetId="941">
        <row r="1">
          <cell r="A1" t="str">
            <v>MORGAN STANLEY DEAN WITTER</v>
          </cell>
        </row>
      </sheetData>
      <sheetData sheetId="942">
        <row r="1">
          <cell r="A1" t="str">
            <v>MORGAN STANLEY DEAN WITTER</v>
          </cell>
        </row>
      </sheetData>
      <sheetData sheetId="943">
        <row r="1">
          <cell r="A1" t="str">
            <v>MORGAN STANLEY DEAN WITTER</v>
          </cell>
        </row>
      </sheetData>
      <sheetData sheetId="944">
        <row r="1">
          <cell r="A1" t="str">
            <v>MORGAN STANLEY DEAN WITTER</v>
          </cell>
        </row>
      </sheetData>
      <sheetData sheetId="945">
        <row r="1">
          <cell r="A1" t="str">
            <v>MORGAN STANLEY DEAN WITTER</v>
          </cell>
        </row>
      </sheetData>
      <sheetData sheetId="946">
        <row r="1">
          <cell r="A1" t="str">
            <v>MORGAN STANLEY DEAN WITTER</v>
          </cell>
        </row>
      </sheetData>
      <sheetData sheetId="947">
        <row r="1">
          <cell r="A1" t="str">
            <v>MORGAN STANLEY DEAN WITTER</v>
          </cell>
        </row>
      </sheetData>
      <sheetData sheetId="948">
        <row r="1">
          <cell r="A1" t="str">
            <v>MORGAN STANLEY DEAN WITTER</v>
          </cell>
        </row>
      </sheetData>
      <sheetData sheetId="949">
        <row r="1">
          <cell r="A1" t="str">
            <v>MORGAN STANLEY DEAN WITTER</v>
          </cell>
        </row>
      </sheetData>
      <sheetData sheetId="950">
        <row r="1">
          <cell r="A1" t="str">
            <v>MORGAN STANLEY DEAN WITTER</v>
          </cell>
        </row>
      </sheetData>
      <sheetData sheetId="951">
        <row r="1">
          <cell r="A1" t="str">
            <v>MORGAN STANLEY DEAN WITTER</v>
          </cell>
        </row>
      </sheetData>
      <sheetData sheetId="952">
        <row r="1">
          <cell r="A1" t="str">
            <v>MORGAN STANLEY DEAN WITTER</v>
          </cell>
        </row>
      </sheetData>
      <sheetData sheetId="953">
        <row r="1">
          <cell r="A1" t="str">
            <v>MORGAN STANLEY DEAN WITTER</v>
          </cell>
        </row>
      </sheetData>
      <sheetData sheetId="954">
        <row r="1">
          <cell r="A1" t="str">
            <v>MORGAN STANLEY DEAN WITTER</v>
          </cell>
        </row>
      </sheetData>
      <sheetData sheetId="955">
        <row r="1">
          <cell r="A1" t="str">
            <v>MORGAN STANLEY DEAN WITTER</v>
          </cell>
        </row>
      </sheetData>
      <sheetData sheetId="956">
        <row r="1">
          <cell r="A1" t="str">
            <v>MORGAN STANLEY DEAN WITTER</v>
          </cell>
        </row>
      </sheetData>
      <sheetData sheetId="957">
        <row r="1">
          <cell r="A1" t="str">
            <v>MORGAN STANLEY DEAN WITTER</v>
          </cell>
        </row>
      </sheetData>
      <sheetData sheetId="958">
        <row r="1">
          <cell r="A1" t="str">
            <v>MORGAN STANLEY DEAN WITTER</v>
          </cell>
        </row>
      </sheetData>
      <sheetData sheetId="959">
        <row r="1">
          <cell r="A1" t="str">
            <v>MORGAN STANLEY DEAN WITTER</v>
          </cell>
        </row>
      </sheetData>
      <sheetData sheetId="960">
        <row r="1">
          <cell r="A1" t="str">
            <v>MORGAN STANLEY DEAN WITTER</v>
          </cell>
        </row>
      </sheetData>
      <sheetData sheetId="961">
        <row r="1">
          <cell r="A1" t="str">
            <v>MORGAN STANLEY DEAN WITTER</v>
          </cell>
        </row>
      </sheetData>
      <sheetData sheetId="962">
        <row r="1">
          <cell r="A1" t="str">
            <v>MORGAN STANLEY DEAN WITTER</v>
          </cell>
        </row>
      </sheetData>
      <sheetData sheetId="963">
        <row r="1">
          <cell r="A1" t="str">
            <v>MORGAN STANLEY DEAN WITTER</v>
          </cell>
        </row>
      </sheetData>
      <sheetData sheetId="964">
        <row r="1">
          <cell r="A1" t="str">
            <v>MORGAN STANLEY DEAN WITTER</v>
          </cell>
        </row>
      </sheetData>
      <sheetData sheetId="965">
        <row r="1">
          <cell r="A1" t="str">
            <v>MORGAN STANLEY DEAN WITTER</v>
          </cell>
        </row>
      </sheetData>
      <sheetData sheetId="966">
        <row r="1">
          <cell r="A1" t="str">
            <v>MORGAN STANLEY DEAN WITTER</v>
          </cell>
        </row>
      </sheetData>
      <sheetData sheetId="967">
        <row r="1">
          <cell r="A1" t="str">
            <v>MORGAN STANLEY DEAN WITTER</v>
          </cell>
        </row>
      </sheetData>
      <sheetData sheetId="968">
        <row r="1">
          <cell r="A1" t="str">
            <v>MORGAN STANLEY DEAN WITTER</v>
          </cell>
        </row>
      </sheetData>
      <sheetData sheetId="969">
        <row r="1">
          <cell r="A1" t="str">
            <v>MORGAN STANLEY DEAN WITTER</v>
          </cell>
        </row>
      </sheetData>
      <sheetData sheetId="970">
        <row r="1">
          <cell r="A1" t="str">
            <v>MORGAN STANLEY DEAN WITTER</v>
          </cell>
        </row>
      </sheetData>
      <sheetData sheetId="971">
        <row r="1">
          <cell r="A1" t="str">
            <v>MORGAN STANLEY DEAN WITTER</v>
          </cell>
        </row>
      </sheetData>
      <sheetData sheetId="972">
        <row r="1">
          <cell r="A1" t="str">
            <v>MORGAN STANLEY DEAN WITTER</v>
          </cell>
        </row>
      </sheetData>
      <sheetData sheetId="973">
        <row r="1">
          <cell r="A1" t="str">
            <v>MORGAN STANLEY DEAN WITTER</v>
          </cell>
        </row>
      </sheetData>
      <sheetData sheetId="974">
        <row r="1">
          <cell r="A1" t="str">
            <v>MORGAN STANLEY DEAN WITTER</v>
          </cell>
        </row>
      </sheetData>
      <sheetData sheetId="975">
        <row r="1">
          <cell r="A1" t="str">
            <v>MORGAN STANLEY DEAN WITTER</v>
          </cell>
        </row>
      </sheetData>
      <sheetData sheetId="976">
        <row r="1">
          <cell r="A1" t="str">
            <v>MORGAN STANLEY DEAN WITTER</v>
          </cell>
        </row>
      </sheetData>
      <sheetData sheetId="977">
        <row r="1">
          <cell r="A1" t="str">
            <v>MORGAN STANLEY DEAN WITTER</v>
          </cell>
        </row>
      </sheetData>
      <sheetData sheetId="978">
        <row r="1">
          <cell r="A1" t="str">
            <v>MORGAN STANLEY DEAN WITTER</v>
          </cell>
        </row>
      </sheetData>
      <sheetData sheetId="979">
        <row r="1">
          <cell r="A1" t="str">
            <v>MORGAN STANLEY DEAN WITTER</v>
          </cell>
        </row>
      </sheetData>
      <sheetData sheetId="980">
        <row r="1">
          <cell r="A1" t="str">
            <v>MORGAN STANLEY DEAN WITTER</v>
          </cell>
        </row>
      </sheetData>
      <sheetData sheetId="981">
        <row r="1">
          <cell r="A1" t="str">
            <v>MORGAN STANLEY DEAN WITTER</v>
          </cell>
        </row>
      </sheetData>
      <sheetData sheetId="982">
        <row r="1">
          <cell r="A1" t="str">
            <v>MORGAN STANLEY DEAN WITTER</v>
          </cell>
        </row>
      </sheetData>
      <sheetData sheetId="983">
        <row r="1">
          <cell r="A1" t="str">
            <v>MORGAN STANLEY DEAN WITTER</v>
          </cell>
        </row>
      </sheetData>
      <sheetData sheetId="984">
        <row r="1">
          <cell r="A1" t="str">
            <v>MORGAN STANLEY DEAN WITTER</v>
          </cell>
        </row>
      </sheetData>
      <sheetData sheetId="985">
        <row r="1">
          <cell r="A1" t="str">
            <v>MORGAN STANLEY DEAN WITTER</v>
          </cell>
        </row>
      </sheetData>
      <sheetData sheetId="986">
        <row r="1">
          <cell r="A1" t="str">
            <v>MORGAN STANLEY DEAN WITTER</v>
          </cell>
        </row>
      </sheetData>
      <sheetData sheetId="987">
        <row r="1">
          <cell r="A1" t="str">
            <v>MORGAN STANLEY DEAN WITTER</v>
          </cell>
        </row>
      </sheetData>
      <sheetData sheetId="988">
        <row r="1">
          <cell r="A1" t="str">
            <v>MORGAN STANLEY DEAN WITTER</v>
          </cell>
        </row>
      </sheetData>
      <sheetData sheetId="989">
        <row r="1">
          <cell r="A1" t="str">
            <v>MORGAN STANLEY DEAN WITTER</v>
          </cell>
        </row>
      </sheetData>
      <sheetData sheetId="990">
        <row r="1">
          <cell r="A1" t="str">
            <v>MORGAN STANLEY DEAN WITTER</v>
          </cell>
        </row>
      </sheetData>
      <sheetData sheetId="991">
        <row r="1">
          <cell r="A1" t="str">
            <v>MORGAN STANLEY DEAN WITTER</v>
          </cell>
        </row>
      </sheetData>
      <sheetData sheetId="992">
        <row r="1">
          <cell r="A1" t="str">
            <v>MORGAN STANLEY DEAN WITTER</v>
          </cell>
        </row>
      </sheetData>
      <sheetData sheetId="993">
        <row r="1">
          <cell r="A1" t="str">
            <v>MORGAN STANLEY DEAN WITTER</v>
          </cell>
        </row>
      </sheetData>
      <sheetData sheetId="994">
        <row r="1">
          <cell r="A1" t="str">
            <v>MORGAN STANLEY DEAN WITTER</v>
          </cell>
        </row>
      </sheetData>
      <sheetData sheetId="995">
        <row r="1">
          <cell r="A1" t="str">
            <v>MORGAN STANLEY DEAN WITTER</v>
          </cell>
        </row>
      </sheetData>
      <sheetData sheetId="996">
        <row r="1">
          <cell r="A1" t="str">
            <v>MORGAN STANLEY DEAN WITTER</v>
          </cell>
        </row>
      </sheetData>
      <sheetData sheetId="997">
        <row r="1">
          <cell r="A1" t="str">
            <v>MORGAN STANLEY DEAN WITTER</v>
          </cell>
        </row>
      </sheetData>
      <sheetData sheetId="998">
        <row r="1">
          <cell r="A1" t="str">
            <v>MORGAN STANLEY DEAN WITTER</v>
          </cell>
        </row>
      </sheetData>
      <sheetData sheetId="999">
        <row r="1">
          <cell r="A1" t="str">
            <v>MORGAN STANLEY DEAN WITTER</v>
          </cell>
        </row>
      </sheetData>
      <sheetData sheetId="1000">
        <row r="1">
          <cell r="A1" t="str">
            <v>MORGAN STANLEY DEAN WITTER</v>
          </cell>
        </row>
      </sheetData>
      <sheetData sheetId="1001">
        <row r="1">
          <cell r="A1" t="str">
            <v>MORGAN STANLEY DEAN WITTER</v>
          </cell>
        </row>
      </sheetData>
      <sheetData sheetId="1002">
        <row r="1">
          <cell r="A1" t="str">
            <v>MORGAN STANLEY DEAN WITTER</v>
          </cell>
        </row>
      </sheetData>
      <sheetData sheetId="1003">
        <row r="1">
          <cell r="A1" t="str">
            <v>MORGAN STANLEY DEAN WITTER</v>
          </cell>
        </row>
      </sheetData>
      <sheetData sheetId="1004">
        <row r="1">
          <cell r="A1" t="str">
            <v>MORGAN STANLEY DEAN WITTER</v>
          </cell>
        </row>
      </sheetData>
      <sheetData sheetId="1005">
        <row r="1">
          <cell r="A1" t="str">
            <v>MORGAN STANLEY DEAN WITTER</v>
          </cell>
        </row>
      </sheetData>
      <sheetData sheetId="1006">
        <row r="1">
          <cell r="A1" t="str">
            <v>MORGAN STANLEY DEAN WITTER</v>
          </cell>
        </row>
      </sheetData>
      <sheetData sheetId="1007">
        <row r="1">
          <cell r="A1" t="str">
            <v>MORGAN STANLEY DEAN WITTER</v>
          </cell>
        </row>
      </sheetData>
      <sheetData sheetId="1008">
        <row r="1">
          <cell r="A1" t="str">
            <v>MORGAN STANLEY DEAN WITTER</v>
          </cell>
        </row>
      </sheetData>
      <sheetData sheetId="1009">
        <row r="1">
          <cell r="A1" t="str">
            <v>MORGAN STANLEY DEAN WITTER</v>
          </cell>
        </row>
      </sheetData>
      <sheetData sheetId="1010">
        <row r="1">
          <cell r="A1" t="str">
            <v>MORGAN STANLEY DEAN WITTER</v>
          </cell>
        </row>
      </sheetData>
      <sheetData sheetId="1011">
        <row r="1">
          <cell r="A1" t="str">
            <v>MORGAN STANLEY DEAN WITTER</v>
          </cell>
        </row>
      </sheetData>
      <sheetData sheetId="1012">
        <row r="1">
          <cell r="A1" t="str">
            <v>MORGAN STANLEY DEAN WITTER</v>
          </cell>
        </row>
      </sheetData>
      <sheetData sheetId="1013">
        <row r="1">
          <cell r="A1" t="str">
            <v>MORGAN STANLEY DEAN WITTER</v>
          </cell>
        </row>
      </sheetData>
      <sheetData sheetId="1014">
        <row r="1">
          <cell r="A1" t="str">
            <v>MORGAN STANLEY DEAN WITTER</v>
          </cell>
        </row>
      </sheetData>
      <sheetData sheetId="1015">
        <row r="1">
          <cell r="A1" t="str">
            <v>MORGAN STANLEY DEAN WITTER</v>
          </cell>
        </row>
      </sheetData>
      <sheetData sheetId="1016">
        <row r="1">
          <cell r="A1" t="str">
            <v>MORGAN STANLEY DEAN WITTER</v>
          </cell>
        </row>
      </sheetData>
      <sheetData sheetId="1017">
        <row r="1">
          <cell r="A1" t="str">
            <v>MORGAN STANLEY DEAN WITTER</v>
          </cell>
        </row>
      </sheetData>
      <sheetData sheetId="1018">
        <row r="1">
          <cell r="A1" t="str">
            <v>MORGAN STANLEY DEAN WITTER</v>
          </cell>
        </row>
      </sheetData>
      <sheetData sheetId="1019">
        <row r="1">
          <cell r="A1" t="str">
            <v>MORGAN STANLEY DEAN WITTER</v>
          </cell>
        </row>
      </sheetData>
      <sheetData sheetId="1020">
        <row r="1">
          <cell r="A1" t="str">
            <v>MORGAN STANLEY DEAN WITTER</v>
          </cell>
        </row>
      </sheetData>
      <sheetData sheetId="1021">
        <row r="1">
          <cell r="A1" t="str">
            <v>MORGAN STANLEY DEAN WITTER</v>
          </cell>
        </row>
      </sheetData>
      <sheetData sheetId="1022">
        <row r="1">
          <cell r="A1" t="str">
            <v>MORGAN STANLEY DEAN WITTER</v>
          </cell>
        </row>
      </sheetData>
      <sheetData sheetId="1023">
        <row r="1">
          <cell r="A1" t="str">
            <v>MORGAN STANLEY DEAN WITTER</v>
          </cell>
        </row>
      </sheetData>
      <sheetData sheetId="1024">
        <row r="1">
          <cell r="A1" t="str">
            <v>MORGAN STANLEY DEAN WITTER</v>
          </cell>
        </row>
      </sheetData>
      <sheetData sheetId="1025">
        <row r="1">
          <cell r="A1" t="str">
            <v>MORGAN STANLEY DEAN WITTER</v>
          </cell>
        </row>
      </sheetData>
      <sheetData sheetId="1026">
        <row r="1">
          <cell r="A1" t="str">
            <v>MORGAN STANLEY DEAN WITTER</v>
          </cell>
        </row>
      </sheetData>
      <sheetData sheetId="1027">
        <row r="1">
          <cell r="A1" t="str">
            <v>MORGAN STANLEY DEAN WITTER</v>
          </cell>
        </row>
      </sheetData>
      <sheetData sheetId="1028">
        <row r="1">
          <cell r="A1" t="str">
            <v>MORGAN STANLEY DEAN WITTER</v>
          </cell>
        </row>
      </sheetData>
      <sheetData sheetId="1029">
        <row r="1">
          <cell r="A1" t="str">
            <v>MORGAN STANLEY DEAN WITTER</v>
          </cell>
        </row>
      </sheetData>
      <sheetData sheetId="1030">
        <row r="1">
          <cell r="A1" t="str">
            <v>MORGAN STANLEY DEAN WITTER</v>
          </cell>
        </row>
      </sheetData>
      <sheetData sheetId="1031">
        <row r="1">
          <cell r="A1" t="str">
            <v>MORGAN STANLEY DEAN WITTER</v>
          </cell>
        </row>
      </sheetData>
      <sheetData sheetId="1032">
        <row r="1">
          <cell r="A1" t="str">
            <v>MORGAN STANLEY DEAN WITTER</v>
          </cell>
        </row>
      </sheetData>
      <sheetData sheetId="1033">
        <row r="1">
          <cell r="A1" t="str">
            <v>MORGAN STANLEY DEAN WITTER</v>
          </cell>
        </row>
      </sheetData>
      <sheetData sheetId="1034">
        <row r="1">
          <cell r="A1" t="str">
            <v>MORGAN STANLEY DEAN WITTER</v>
          </cell>
        </row>
      </sheetData>
      <sheetData sheetId="1035">
        <row r="1">
          <cell r="A1" t="str">
            <v>MORGAN STANLEY DEAN WITTER</v>
          </cell>
        </row>
      </sheetData>
      <sheetData sheetId="1036">
        <row r="1">
          <cell r="A1" t="str">
            <v>MORGAN STANLEY DEAN WITTER</v>
          </cell>
        </row>
      </sheetData>
      <sheetData sheetId="1037">
        <row r="1">
          <cell r="A1" t="str">
            <v>MORGAN STANLEY DEAN WITTER</v>
          </cell>
        </row>
      </sheetData>
      <sheetData sheetId="1038">
        <row r="1">
          <cell r="A1" t="str">
            <v>MORGAN STANLEY DEAN WITTER</v>
          </cell>
        </row>
      </sheetData>
      <sheetData sheetId="1039">
        <row r="1">
          <cell r="A1" t="str">
            <v>MORGAN STANLEY DEAN WITTER</v>
          </cell>
        </row>
      </sheetData>
      <sheetData sheetId="1040">
        <row r="1">
          <cell r="A1" t="str">
            <v>MORGAN STANLEY DEAN WITTER</v>
          </cell>
        </row>
      </sheetData>
      <sheetData sheetId="1041">
        <row r="1">
          <cell r="A1" t="str">
            <v>MORGAN STANLEY DEAN WITTER</v>
          </cell>
        </row>
      </sheetData>
      <sheetData sheetId="1042">
        <row r="1">
          <cell r="A1" t="str">
            <v>MORGAN STANLEY DEAN WITTER</v>
          </cell>
        </row>
      </sheetData>
      <sheetData sheetId="1043">
        <row r="1">
          <cell r="A1" t="str">
            <v>MORGAN STANLEY DEAN WITTER</v>
          </cell>
        </row>
      </sheetData>
      <sheetData sheetId="1044">
        <row r="1">
          <cell r="A1" t="str">
            <v>MORGAN STANLEY DEAN WITTER</v>
          </cell>
        </row>
      </sheetData>
      <sheetData sheetId="1045">
        <row r="1">
          <cell r="A1" t="str">
            <v>MORGAN STANLEY DEAN WITTER</v>
          </cell>
        </row>
      </sheetData>
      <sheetData sheetId="1046">
        <row r="1">
          <cell r="A1" t="str">
            <v>MORGAN STANLEY DEAN WITTER</v>
          </cell>
        </row>
      </sheetData>
      <sheetData sheetId="1047">
        <row r="1">
          <cell r="A1" t="str">
            <v>MORGAN STANLEY DEAN WITTER</v>
          </cell>
        </row>
      </sheetData>
      <sheetData sheetId="1048">
        <row r="1">
          <cell r="A1" t="str">
            <v>MORGAN STANLEY DEAN WITTER</v>
          </cell>
        </row>
      </sheetData>
      <sheetData sheetId="1049">
        <row r="1">
          <cell r="A1" t="str">
            <v>MORGAN STANLEY DEAN WITTER</v>
          </cell>
        </row>
      </sheetData>
      <sheetData sheetId="1050">
        <row r="1">
          <cell r="A1" t="str">
            <v>MORGAN STANLEY DEAN WITTER</v>
          </cell>
        </row>
      </sheetData>
      <sheetData sheetId="1051">
        <row r="1">
          <cell r="A1" t="str">
            <v>MORGAN STANLEY DEAN WITTER</v>
          </cell>
        </row>
      </sheetData>
      <sheetData sheetId="1052">
        <row r="1">
          <cell r="A1" t="str">
            <v>MORGAN STANLEY DEAN WITTER</v>
          </cell>
        </row>
      </sheetData>
      <sheetData sheetId="1053">
        <row r="1">
          <cell r="A1" t="str">
            <v>MORGAN STANLEY DEAN WITTER</v>
          </cell>
        </row>
      </sheetData>
      <sheetData sheetId="1054">
        <row r="1">
          <cell r="A1" t="str">
            <v>MORGAN STANLEY DEAN WITTER</v>
          </cell>
        </row>
      </sheetData>
      <sheetData sheetId="1055">
        <row r="1">
          <cell r="A1" t="str">
            <v>MORGAN STANLEY DEAN WITTER</v>
          </cell>
        </row>
      </sheetData>
      <sheetData sheetId="1056">
        <row r="1">
          <cell r="A1" t="str">
            <v>MORGAN STANLEY DEAN WITTER</v>
          </cell>
        </row>
      </sheetData>
      <sheetData sheetId="1057">
        <row r="1">
          <cell r="A1" t="str">
            <v>MORGAN STANLEY DEAN WITTER</v>
          </cell>
        </row>
      </sheetData>
      <sheetData sheetId="1058">
        <row r="1">
          <cell r="A1" t="str">
            <v>MORGAN STANLEY DEAN WITTER</v>
          </cell>
        </row>
      </sheetData>
      <sheetData sheetId="1059">
        <row r="1">
          <cell r="A1" t="str">
            <v>MORGAN STANLEY DEAN WITTER</v>
          </cell>
        </row>
      </sheetData>
      <sheetData sheetId="1060">
        <row r="1">
          <cell r="A1" t="str">
            <v>MORGAN STANLEY DEAN WITTER</v>
          </cell>
        </row>
      </sheetData>
      <sheetData sheetId="1061">
        <row r="1">
          <cell r="A1" t="str">
            <v>MORGAN STANLEY DEAN WITTER</v>
          </cell>
        </row>
      </sheetData>
      <sheetData sheetId="1062">
        <row r="1">
          <cell r="A1" t="str">
            <v>MORGAN STANLEY DEAN WITTER</v>
          </cell>
        </row>
      </sheetData>
      <sheetData sheetId="1063">
        <row r="1">
          <cell r="A1" t="str">
            <v>MORGAN STANLEY DEAN WITTER</v>
          </cell>
        </row>
      </sheetData>
      <sheetData sheetId="1064">
        <row r="1">
          <cell r="A1" t="str">
            <v>MORGAN STANLEY DEAN WITTER</v>
          </cell>
        </row>
      </sheetData>
      <sheetData sheetId="1065">
        <row r="1">
          <cell r="A1" t="str">
            <v>MORGAN STANLEY DEAN WITTER</v>
          </cell>
        </row>
      </sheetData>
      <sheetData sheetId="1066">
        <row r="1">
          <cell r="A1" t="str">
            <v>MORGAN STANLEY DEAN WITTER</v>
          </cell>
        </row>
      </sheetData>
      <sheetData sheetId="1067">
        <row r="1">
          <cell r="A1" t="str">
            <v>MORGAN STANLEY DEAN WITTER</v>
          </cell>
        </row>
      </sheetData>
      <sheetData sheetId="1068">
        <row r="1">
          <cell r="A1" t="str">
            <v>MORGAN STANLEY DEAN WITTER</v>
          </cell>
        </row>
      </sheetData>
      <sheetData sheetId="1069">
        <row r="1">
          <cell r="A1" t="str">
            <v>MORGAN STANLEY DEAN WITTER</v>
          </cell>
        </row>
      </sheetData>
      <sheetData sheetId="1070">
        <row r="1">
          <cell r="A1" t="str">
            <v>MORGAN STANLEY DEAN WITTER</v>
          </cell>
        </row>
      </sheetData>
      <sheetData sheetId="1071">
        <row r="1">
          <cell r="A1" t="str">
            <v>MORGAN STANLEY DEAN WITTER</v>
          </cell>
        </row>
      </sheetData>
      <sheetData sheetId="1072">
        <row r="1">
          <cell r="A1" t="str">
            <v>MORGAN STANLEY DEAN WITTER</v>
          </cell>
        </row>
      </sheetData>
      <sheetData sheetId="1073">
        <row r="1">
          <cell r="A1" t="str">
            <v>MORGAN STANLEY DEAN WITTER</v>
          </cell>
        </row>
      </sheetData>
      <sheetData sheetId="1074">
        <row r="1">
          <cell r="A1" t="str">
            <v>MORGAN STANLEY DEAN WITTER</v>
          </cell>
        </row>
      </sheetData>
      <sheetData sheetId="1075">
        <row r="1">
          <cell r="A1" t="str">
            <v>MORGAN STANLEY DEAN WITTER</v>
          </cell>
        </row>
      </sheetData>
      <sheetData sheetId="1076">
        <row r="1">
          <cell r="A1" t="str">
            <v>MORGAN STANLEY DEAN WITTER</v>
          </cell>
        </row>
      </sheetData>
      <sheetData sheetId="1077">
        <row r="1">
          <cell r="A1" t="str">
            <v>MORGAN STANLEY DEAN WITTER</v>
          </cell>
        </row>
      </sheetData>
      <sheetData sheetId="1078">
        <row r="1">
          <cell r="A1" t="str">
            <v>MORGAN STANLEY DEAN WITTER</v>
          </cell>
        </row>
      </sheetData>
      <sheetData sheetId="1079">
        <row r="1">
          <cell r="A1" t="str">
            <v>MORGAN STANLEY DEAN WITTER</v>
          </cell>
        </row>
      </sheetData>
      <sheetData sheetId="1080">
        <row r="1">
          <cell r="A1" t="str">
            <v>MORGAN STANLEY DEAN WITTER</v>
          </cell>
        </row>
      </sheetData>
      <sheetData sheetId="1081">
        <row r="1">
          <cell r="A1" t="str">
            <v>MORGAN STANLEY DEAN WITTER</v>
          </cell>
        </row>
      </sheetData>
      <sheetData sheetId="1082">
        <row r="1">
          <cell r="A1" t="str">
            <v>MORGAN STANLEY DEAN WITTER</v>
          </cell>
        </row>
      </sheetData>
      <sheetData sheetId="1083">
        <row r="1">
          <cell r="A1" t="str">
            <v>MORGAN STANLEY DEAN WITTER</v>
          </cell>
        </row>
      </sheetData>
      <sheetData sheetId="1084">
        <row r="1">
          <cell r="A1" t="str">
            <v>MORGAN STANLEY DEAN WITTER</v>
          </cell>
        </row>
      </sheetData>
      <sheetData sheetId="1085">
        <row r="1">
          <cell r="A1" t="str">
            <v>MORGAN STANLEY DEAN WITTER</v>
          </cell>
        </row>
      </sheetData>
      <sheetData sheetId="1086">
        <row r="1">
          <cell r="A1" t="str">
            <v>MORGAN STANLEY DEAN WITTER</v>
          </cell>
        </row>
      </sheetData>
      <sheetData sheetId="1087">
        <row r="1">
          <cell r="A1" t="str">
            <v>MORGAN STANLEY DEAN WITTER</v>
          </cell>
        </row>
      </sheetData>
      <sheetData sheetId="1088">
        <row r="1">
          <cell r="A1" t="str">
            <v>MORGAN STANLEY DEAN WITTER</v>
          </cell>
        </row>
      </sheetData>
      <sheetData sheetId="1089">
        <row r="1">
          <cell r="A1" t="str">
            <v>MORGAN STANLEY DEAN WITTER</v>
          </cell>
        </row>
      </sheetData>
      <sheetData sheetId="1090">
        <row r="1">
          <cell r="A1" t="str">
            <v>MORGAN STANLEY DEAN WITTER</v>
          </cell>
        </row>
      </sheetData>
      <sheetData sheetId="1091">
        <row r="1">
          <cell r="A1" t="str">
            <v>MORGAN STANLEY DEAN WITTER</v>
          </cell>
        </row>
      </sheetData>
      <sheetData sheetId="1092">
        <row r="1">
          <cell r="A1" t="str">
            <v>MORGAN STANLEY DEAN WITTER</v>
          </cell>
        </row>
      </sheetData>
      <sheetData sheetId="1093">
        <row r="1">
          <cell r="A1" t="str">
            <v>MORGAN STANLEY DEAN WITTER</v>
          </cell>
        </row>
      </sheetData>
      <sheetData sheetId="1094">
        <row r="1">
          <cell r="A1" t="str">
            <v>MORGAN STANLEY DEAN WITTER</v>
          </cell>
        </row>
      </sheetData>
      <sheetData sheetId="1095">
        <row r="1">
          <cell r="A1" t="str">
            <v>MORGAN STANLEY DEAN WITTER</v>
          </cell>
        </row>
      </sheetData>
      <sheetData sheetId="1096">
        <row r="1">
          <cell r="A1" t="str">
            <v>MORGAN STANLEY DEAN WITTER</v>
          </cell>
        </row>
      </sheetData>
      <sheetData sheetId="1097">
        <row r="1">
          <cell r="A1" t="str">
            <v>MORGAN STANLEY DEAN WITTER</v>
          </cell>
        </row>
      </sheetData>
      <sheetData sheetId="1098">
        <row r="1">
          <cell r="A1" t="str">
            <v>MORGAN STANLEY DEAN WITTER</v>
          </cell>
        </row>
      </sheetData>
      <sheetData sheetId="1099">
        <row r="1">
          <cell r="A1" t="str">
            <v>MORGAN STANLEY DEAN WITTER</v>
          </cell>
        </row>
      </sheetData>
      <sheetData sheetId="1100">
        <row r="1">
          <cell r="A1" t="str">
            <v>MORGAN STANLEY DEAN WITTER</v>
          </cell>
        </row>
      </sheetData>
      <sheetData sheetId="1101">
        <row r="1">
          <cell r="A1" t="str">
            <v>MORGAN STANLEY DEAN WITTER</v>
          </cell>
        </row>
      </sheetData>
      <sheetData sheetId="1102">
        <row r="1">
          <cell r="A1" t="str">
            <v>MORGAN STANLEY DEAN WITTER</v>
          </cell>
        </row>
      </sheetData>
      <sheetData sheetId="1103">
        <row r="1">
          <cell r="A1" t="str">
            <v>MORGAN STANLEY DEAN WITTER</v>
          </cell>
        </row>
      </sheetData>
      <sheetData sheetId="1104">
        <row r="1">
          <cell r="A1" t="str">
            <v>MORGAN STANLEY DEAN WITTER</v>
          </cell>
        </row>
      </sheetData>
      <sheetData sheetId="1105">
        <row r="1">
          <cell r="A1" t="str">
            <v>MORGAN STANLEY DEAN WITTER</v>
          </cell>
        </row>
      </sheetData>
      <sheetData sheetId="1106">
        <row r="1">
          <cell r="A1" t="str">
            <v>MORGAN STANLEY DEAN WITTER</v>
          </cell>
        </row>
      </sheetData>
      <sheetData sheetId="1107">
        <row r="1">
          <cell r="A1" t="str">
            <v>MORGAN STANLEY DEAN WITTER</v>
          </cell>
        </row>
      </sheetData>
      <sheetData sheetId="1108">
        <row r="1">
          <cell r="A1" t="str">
            <v>MORGAN STANLEY DEAN WITTER</v>
          </cell>
        </row>
      </sheetData>
      <sheetData sheetId="1109">
        <row r="1">
          <cell r="A1" t="str">
            <v>MORGAN STANLEY DEAN WITTER</v>
          </cell>
        </row>
      </sheetData>
      <sheetData sheetId="1110">
        <row r="1">
          <cell r="A1" t="str">
            <v>MORGAN STANLEY DEAN WITTER</v>
          </cell>
        </row>
      </sheetData>
      <sheetData sheetId="1111">
        <row r="1">
          <cell r="A1" t="str">
            <v>MORGAN STANLEY DEAN WITTER</v>
          </cell>
        </row>
      </sheetData>
      <sheetData sheetId="1112">
        <row r="1">
          <cell r="A1" t="str">
            <v>MORGAN STANLEY DEAN WITTER</v>
          </cell>
        </row>
      </sheetData>
      <sheetData sheetId="1113">
        <row r="1">
          <cell r="A1" t="str">
            <v>MORGAN STANLEY DEAN WITTER</v>
          </cell>
        </row>
      </sheetData>
      <sheetData sheetId="1114">
        <row r="1">
          <cell r="A1" t="str">
            <v>MORGAN STANLEY DEAN WITTER</v>
          </cell>
        </row>
      </sheetData>
      <sheetData sheetId="1115">
        <row r="1">
          <cell r="A1" t="str">
            <v>MORGAN STANLEY DEAN WITTER</v>
          </cell>
        </row>
      </sheetData>
      <sheetData sheetId="1116">
        <row r="1">
          <cell r="A1" t="str">
            <v>MORGAN STANLEY DEAN WITTER</v>
          </cell>
        </row>
      </sheetData>
      <sheetData sheetId="1117">
        <row r="1">
          <cell r="A1" t="str">
            <v>MORGAN STANLEY DEAN WITTER</v>
          </cell>
        </row>
      </sheetData>
      <sheetData sheetId="1118">
        <row r="1">
          <cell r="A1" t="str">
            <v>MORGAN STANLEY DEAN WITTER</v>
          </cell>
        </row>
      </sheetData>
      <sheetData sheetId="1119">
        <row r="1">
          <cell r="A1" t="str">
            <v>MORGAN STANLEY DEAN WITTER</v>
          </cell>
        </row>
      </sheetData>
      <sheetData sheetId="1120">
        <row r="1">
          <cell r="A1" t="str">
            <v>MORGAN STANLEY DEAN WITTER</v>
          </cell>
        </row>
      </sheetData>
      <sheetData sheetId="1121">
        <row r="1">
          <cell r="A1" t="str">
            <v>MORGAN STANLEY DEAN WITTER</v>
          </cell>
        </row>
      </sheetData>
      <sheetData sheetId="1122">
        <row r="1">
          <cell r="A1" t="str">
            <v>MORGAN STANLEY DEAN WITTER</v>
          </cell>
        </row>
      </sheetData>
      <sheetData sheetId="1123">
        <row r="1">
          <cell r="A1" t="str">
            <v>MORGAN STANLEY DEAN WITTER</v>
          </cell>
        </row>
      </sheetData>
      <sheetData sheetId="1124">
        <row r="1">
          <cell r="A1" t="str">
            <v>MORGAN STANLEY DEAN WITTER</v>
          </cell>
        </row>
      </sheetData>
      <sheetData sheetId="1125">
        <row r="1">
          <cell r="A1" t="str">
            <v>MORGAN STANLEY DEAN WITTER</v>
          </cell>
        </row>
      </sheetData>
      <sheetData sheetId="1126">
        <row r="1">
          <cell r="A1" t="str">
            <v>MORGAN STANLEY DEAN WITTER</v>
          </cell>
        </row>
      </sheetData>
      <sheetData sheetId="1127">
        <row r="1">
          <cell r="A1" t="str">
            <v>MORGAN STANLEY DEAN WITTER</v>
          </cell>
        </row>
      </sheetData>
      <sheetData sheetId="1128">
        <row r="1">
          <cell r="A1" t="str">
            <v>MORGAN STANLEY DEAN WITTER</v>
          </cell>
        </row>
      </sheetData>
      <sheetData sheetId="1129">
        <row r="1">
          <cell r="A1" t="str">
            <v>MORGAN STANLEY DEAN WITTER</v>
          </cell>
        </row>
      </sheetData>
      <sheetData sheetId="1130">
        <row r="1">
          <cell r="A1" t="str">
            <v>MORGAN STANLEY DEAN WITTER</v>
          </cell>
        </row>
      </sheetData>
      <sheetData sheetId="1131">
        <row r="1">
          <cell r="A1" t="str">
            <v>MORGAN STANLEY DEAN WITTER</v>
          </cell>
        </row>
      </sheetData>
      <sheetData sheetId="1132">
        <row r="1">
          <cell r="A1" t="str">
            <v>MORGAN STANLEY DEAN WITTER</v>
          </cell>
        </row>
      </sheetData>
      <sheetData sheetId="1133">
        <row r="1">
          <cell r="A1" t="str">
            <v>MORGAN STANLEY DEAN WITTER</v>
          </cell>
        </row>
      </sheetData>
      <sheetData sheetId="1134">
        <row r="1">
          <cell r="A1" t="str">
            <v>MORGAN STANLEY DEAN WITTER</v>
          </cell>
        </row>
      </sheetData>
      <sheetData sheetId="1135">
        <row r="1">
          <cell r="A1" t="str">
            <v>MORGAN STANLEY DEAN WITTER</v>
          </cell>
        </row>
      </sheetData>
      <sheetData sheetId="1136">
        <row r="1">
          <cell r="A1" t="str">
            <v>MORGAN STANLEY DEAN WITTER</v>
          </cell>
        </row>
      </sheetData>
      <sheetData sheetId="1137">
        <row r="1">
          <cell r="A1" t="str">
            <v>MORGAN STANLEY DEAN WITTER</v>
          </cell>
        </row>
      </sheetData>
      <sheetData sheetId="1138">
        <row r="1">
          <cell r="A1" t="str">
            <v>MORGAN STANLEY DEAN WITTER</v>
          </cell>
        </row>
      </sheetData>
      <sheetData sheetId="1139">
        <row r="1">
          <cell r="A1" t="str">
            <v>MORGAN STANLEY DEAN WITTER</v>
          </cell>
        </row>
      </sheetData>
      <sheetData sheetId="1140">
        <row r="1">
          <cell r="A1" t="str">
            <v>MORGAN STANLEY DEAN WITTER</v>
          </cell>
        </row>
      </sheetData>
      <sheetData sheetId="1141">
        <row r="1">
          <cell r="A1" t="str">
            <v>MORGAN STANLEY DEAN WITTER</v>
          </cell>
        </row>
      </sheetData>
      <sheetData sheetId="1142">
        <row r="1">
          <cell r="A1" t="str">
            <v>MORGAN STANLEY DEAN WITTER</v>
          </cell>
        </row>
      </sheetData>
      <sheetData sheetId="1143">
        <row r="1">
          <cell r="A1" t="str">
            <v>MORGAN STANLEY DEAN WITTER</v>
          </cell>
        </row>
      </sheetData>
      <sheetData sheetId="1144">
        <row r="1">
          <cell r="A1" t="str">
            <v>MORGAN STANLEY DEAN WITTER</v>
          </cell>
        </row>
      </sheetData>
      <sheetData sheetId="1145">
        <row r="1">
          <cell r="A1" t="str">
            <v>MORGAN STANLEY DEAN WITTER</v>
          </cell>
        </row>
      </sheetData>
      <sheetData sheetId="1146">
        <row r="1">
          <cell r="A1" t="str">
            <v>MORGAN STANLEY DEAN WITTER</v>
          </cell>
        </row>
      </sheetData>
      <sheetData sheetId="1147">
        <row r="1">
          <cell r="A1" t="str">
            <v>MORGAN STANLEY DEAN WITTER</v>
          </cell>
        </row>
      </sheetData>
      <sheetData sheetId="1148">
        <row r="1">
          <cell r="A1" t="str">
            <v>MORGAN STANLEY DEAN WITTER</v>
          </cell>
        </row>
      </sheetData>
      <sheetData sheetId="1149">
        <row r="1">
          <cell r="A1" t="str">
            <v>MORGAN STANLEY DEAN WITTER</v>
          </cell>
        </row>
      </sheetData>
      <sheetData sheetId="1150">
        <row r="1">
          <cell r="A1" t="str">
            <v>MORGAN STANLEY DEAN WITTER</v>
          </cell>
        </row>
      </sheetData>
      <sheetData sheetId="1151">
        <row r="1">
          <cell r="A1" t="str">
            <v>MORGAN STANLEY DEAN WITTER</v>
          </cell>
        </row>
      </sheetData>
      <sheetData sheetId="1152">
        <row r="1">
          <cell r="A1" t="str">
            <v>MORGAN STANLEY DEAN WITTER</v>
          </cell>
        </row>
      </sheetData>
      <sheetData sheetId="1153">
        <row r="1">
          <cell r="A1" t="str">
            <v>MORGAN STANLEY DEAN WITTER</v>
          </cell>
        </row>
      </sheetData>
      <sheetData sheetId="1154">
        <row r="1">
          <cell r="A1" t="str">
            <v>MORGAN STANLEY DEAN WITTER</v>
          </cell>
        </row>
      </sheetData>
      <sheetData sheetId="1155">
        <row r="1">
          <cell r="A1" t="str">
            <v>MORGAN STANLEY DEAN WITTER</v>
          </cell>
        </row>
      </sheetData>
      <sheetData sheetId="1156">
        <row r="1">
          <cell r="A1" t="str">
            <v>MORGAN STANLEY DEAN WITTER</v>
          </cell>
        </row>
      </sheetData>
      <sheetData sheetId="1157">
        <row r="1">
          <cell r="A1" t="str">
            <v>MORGAN STANLEY DEAN WITTER</v>
          </cell>
        </row>
      </sheetData>
      <sheetData sheetId="1158">
        <row r="1">
          <cell r="A1" t="str">
            <v>MORGAN STANLEY DEAN WITTER</v>
          </cell>
        </row>
      </sheetData>
      <sheetData sheetId="1159">
        <row r="1">
          <cell r="A1" t="str">
            <v>MORGAN STANLEY DEAN WITTER</v>
          </cell>
        </row>
      </sheetData>
      <sheetData sheetId="1160">
        <row r="1">
          <cell r="A1" t="str">
            <v>MORGAN STANLEY DEAN WITTER</v>
          </cell>
        </row>
      </sheetData>
      <sheetData sheetId="1161">
        <row r="1">
          <cell r="A1" t="str">
            <v>MORGAN STANLEY DEAN WITTER</v>
          </cell>
        </row>
      </sheetData>
      <sheetData sheetId="1162">
        <row r="1">
          <cell r="A1" t="str">
            <v>MORGAN STANLEY DEAN WITTER</v>
          </cell>
        </row>
      </sheetData>
      <sheetData sheetId="1163">
        <row r="1">
          <cell r="A1" t="str">
            <v>MORGAN STANLEY DEAN WITTER</v>
          </cell>
        </row>
      </sheetData>
      <sheetData sheetId="1164">
        <row r="1">
          <cell r="A1" t="str">
            <v>MORGAN STANLEY DEAN WITTER</v>
          </cell>
        </row>
      </sheetData>
      <sheetData sheetId="1165">
        <row r="1">
          <cell r="A1" t="str">
            <v>MORGAN STANLEY DEAN WITTER</v>
          </cell>
        </row>
      </sheetData>
      <sheetData sheetId="1166">
        <row r="1">
          <cell r="A1" t="str">
            <v>MORGAN STANLEY DEAN WITTER</v>
          </cell>
        </row>
      </sheetData>
      <sheetData sheetId="1167">
        <row r="1">
          <cell r="A1" t="str">
            <v>MORGAN STANLEY DEAN WITTER</v>
          </cell>
        </row>
      </sheetData>
      <sheetData sheetId="1168">
        <row r="1">
          <cell r="A1" t="str">
            <v>MORGAN STANLEY DEAN WITTER</v>
          </cell>
        </row>
      </sheetData>
      <sheetData sheetId="1169">
        <row r="1">
          <cell r="A1" t="str">
            <v>MORGAN STANLEY DEAN WITTER</v>
          </cell>
        </row>
      </sheetData>
      <sheetData sheetId="1170">
        <row r="1">
          <cell r="A1" t="str">
            <v>MORGAN STANLEY DEAN WITTER</v>
          </cell>
        </row>
      </sheetData>
      <sheetData sheetId="1171">
        <row r="1">
          <cell r="A1" t="str">
            <v>MORGAN STANLEY DEAN WITTER</v>
          </cell>
        </row>
      </sheetData>
      <sheetData sheetId="1172">
        <row r="1">
          <cell r="A1" t="str">
            <v>MORGAN STANLEY DEAN WITTER</v>
          </cell>
        </row>
      </sheetData>
      <sheetData sheetId="1173">
        <row r="1">
          <cell r="A1" t="str">
            <v>MORGAN STANLEY DEAN WITTER</v>
          </cell>
        </row>
      </sheetData>
      <sheetData sheetId="1174">
        <row r="1">
          <cell r="A1" t="str">
            <v>MORGAN STANLEY DEAN WITTER</v>
          </cell>
        </row>
      </sheetData>
      <sheetData sheetId="1175">
        <row r="1">
          <cell r="A1" t="str">
            <v>MORGAN STANLEY DEAN WITTER</v>
          </cell>
        </row>
      </sheetData>
      <sheetData sheetId="1176">
        <row r="1">
          <cell r="A1" t="str">
            <v>MORGAN STANLEY DEAN WITTER</v>
          </cell>
        </row>
      </sheetData>
      <sheetData sheetId="1177">
        <row r="1">
          <cell r="A1" t="str">
            <v>MORGAN STANLEY DEAN WITTER</v>
          </cell>
        </row>
      </sheetData>
      <sheetData sheetId="1178">
        <row r="1">
          <cell r="A1" t="str">
            <v>MORGAN STANLEY DEAN WITTER</v>
          </cell>
        </row>
      </sheetData>
      <sheetData sheetId="1179">
        <row r="1">
          <cell r="A1" t="str">
            <v>MORGAN STANLEY DEAN WITTER</v>
          </cell>
        </row>
      </sheetData>
      <sheetData sheetId="1180">
        <row r="1">
          <cell r="A1" t="str">
            <v>MORGAN STANLEY DEAN WITTER</v>
          </cell>
        </row>
      </sheetData>
      <sheetData sheetId="1181">
        <row r="1">
          <cell r="A1" t="str">
            <v>MORGAN STANLEY DEAN WITTER</v>
          </cell>
        </row>
      </sheetData>
      <sheetData sheetId="1182">
        <row r="1">
          <cell r="A1" t="str">
            <v>MORGAN STANLEY DEAN WITTER</v>
          </cell>
        </row>
      </sheetData>
      <sheetData sheetId="1183">
        <row r="1">
          <cell r="A1" t="str">
            <v>MORGAN STANLEY DEAN WITTER</v>
          </cell>
        </row>
      </sheetData>
      <sheetData sheetId="1184">
        <row r="1">
          <cell r="A1" t="str">
            <v>MORGAN STANLEY DEAN WITTER</v>
          </cell>
        </row>
      </sheetData>
      <sheetData sheetId="1185">
        <row r="1">
          <cell r="A1" t="str">
            <v>MORGAN STANLEY DEAN WITTER</v>
          </cell>
        </row>
      </sheetData>
      <sheetData sheetId="1186">
        <row r="1">
          <cell r="A1" t="str">
            <v>MORGAN STANLEY DEAN WITTER</v>
          </cell>
        </row>
      </sheetData>
      <sheetData sheetId="1187">
        <row r="1">
          <cell r="A1" t="str">
            <v>MORGAN STANLEY DEAN WITTER</v>
          </cell>
        </row>
      </sheetData>
      <sheetData sheetId="1188">
        <row r="1">
          <cell r="A1" t="str">
            <v>MORGAN STANLEY DEAN WITTER</v>
          </cell>
        </row>
      </sheetData>
      <sheetData sheetId="1189">
        <row r="1">
          <cell r="A1" t="str">
            <v>MORGAN STANLEY DEAN WITTER</v>
          </cell>
        </row>
      </sheetData>
      <sheetData sheetId="1190">
        <row r="1">
          <cell r="A1" t="str">
            <v>MORGAN STANLEY DEAN WITTER</v>
          </cell>
        </row>
      </sheetData>
      <sheetData sheetId="1191">
        <row r="1">
          <cell r="A1" t="str">
            <v>MORGAN STANLEY DEAN WITTER</v>
          </cell>
        </row>
      </sheetData>
      <sheetData sheetId="1192">
        <row r="1">
          <cell r="A1" t="str">
            <v>MORGAN STANLEY DEAN WITTER</v>
          </cell>
        </row>
      </sheetData>
      <sheetData sheetId="1193">
        <row r="1">
          <cell r="A1" t="str">
            <v>MORGAN STANLEY DEAN WITTER</v>
          </cell>
        </row>
      </sheetData>
      <sheetData sheetId="1194">
        <row r="1">
          <cell r="A1" t="str">
            <v>MORGAN STANLEY DEAN WITTER</v>
          </cell>
        </row>
      </sheetData>
      <sheetData sheetId="1195">
        <row r="1">
          <cell r="A1" t="str">
            <v>MORGAN STANLEY DEAN WITTER</v>
          </cell>
        </row>
      </sheetData>
      <sheetData sheetId="1196">
        <row r="1">
          <cell r="A1" t="str">
            <v>MORGAN STANLEY DEAN WITTER</v>
          </cell>
        </row>
      </sheetData>
      <sheetData sheetId="1197">
        <row r="1">
          <cell r="A1" t="str">
            <v>MORGAN STANLEY DEAN WITTER</v>
          </cell>
        </row>
      </sheetData>
      <sheetData sheetId="1198">
        <row r="1">
          <cell r="A1" t="str">
            <v>MORGAN STANLEY DEAN WITTER</v>
          </cell>
        </row>
      </sheetData>
      <sheetData sheetId="1199">
        <row r="1">
          <cell r="A1" t="str">
            <v>MORGAN STANLEY DEAN WITTER</v>
          </cell>
        </row>
      </sheetData>
      <sheetData sheetId="1200">
        <row r="1">
          <cell r="A1" t="str">
            <v>MORGAN STANLEY DEAN WITTER</v>
          </cell>
        </row>
      </sheetData>
      <sheetData sheetId="1201">
        <row r="1">
          <cell r="A1" t="str">
            <v>MORGAN STANLEY DEAN WITTER</v>
          </cell>
        </row>
      </sheetData>
      <sheetData sheetId="1202">
        <row r="1">
          <cell r="A1" t="str">
            <v>MORGAN STANLEY DEAN WITTER</v>
          </cell>
        </row>
      </sheetData>
      <sheetData sheetId="1203">
        <row r="1">
          <cell r="A1" t="str">
            <v>MORGAN STANLEY DEAN WITTER</v>
          </cell>
        </row>
      </sheetData>
      <sheetData sheetId="1204">
        <row r="1">
          <cell r="A1" t="str">
            <v>MORGAN STANLEY DEAN WITTER</v>
          </cell>
        </row>
      </sheetData>
      <sheetData sheetId="1205">
        <row r="1">
          <cell r="A1" t="str">
            <v>MORGAN STANLEY DEAN WITTER</v>
          </cell>
        </row>
      </sheetData>
      <sheetData sheetId="1206">
        <row r="1">
          <cell r="A1" t="str">
            <v>MORGAN STANLEY DEAN WITTER</v>
          </cell>
        </row>
      </sheetData>
      <sheetData sheetId="1207">
        <row r="1">
          <cell r="A1" t="str">
            <v>MORGAN STANLEY DEAN WITTER</v>
          </cell>
        </row>
      </sheetData>
      <sheetData sheetId="1208">
        <row r="1">
          <cell r="A1" t="str">
            <v>MORGAN STANLEY DEAN WITTER</v>
          </cell>
        </row>
      </sheetData>
      <sheetData sheetId="1209">
        <row r="1">
          <cell r="A1" t="str">
            <v>MORGAN STANLEY DEAN WITTER</v>
          </cell>
        </row>
      </sheetData>
      <sheetData sheetId="1210">
        <row r="1">
          <cell r="A1" t="str">
            <v>MORGAN STANLEY DEAN WITTER</v>
          </cell>
        </row>
      </sheetData>
      <sheetData sheetId="1211">
        <row r="1">
          <cell r="A1" t="str">
            <v>MORGAN STANLEY DEAN WITTER</v>
          </cell>
        </row>
      </sheetData>
      <sheetData sheetId="1212">
        <row r="1">
          <cell r="A1" t="str">
            <v>MORGAN STANLEY DEAN WITTER</v>
          </cell>
        </row>
      </sheetData>
      <sheetData sheetId="1213">
        <row r="1">
          <cell r="A1" t="str">
            <v>MORGAN STANLEY DEAN WITTER</v>
          </cell>
        </row>
      </sheetData>
      <sheetData sheetId="1214">
        <row r="1">
          <cell r="A1" t="str">
            <v>MORGAN STANLEY DEAN WITTER</v>
          </cell>
        </row>
      </sheetData>
      <sheetData sheetId="1215">
        <row r="1">
          <cell r="A1" t="str">
            <v>MORGAN STANLEY DEAN WITTER</v>
          </cell>
        </row>
      </sheetData>
      <sheetData sheetId="1216">
        <row r="1">
          <cell r="A1" t="str">
            <v>MORGAN STANLEY DEAN WITTER</v>
          </cell>
        </row>
      </sheetData>
      <sheetData sheetId="1217">
        <row r="1">
          <cell r="A1" t="str">
            <v>MORGAN STANLEY DEAN WITTER</v>
          </cell>
        </row>
      </sheetData>
      <sheetData sheetId="1218">
        <row r="1">
          <cell r="A1" t="str">
            <v>MORGAN STANLEY DEAN WITTER</v>
          </cell>
        </row>
      </sheetData>
      <sheetData sheetId="1219">
        <row r="1">
          <cell r="A1" t="str">
            <v>MORGAN STANLEY DEAN WITTER</v>
          </cell>
        </row>
      </sheetData>
      <sheetData sheetId="1220">
        <row r="1">
          <cell r="A1" t="str">
            <v>MORGAN STANLEY DEAN WITTER</v>
          </cell>
        </row>
      </sheetData>
      <sheetData sheetId="1221">
        <row r="1">
          <cell r="A1" t="str">
            <v>MORGAN STANLEY DEAN WITTER</v>
          </cell>
        </row>
      </sheetData>
      <sheetData sheetId="1222">
        <row r="1">
          <cell r="A1" t="str">
            <v>MORGAN STANLEY DEAN WITTER</v>
          </cell>
        </row>
      </sheetData>
      <sheetData sheetId="1223">
        <row r="1">
          <cell r="A1" t="str">
            <v>MORGAN STANLEY DEAN WITTER</v>
          </cell>
        </row>
      </sheetData>
      <sheetData sheetId="1224">
        <row r="1">
          <cell r="A1" t="str">
            <v>MORGAN STANLEY DEAN WITTER</v>
          </cell>
        </row>
      </sheetData>
      <sheetData sheetId="1225">
        <row r="1">
          <cell r="A1" t="str">
            <v>MORGAN STANLEY DEAN WITTER</v>
          </cell>
        </row>
      </sheetData>
      <sheetData sheetId="1226">
        <row r="1">
          <cell r="A1" t="str">
            <v>MORGAN STANLEY DEAN WITTER</v>
          </cell>
        </row>
      </sheetData>
      <sheetData sheetId="1227">
        <row r="1">
          <cell r="A1" t="str">
            <v>MORGAN STANLEY DEAN WITTER</v>
          </cell>
        </row>
      </sheetData>
      <sheetData sheetId="1228">
        <row r="1">
          <cell r="A1" t="str">
            <v>MORGAN STANLEY DEAN WITTER</v>
          </cell>
        </row>
      </sheetData>
      <sheetData sheetId="1229">
        <row r="1">
          <cell r="A1" t="str">
            <v>MORGAN STANLEY DEAN WITTER</v>
          </cell>
        </row>
      </sheetData>
      <sheetData sheetId="1230">
        <row r="1">
          <cell r="A1" t="str">
            <v>MORGAN STANLEY DEAN WITTER</v>
          </cell>
        </row>
      </sheetData>
      <sheetData sheetId="1231">
        <row r="1">
          <cell r="A1" t="str">
            <v>MORGAN STANLEY DEAN WITTER</v>
          </cell>
        </row>
      </sheetData>
      <sheetData sheetId="1232">
        <row r="1">
          <cell r="A1" t="str">
            <v>MORGAN STANLEY DEAN WITTER</v>
          </cell>
        </row>
      </sheetData>
      <sheetData sheetId="1233">
        <row r="1">
          <cell r="A1" t="str">
            <v>MORGAN STANLEY DEAN WITTER</v>
          </cell>
        </row>
      </sheetData>
      <sheetData sheetId="1234">
        <row r="1">
          <cell r="A1" t="str">
            <v>MORGAN STANLEY DEAN WITTER</v>
          </cell>
        </row>
      </sheetData>
      <sheetData sheetId="1235">
        <row r="1">
          <cell r="A1" t="str">
            <v>MORGAN STANLEY DEAN WITTER</v>
          </cell>
        </row>
      </sheetData>
      <sheetData sheetId="1236">
        <row r="1">
          <cell r="A1" t="str">
            <v>MORGAN STANLEY DEAN WITTER</v>
          </cell>
        </row>
      </sheetData>
      <sheetData sheetId="1237">
        <row r="1">
          <cell r="A1" t="str">
            <v>MORGAN STANLEY DEAN WITTER</v>
          </cell>
        </row>
      </sheetData>
      <sheetData sheetId="1238">
        <row r="1">
          <cell r="A1" t="str">
            <v>MORGAN STANLEY DEAN WITTER</v>
          </cell>
        </row>
      </sheetData>
      <sheetData sheetId="1239">
        <row r="1">
          <cell r="A1" t="str">
            <v>MORGAN STANLEY DEAN WITTER</v>
          </cell>
        </row>
      </sheetData>
      <sheetData sheetId="1240">
        <row r="1">
          <cell r="A1" t="str">
            <v>MORGAN STANLEY DEAN WITTER</v>
          </cell>
        </row>
      </sheetData>
      <sheetData sheetId="1241">
        <row r="1">
          <cell r="A1" t="str">
            <v>MORGAN STANLEY DEAN WITTER</v>
          </cell>
        </row>
      </sheetData>
      <sheetData sheetId="1242">
        <row r="1">
          <cell r="A1" t="str">
            <v>MORGAN STANLEY DEAN WITTER</v>
          </cell>
        </row>
      </sheetData>
      <sheetData sheetId="1243">
        <row r="1">
          <cell r="A1" t="str">
            <v>MORGAN STANLEY DEAN WITTER</v>
          </cell>
        </row>
      </sheetData>
      <sheetData sheetId="1244">
        <row r="1">
          <cell r="A1" t="str">
            <v>MORGAN STANLEY DEAN WITTER</v>
          </cell>
        </row>
      </sheetData>
      <sheetData sheetId="1245">
        <row r="1">
          <cell r="A1" t="str">
            <v>MORGAN STANLEY DEAN WITTER</v>
          </cell>
        </row>
      </sheetData>
      <sheetData sheetId="1246">
        <row r="1">
          <cell r="A1" t="str">
            <v>MORGAN STANLEY DEAN WITTER</v>
          </cell>
        </row>
      </sheetData>
      <sheetData sheetId="1247">
        <row r="1">
          <cell r="A1" t="str">
            <v>MORGAN STANLEY DEAN WITTER</v>
          </cell>
        </row>
      </sheetData>
      <sheetData sheetId="1248">
        <row r="1">
          <cell r="A1" t="str">
            <v>MORGAN STANLEY DEAN WITTER</v>
          </cell>
        </row>
      </sheetData>
      <sheetData sheetId="1249">
        <row r="1">
          <cell r="A1" t="str">
            <v>MORGAN STANLEY DEAN WITTER</v>
          </cell>
        </row>
      </sheetData>
      <sheetData sheetId="1250">
        <row r="1">
          <cell r="A1" t="str">
            <v>MORGAN STANLEY DEAN WITTER</v>
          </cell>
        </row>
      </sheetData>
      <sheetData sheetId="1251">
        <row r="1">
          <cell r="A1" t="str">
            <v>MORGAN STANLEY DEAN WITTER</v>
          </cell>
        </row>
      </sheetData>
      <sheetData sheetId="1252">
        <row r="1">
          <cell r="A1" t="str">
            <v>MORGAN STANLEY DEAN WITTER</v>
          </cell>
        </row>
      </sheetData>
      <sheetData sheetId="1253">
        <row r="1">
          <cell r="A1" t="str">
            <v>MORGAN STANLEY DEAN WITTER</v>
          </cell>
        </row>
      </sheetData>
      <sheetData sheetId="1254">
        <row r="1">
          <cell r="A1" t="str">
            <v>MORGAN STANLEY DEAN WITTER</v>
          </cell>
        </row>
      </sheetData>
      <sheetData sheetId="1255">
        <row r="1">
          <cell r="A1" t="str">
            <v>MORGAN STANLEY DEAN WITTER</v>
          </cell>
        </row>
      </sheetData>
      <sheetData sheetId="1256">
        <row r="1">
          <cell r="A1" t="str">
            <v>MORGAN STANLEY DEAN WITTER</v>
          </cell>
        </row>
      </sheetData>
      <sheetData sheetId="1257">
        <row r="1">
          <cell r="A1" t="str">
            <v>MORGAN STANLEY DEAN WITTER</v>
          </cell>
        </row>
      </sheetData>
      <sheetData sheetId="1258">
        <row r="1">
          <cell r="A1" t="str">
            <v>MORGAN STANLEY DEAN WITTER</v>
          </cell>
        </row>
      </sheetData>
      <sheetData sheetId="1259">
        <row r="1">
          <cell r="A1" t="str">
            <v>MORGAN STANLEY DEAN WITTER</v>
          </cell>
        </row>
      </sheetData>
      <sheetData sheetId="1260">
        <row r="1">
          <cell r="A1" t="str">
            <v>MORGAN STANLEY DEAN WITTER</v>
          </cell>
        </row>
      </sheetData>
      <sheetData sheetId="1261">
        <row r="1">
          <cell r="A1" t="str">
            <v>MORGAN STANLEY DEAN WITTER</v>
          </cell>
        </row>
      </sheetData>
      <sheetData sheetId="1262">
        <row r="1">
          <cell r="A1" t="str">
            <v>MORGAN STANLEY DEAN WITTER</v>
          </cell>
        </row>
      </sheetData>
      <sheetData sheetId="1263">
        <row r="1">
          <cell r="A1" t="str">
            <v>MORGAN STANLEY DEAN WITTER</v>
          </cell>
        </row>
      </sheetData>
      <sheetData sheetId="1264">
        <row r="1">
          <cell r="A1" t="str">
            <v>MORGAN STANLEY DEAN WITTER</v>
          </cell>
        </row>
      </sheetData>
      <sheetData sheetId="1265">
        <row r="1">
          <cell r="A1" t="str">
            <v>MORGAN STANLEY DEAN WITTER</v>
          </cell>
        </row>
      </sheetData>
      <sheetData sheetId="1266">
        <row r="1">
          <cell r="A1" t="str">
            <v>MORGAN STANLEY DEAN WITTER</v>
          </cell>
        </row>
      </sheetData>
      <sheetData sheetId="1267">
        <row r="1">
          <cell r="A1" t="str">
            <v>MORGAN STANLEY DEAN WITTER</v>
          </cell>
        </row>
      </sheetData>
      <sheetData sheetId="1268">
        <row r="1">
          <cell r="A1" t="str">
            <v>MORGAN STANLEY DEAN WITTER</v>
          </cell>
        </row>
      </sheetData>
      <sheetData sheetId="1269">
        <row r="1">
          <cell r="A1" t="str">
            <v>MORGAN STANLEY DEAN WITTER</v>
          </cell>
        </row>
      </sheetData>
      <sheetData sheetId="1270">
        <row r="1">
          <cell r="A1" t="str">
            <v>MORGAN STANLEY DEAN WITTER</v>
          </cell>
        </row>
      </sheetData>
      <sheetData sheetId="1271">
        <row r="1">
          <cell r="A1" t="str">
            <v>MORGAN STANLEY DEAN WITTER</v>
          </cell>
        </row>
      </sheetData>
      <sheetData sheetId="1272">
        <row r="1">
          <cell r="A1" t="str">
            <v>MORGAN STANLEY DEAN WITTER</v>
          </cell>
        </row>
      </sheetData>
      <sheetData sheetId="1273">
        <row r="1">
          <cell r="A1" t="str">
            <v>MORGAN STANLEY DEAN WITTER</v>
          </cell>
        </row>
      </sheetData>
      <sheetData sheetId="1274">
        <row r="1">
          <cell r="A1" t="str">
            <v>MORGAN STANLEY DEAN WITTER</v>
          </cell>
        </row>
      </sheetData>
      <sheetData sheetId="1275">
        <row r="1">
          <cell r="A1" t="str">
            <v>MORGAN STANLEY DEAN WITTER</v>
          </cell>
        </row>
      </sheetData>
      <sheetData sheetId="1276">
        <row r="1">
          <cell r="A1" t="str">
            <v>MORGAN STANLEY DEAN WITTER</v>
          </cell>
        </row>
      </sheetData>
      <sheetData sheetId="1277">
        <row r="1">
          <cell r="A1" t="str">
            <v>MORGAN STANLEY DEAN WITTER</v>
          </cell>
        </row>
      </sheetData>
      <sheetData sheetId="1278">
        <row r="1">
          <cell r="A1" t="str">
            <v>MORGAN STANLEY DEAN WITTER</v>
          </cell>
        </row>
      </sheetData>
      <sheetData sheetId="1279">
        <row r="1">
          <cell r="A1" t="str">
            <v>MORGAN STANLEY DEAN WITTER</v>
          </cell>
        </row>
      </sheetData>
      <sheetData sheetId="1280">
        <row r="1">
          <cell r="A1" t="str">
            <v>MORGAN STANLEY DEAN WITTER</v>
          </cell>
        </row>
      </sheetData>
      <sheetData sheetId="1281">
        <row r="1">
          <cell r="A1" t="str">
            <v>MORGAN STANLEY DEAN WITTER</v>
          </cell>
        </row>
      </sheetData>
      <sheetData sheetId="1282">
        <row r="1">
          <cell r="A1" t="str">
            <v>MORGAN STANLEY DEAN WITTER</v>
          </cell>
        </row>
      </sheetData>
      <sheetData sheetId="1283">
        <row r="1">
          <cell r="A1" t="str">
            <v>MORGAN STANLEY DEAN WITTER</v>
          </cell>
        </row>
      </sheetData>
      <sheetData sheetId="1284">
        <row r="1">
          <cell r="A1" t="str">
            <v>MORGAN STANLEY DEAN WITTER</v>
          </cell>
        </row>
      </sheetData>
      <sheetData sheetId="1285">
        <row r="1">
          <cell r="A1" t="str">
            <v>MORGAN STANLEY DEAN WITTER</v>
          </cell>
        </row>
      </sheetData>
      <sheetData sheetId="1286">
        <row r="1">
          <cell r="A1" t="str">
            <v>MORGAN STANLEY DEAN WITTER</v>
          </cell>
        </row>
      </sheetData>
      <sheetData sheetId="1287">
        <row r="1">
          <cell r="A1" t="str">
            <v>MORGAN STANLEY DEAN WITTER</v>
          </cell>
        </row>
      </sheetData>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row r="1">
          <cell r="A1" t="str">
            <v>MORGAN STANLEY DEAN WITTER</v>
          </cell>
        </row>
      </sheetData>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row r="1">
          <cell r="A1" t="str">
            <v>MORGAN STANLEY DEAN WITTER</v>
          </cell>
        </row>
      </sheetData>
      <sheetData sheetId="1455">
        <row r="1">
          <cell r="A1" t="str">
            <v>MORGAN STANLEY DEAN WITTER</v>
          </cell>
        </row>
      </sheetData>
      <sheetData sheetId="1456">
        <row r="1">
          <cell r="A1" t="str">
            <v>MORGAN STANLEY DEAN WITTER</v>
          </cell>
        </row>
      </sheetData>
      <sheetData sheetId="1457">
        <row r="1">
          <cell r="A1" t="str">
            <v>MORGAN STANLEY DEAN WITTER</v>
          </cell>
        </row>
      </sheetData>
      <sheetData sheetId="1458">
        <row r="1">
          <cell r="A1" t="str">
            <v>MORGAN STANLEY DEAN WITTER</v>
          </cell>
        </row>
      </sheetData>
      <sheetData sheetId="1459">
        <row r="1">
          <cell r="A1" t="str">
            <v>MORGAN STANLEY DEAN WITTER</v>
          </cell>
        </row>
      </sheetData>
      <sheetData sheetId="1460">
        <row r="1">
          <cell r="A1" t="str">
            <v>MORGAN STANLEY DEAN WITTER</v>
          </cell>
        </row>
      </sheetData>
      <sheetData sheetId="1461">
        <row r="1">
          <cell r="A1" t="str">
            <v>MORGAN STANLEY DEAN WITTER</v>
          </cell>
        </row>
      </sheetData>
      <sheetData sheetId="1462">
        <row r="1">
          <cell r="A1" t="str">
            <v>MORGAN STANLEY DEAN WITTER</v>
          </cell>
        </row>
      </sheetData>
      <sheetData sheetId="1463">
        <row r="1">
          <cell r="A1" t="str">
            <v>MORGAN STANLEY DEAN WITTER</v>
          </cell>
        </row>
      </sheetData>
      <sheetData sheetId="1464">
        <row r="1">
          <cell r="A1" t="str">
            <v>MORGAN STANLEY DEAN WITTER</v>
          </cell>
        </row>
      </sheetData>
      <sheetData sheetId="1465">
        <row r="1">
          <cell r="A1" t="str">
            <v>MORGAN STANLEY DEAN WITTER</v>
          </cell>
        </row>
      </sheetData>
      <sheetData sheetId="1466">
        <row r="1">
          <cell r="A1" t="str">
            <v>MORGAN STANLEY DEAN WITTER</v>
          </cell>
        </row>
      </sheetData>
      <sheetData sheetId="1467">
        <row r="1">
          <cell r="A1" t="str">
            <v>MORGAN STANLEY DEAN WITTER</v>
          </cell>
        </row>
      </sheetData>
      <sheetData sheetId="1468">
        <row r="1">
          <cell r="A1" t="str">
            <v>MORGAN STANLEY DEAN WITTER</v>
          </cell>
        </row>
      </sheetData>
      <sheetData sheetId="1469">
        <row r="1">
          <cell r="A1" t="str">
            <v>MORGAN STANLEY DEAN WITTER</v>
          </cell>
        </row>
      </sheetData>
      <sheetData sheetId="1470">
        <row r="1">
          <cell r="A1" t="str">
            <v>MORGAN STANLEY DEAN WITTER</v>
          </cell>
        </row>
      </sheetData>
      <sheetData sheetId="1471">
        <row r="1">
          <cell r="A1" t="str">
            <v>MORGAN STANLEY DEAN WITTER</v>
          </cell>
        </row>
      </sheetData>
      <sheetData sheetId="1472">
        <row r="1">
          <cell r="A1" t="str">
            <v>MORGAN STANLEY DEAN WITTER</v>
          </cell>
        </row>
      </sheetData>
      <sheetData sheetId="1473">
        <row r="1">
          <cell r="A1" t="str">
            <v>MORGAN STANLEY DEAN WITTER</v>
          </cell>
        </row>
      </sheetData>
      <sheetData sheetId="1474">
        <row r="1">
          <cell r="A1" t="str">
            <v>MORGAN STANLEY DEAN WITTER</v>
          </cell>
        </row>
      </sheetData>
      <sheetData sheetId="1475">
        <row r="1">
          <cell r="A1" t="str">
            <v>MORGAN STANLEY DEAN WITTER</v>
          </cell>
        </row>
      </sheetData>
      <sheetData sheetId="1476">
        <row r="1">
          <cell r="A1" t="str">
            <v>MORGAN STANLEY DEAN WITTER</v>
          </cell>
        </row>
      </sheetData>
      <sheetData sheetId="1477">
        <row r="1">
          <cell r="A1" t="str">
            <v>MORGAN STANLEY DEAN WITTER</v>
          </cell>
        </row>
      </sheetData>
      <sheetData sheetId="1478">
        <row r="1">
          <cell r="A1" t="str">
            <v>MORGAN STANLEY DEAN WITTER</v>
          </cell>
        </row>
      </sheetData>
      <sheetData sheetId="1479">
        <row r="1">
          <cell r="A1" t="str">
            <v>MORGAN STANLEY DEAN WITTER</v>
          </cell>
        </row>
      </sheetData>
      <sheetData sheetId="1480">
        <row r="1">
          <cell r="A1" t="str">
            <v>MORGAN STANLEY DEAN WITTER</v>
          </cell>
        </row>
      </sheetData>
      <sheetData sheetId="1481">
        <row r="1">
          <cell r="A1" t="str">
            <v>MORGAN STANLEY DEAN WITTER</v>
          </cell>
        </row>
      </sheetData>
      <sheetData sheetId="1482">
        <row r="1">
          <cell r="A1" t="str">
            <v>MORGAN STANLEY DEAN WITTER</v>
          </cell>
        </row>
      </sheetData>
      <sheetData sheetId="1483">
        <row r="1">
          <cell r="A1" t="str">
            <v>MORGAN STANLEY DEAN WITTER</v>
          </cell>
        </row>
      </sheetData>
      <sheetData sheetId="1484">
        <row r="1">
          <cell r="A1" t="str">
            <v>MORGAN STANLEY DEAN WITTER</v>
          </cell>
        </row>
      </sheetData>
      <sheetData sheetId="1485">
        <row r="1">
          <cell r="A1" t="str">
            <v>MORGAN STANLEY DEAN WITTER</v>
          </cell>
        </row>
      </sheetData>
      <sheetData sheetId="1486">
        <row r="1">
          <cell r="A1" t="str">
            <v>MORGAN STANLEY DEAN WITTER</v>
          </cell>
        </row>
      </sheetData>
      <sheetData sheetId="1487">
        <row r="1">
          <cell r="A1" t="str">
            <v>MORGAN STANLEY DEAN WITTER</v>
          </cell>
        </row>
      </sheetData>
      <sheetData sheetId="1488">
        <row r="1">
          <cell r="A1" t="str">
            <v>MORGAN STANLEY DEAN WITTER</v>
          </cell>
        </row>
      </sheetData>
      <sheetData sheetId="1489">
        <row r="1">
          <cell r="A1" t="str">
            <v>MORGAN STANLEY DEAN WITTER</v>
          </cell>
        </row>
      </sheetData>
      <sheetData sheetId="1490"/>
      <sheetData sheetId="1491">
        <row r="1">
          <cell r="A1" t="str">
            <v>MORGAN STANLEY DEAN WITTER</v>
          </cell>
        </row>
      </sheetData>
      <sheetData sheetId="1492">
        <row r="1">
          <cell r="A1" t="str">
            <v>MORGAN STANLEY DEAN WITTER</v>
          </cell>
        </row>
      </sheetData>
      <sheetData sheetId="1493">
        <row r="1">
          <cell r="A1" t="str">
            <v>MORGAN STANLEY DEAN WITTER</v>
          </cell>
        </row>
      </sheetData>
      <sheetData sheetId="1494">
        <row r="1">
          <cell r="A1" t="str">
            <v>MORGAN STANLEY DEAN WITTER</v>
          </cell>
        </row>
      </sheetData>
      <sheetData sheetId="1495">
        <row r="1">
          <cell r="A1" t="str">
            <v>MORGAN STANLEY DEAN WITTER</v>
          </cell>
        </row>
      </sheetData>
      <sheetData sheetId="1496">
        <row r="1">
          <cell r="A1" t="str">
            <v>MORGAN STANLEY DEAN WITTER</v>
          </cell>
        </row>
      </sheetData>
      <sheetData sheetId="1497">
        <row r="1">
          <cell r="A1" t="str">
            <v>MORGAN STANLEY DEAN WITTER</v>
          </cell>
        </row>
      </sheetData>
      <sheetData sheetId="1498">
        <row r="1">
          <cell r="A1" t="str">
            <v>MORGAN STANLEY DEAN WITTER</v>
          </cell>
        </row>
      </sheetData>
      <sheetData sheetId="1499">
        <row r="1">
          <cell r="A1" t="str">
            <v>MORGAN STANLEY DEAN WITTER</v>
          </cell>
        </row>
      </sheetData>
      <sheetData sheetId="1500">
        <row r="1">
          <cell r="A1" t="str">
            <v>MORGAN STANLEY DEAN WITTER</v>
          </cell>
        </row>
      </sheetData>
      <sheetData sheetId="1501">
        <row r="1">
          <cell r="A1" t="str">
            <v>MORGAN STANLEY DEAN WITTER</v>
          </cell>
        </row>
      </sheetData>
      <sheetData sheetId="1502">
        <row r="1">
          <cell r="A1" t="str">
            <v>MORGAN STANLEY DEAN WITTER</v>
          </cell>
        </row>
      </sheetData>
      <sheetData sheetId="1503">
        <row r="1">
          <cell r="A1" t="str">
            <v>MORGAN STANLEY DEAN WITTER</v>
          </cell>
        </row>
      </sheetData>
      <sheetData sheetId="1504">
        <row r="1">
          <cell r="A1" t="str">
            <v>MORGAN STANLEY DEAN WITTER</v>
          </cell>
        </row>
      </sheetData>
      <sheetData sheetId="1505">
        <row r="1">
          <cell r="A1" t="str">
            <v>MORGAN STANLEY DEAN WITTER</v>
          </cell>
        </row>
      </sheetData>
      <sheetData sheetId="1506">
        <row r="1">
          <cell r="A1" t="str">
            <v>MORGAN STANLEY DEAN WITTER</v>
          </cell>
        </row>
      </sheetData>
      <sheetData sheetId="1507">
        <row r="1">
          <cell r="A1" t="str">
            <v>MORGAN STANLEY DEAN WITTER</v>
          </cell>
        </row>
      </sheetData>
      <sheetData sheetId="1508">
        <row r="1">
          <cell r="A1" t="str">
            <v>MORGAN STANLEY DEAN WITTER</v>
          </cell>
        </row>
      </sheetData>
      <sheetData sheetId="1509">
        <row r="1">
          <cell r="A1" t="str">
            <v>MORGAN STANLEY DEAN WITTER</v>
          </cell>
        </row>
      </sheetData>
      <sheetData sheetId="1510">
        <row r="1">
          <cell r="A1" t="str">
            <v>MORGAN STANLEY DEAN WITTER</v>
          </cell>
        </row>
      </sheetData>
      <sheetData sheetId="1511">
        <row r="1">
          <cell r="A1" t="str">
            <v>MORGAN STANLEY DEAN WITTER</v>
          </cell>
        </row>
      </sheetData>
      <sheetData sheetId="1512">
        <row r="1">
          <cell r="A1" t="str">
            <v>MORGAN STANLEY DEAN WITTER</v>
          </cell>
        </row>
      </sheetData>
      <sheetData sheetId="1513">
        <row r="1">
          <cell r="A1" t="str">
            <v>MORGAN STANLEY DEAN WITTER</v>
          </cell>
        </row>
      </sheetData>
      <sheetData sheetId="1514">
        <row r="1">
          <cell r="A1" t="str">
            <v>MORGAN STANLEY DEAN WITTER</v>
          </cell>
        </row>
      </sheetData>
      <sheetData sheetId="1515">
        <row r="1">
          <cell r="A1" t="str">
            <v>MORGAN STANLEY DEAN WITTER</v>
          </cell>
        </row>
      </sheetData>
      <sheetData sheetId="1516">
        <row r="1">
          <cell r="A1" t="str">
            <v>MORGAN STANLEY DEAN WITTER</v>
          </cell>
        </row>
      </sheetData>
      <sheetData sheetId="1517">
        <row r="1">
          <cell r="A1" t="str">
            <v>MORGAN STANLEY DEAN WITTER</v>
          </cell>
        </row>
      </sheetData>
      <sheetData sheetId="1518">
        <row r="1">
          <cell r="A1" t="str">
            <v>MORGAN STANLEY DEAN WITTER</v>
          </cell>
        </row>
      </sheetData>
      <sheetData sheetId="1519">
        <row r="1">
          <cell r="A1" t="str">
            <v>MORGAN STANLEY DEAN WITTER</v>
          </cell>
        </row>
      </sheetData>
      <sheetData sheetId="1520">
        <row r="1">
          <cell r="A1" t="str">
            <v>MORGAN STANLEY DEAN WITTER</v>
          </cell>
        </row>
      </sheetData>
      <sheetData sheetId="1521">
        <row r="1">
          <cell r="A1" t="str">
            <v>MORGAN STANLEY DEAN WITTER</v>
          </cell>
        </row>
      </sheetData>
      <sheetData sheetId="1522">
        <row r="1">
          <cell r="A1" t="str">
            <v>MORGAN STANLEY DEAN WITTER</v>
          </cell>
        </row>
      </sheetData>
      <sheetData sheetId="1523">
        <row r="1">
          <cell r="A1" t="str">
            <v>MORGAN STANLEY DEAN WITTER</v>
          </cell>
        </row>
      </sheetData>
      <sheetData sheetId="1524">
        <row r="1">
          <cell r="A1" t="str">
            <v>MORGAN STANLEY DEAN WITTER</v>
          </cell>
        </row>
      </sheetData>
      <sheetData sheetId="1525">
        <row r="1">
          <cell r="A1" t="str">
            <v>MORGAN STANLEY DEAN WITTER</v>
          </cell>
        </row>
      </sheetData>
      <sheetData sheetId="1526">
        <row r="1">
          <cell r="A1" t="str">
            <v>MORGAN STANLEY DEAN WITTER</v>
          </cell>
        </row>
      </sheetData>
      <sheetData sheetId="1527">
        <row r="1">
          <cell r="A1" t="str">
            <v>MORGAN STANLEY DEAN WITTER</v>
          </cell>
        </row>
      </sheetData>
      <sheetData sheetId="1528">
        <row r="1">
          <cell r="A1" t="str">
            <v>MORGAN STANLEY DEAN WITTER</v>
          </cell>
        </row>
      </sheetData>
      <sheetData sheetId="1529">
        <row r="1">
          <cell r="A1" t="str">
            <v>MORGAN STANLEY DEAN WITTER</v>
          </cell>
        </row>
      </sheetData>
      <sheetData sheetId="1530">
        <row r="1">
          <cell r="A1" t="str">
            <v>MORGAN STANLEY DEAN WITTER</v>
          </cell>
        </row>
      </sheetData>
      <sheetData sheetId="1531">
        <row r="1">
          <cell r="A1" t="str">
            <v>MORGAN STANLEY DEAN WITTER</v>
          </cell>
        </row>
      </sheetData>
      <sheetData sheetId="1532">
        <row r="1">
          <cell r="A1" t="str">
            <v>MORGAN STANLEY DEAN WITTER</v>
          </cell>
        </row>
      </sheetData>
      <sheetData sheetId="1533">
        <row r="1">
          <cell r="A1" t="str">
            <v>MORGAN STANLEY DEAN WITTER</v>
          </cell>
        </row>
      </sheetData>
      <sheetData sheetId="1534">
        <row r="1">
          <cell r="A1" t="str">
            <v>MORGAN STANLEY DEAN WITTER</v>
          </cell>
        </row>
      </sheetData>
      <sheetData sheetId="1535">
        <row r="1">
          <cell r="A1" t="str">
            <v>MORGAN STANLEY DEAN WITTER</v>
          </cell>
        </row>
      </sheetData>
      <sheetData sheetId="1536">
        <row r="1">
          <cell r="A1" t="str">
            <v>MORGAN STANLEY DEAN WITTER</v>
          </cell>
        </row>
      </sheetData>
      <sheetData sheetId="1537">
        <row r="1">
          <cell r="A1" t="str">
            <v>MORGAN STANLEY DEAN WITTER</v>
          </cell>
        </row>
      </sheetData>
      <sheetData sheetId="1538">
        <row r="1">
          <cell r="A1" t="str">
            <v>MORGAN STANLEY DEAN WITTER</v>
          </cell>
        </row>
      </sheetData>
      <sheetData sheetId="1539">
        <row r="1">
          <cell r="A1" t="str">
            <v>MORGAN STANLEY DEAN WITTER</v>
          </cell>
        </row>
      </sheetData>
      <sheetData sheetId="1540">
        <row r="1">
          <cell r="A1" t="str">
            <v>MORGAN STANLEY DEAN WITTER</v>
          </cell>
        </row>
      </sheetData>
      <sheetData sheetId="1541">
        <row r="1">
          <cell r="A1" t="str">
            <v>MORGAN STANLEY DEAN WITTER</v>
          </cell>
        </row>
      </sheetData>
      <sheetData sheetId="1542">
        <row r="1">
          <cell r="A1" t="str">
            <v>MORGAN STANLEY DEAN WITTER</v>
          </cell>
        </row>
      </sheetData>
      <sheetData sheetId="1543">
        <row r="1">
          <cell r="A1" t="str">
            <v>MORGAN STANLEY DEAN WITTER</v>
          </cell>
        </row>
      </sheetData>
      <sheetData sheetId="1544"/>
      <sheetData sheetId="1545"/>
      <sheetData sheetId="1546"/>
      <sheetData sheetId="1547"/>
      <sheetData sheetId="1548"/>
      <sheetData sheetId="1549"/>
      <sheetData sheetId="1550"/>
      <sheetData sheetId="1551"/>
      <sheetData sheetId="1552"/>
      <sheetData sheetId="1553">
        <row r="1">
          <cell r="A1" t="str">
            <v>MORGAN STANLEY DEAN WITTER</v>
          </cell>
        </row>
      </sheetData>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row r="1">
          <cell r="A1" t="str">
            <v>MORGAN STANLEY DEAN WITTER</v>
          </cell>
        </row>
      </sheetData>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row r="1">
          <cell r="A1" t="str">
            <v>MORGAN STANLEY DEAN WITTER</v>
          </cell>
        </row>
      </sheetData>
      <sheetData sheetId="1685"/>
      <sheetData sheetId="1686"/>
      <sheetData sheetId="1687"/>
      <sheetData sheetId="1688"/>
      <sheetData sheetId="1689"/>
      <sheetData sheetId="1690"/>
      <sheetData sheetId="1691"/>
      <sheetData sheetId="1692"/>
      <sheetData sheetId="1693"/>
      <sheetData sheetId="1694"/>
      <sheetData sheetId="1695"/>
      <sheetData sheetId="1696">
        <row r="1">
          <cell r="A1" t="str">
            <v>MORGAN STANLEY DEAN WITTER</v>
          </cell>
        </row>
      </sheetData>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bour rates"/>
      <sheetName val="LT Panel Summary"/>
      <sheetName val="Cos"/>
      <sheetName val="RISING MAINS"/>
      <sheetName val="DB"/>
      <sheetName val="EST"/>
      <sheetName val="ITC"/>
      <sheetName val="LAYING OF CABLE"/>
      <sheetName val="cable termination"/>
      <sheetName val="PT_WIRING &amp; raceway"/>
      <sheetName val="cable tray"/>
      <sheetName val="Summary"/>
      <sheetName val="LIGHTINING"/>
      <sheetName val="CAB-Cu"/>
      <sheetName val="cab-Al"/>
      <sheetName val="EXTERNAL &amp; HDPE Pipe"/>
      <sheetName val="LIGHT FIXTURE"/>
      <sheetName val="Lift"/>
      <sheetName val="U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25"/>
      <sheetName val="Sheet4"/>
      <sheetName val="PLAN_FEB97"/>
      <sheetName val="Construction"/>
      <sheetName val="NPV"/>
      <sheetName val="Design"/>
      <sheetName val="Headings"/>
      <sheetName val="labour rates"/>
      <sheetName val="Project Budget Worksheet"/>
      <sheetName val="Rollup"/>
      <sheetName val="Beam at Ground flr lvl(Steel)"/>
      <sheetName val="FORM7"/>
      <sheetName val="Loads"/>
      <sheetName val="Publicbuilding"/>
      <sheetName val="BASIS -DEC 08"/>
      <sheetName val="Mat &amp; Lab R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BOQ"/>
      <sheetName val="BOQ_CHK_DA"/>
      <sheetName val="REV-EST"/>
      <sheetName val="EST-SER"/>
      <sheetName val="RA-MKT"/>
      <sheetName val="RA-MKT-REV"/>
      <sheetName val="RA-CPWD"/>
      <sheetName val="RA-CPWD-REV"/>
      <sheetName val="BOQ"/>
      <sheetName val="Meas.-FIN"/>
      <sheetName val="Meas.-STRUCT"/>
      <sheetName val="PILING-11.12.07"/>
      <sheetName val="SUB-STRUCT-11.12.07"/>
      <sheetName val="SUPER-STRUCT-11.12.07"/>
      <sheetName val="ESTIMATE"/>
      <sheetName val="Builtup Area"/>
      <sheetName val="Assumptions"/>
      <sheetName val="PLAN_FEB97"/>
      <sheetName val="NPV"/>
      <sheetName val="Construc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lactdetails_grid"/>
      <sheetName val="Sheet2"/>
      <sheetName val="Project Budget Worksheet"/>
      <sheetName val="Lead"/>
      <sheetName val="RA-markate"/>
      <sheetName val="Builtup Area"/>
      <sheetName val="Construction"/>
      <sheetName val="NPV"/>
    </sheetNames>
    <sheetDataSet>
      <sheetData sheetId="0"/>
      <sheetData sheetId="1"/>
      <sheetData sheetId="2"/>
      <sheetData sheetId="3"/>
      <sheetData sheetId="4"/>
      <sheetData sheetId="5"/>
      <sheetData sheetId="6"/>
      <sheetData sheetId="7"/>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bour"/>
      <sheetName val="Material"/>
      <sheetName val="Plant &amp;  Machinery"/>
      <sheetName val="Construction"/>
    </sheetNames>
    <sheetDataSet>
      <sheetData sheetId="0"/>
      <sheetData sheetId="1"/>
      <sheetData sheetId="2"/>
      <sheetData sheetId="3"/>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lumn"/>
      <sheetName val="Column steel"/>
      <sheetName val="Raft Steel"/>
      <sheetName val="NT-RAFT"/>
      <sheetName val="Raft-T20"/>
      <sheetName val="Raft-T21"/>
      <sheetName val="Raft-T22-COMBINED"/>
      <sheetName val="Raft-T22"/>
      <sheetName val="T23"/>
      <sheetName val="Lift (Typical)"/>
      <sheetName val="Column Upto Raft Top T-20"/>
      <sheetName val="Column Upto Raft Top T-21"/>
      <sheetName val="Column Upto Raft Top T-22"/>
      <sheetName val="Sheet3"/>
      <sheetName val="Column Basement T-22"/>
      <sheetName val="Column GROUND T-22"/>
      <sheetName val="Beams-Basement Roof T-22"/>
      <sheetName val="Slab-Basement Roof T-22"/>
      <sheetName val="Phase-1stirrups"/>
      <sheetName val="Sheet1"/>
      <sheetName val="Staircase No.1"/>
      <sheetName val="Staircase No.2"/>
      <sheetName val="Summary"/>
      <sheetName val="BBS Format"/>
      <sheetName val="Labour"/>
      <sheetName val="Material"/>
      <sheetName val="Plant &amp;  Machinery"/>
      <sheetName val="Pier Design(with offs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2">
          <cell r="V2">
            <v>0.04</v>
          </cell>
        </row>
      </sheetData>
      <sheetData sheetId="17"/>
      <sheetData sheetId="18">
        <row r="3">
          <cell r="A3">
            <v>40</v>
          </cell>
        </row>
      </sheetData>
      <sheetData sheetId="19"/>
      <sheetData sheetId="20"/>
      <sheetData sheetId="21"/>
      <sheetData sheetId="22"/>
      <sheetData sheetId="23"/>
      <sheetData sheetId="24"/>
      <sheetData sheetId="25"/>
      <sheetData sheetId="26"/>
      <sheetData sheetId="27"/>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arative statement"/>
      <sheetName val="RA-markate"/>
      <sheetName val="RA_markate"/>
      <sheetName val="Sheet3 (2)"/>
      <sheetName val="Portfolio Summary"/>
      <sheetName val="Inc.St.-Link"/>
      <sheetName val="Builtup Area"/>
      <sheetName val="MASTER_RATE ANALYSIS"/>
      <sheetName val="BLOCK-A (MEA.SHEET)"/>
      <sheetName val="MM"/>
      <sheetName val="Headings"/>
      <sheetName val="TBAL9697 -group wise  sdpl"/>
      <sheetName val="Names&amp;Cases"/>
      <sheetName val="COST"/>
      <sheetName val="Meas.-Hotel Part"/>
      <sheetName val="Results"/>
      <sheetName val="PLGroupings"/>
      <sheetName val="VAL"/>
      <sheetName val="TBAL9697 _group wise  sdpl"/>
      <sheetName val="Staff Acco."/>
      <sheetName val="BOQ"/>
      <sheetName val="SCHEDULE"/>
      <sheetName val="Labour productivity"/>
      <sheetName val="Fill this out first..."/>
      <sheetName val="nVision"/>
      <sheetName val="(Basement to 2nd)-BUA"/>
      <sheetName val="oresreqsum"/>
      <sheetName val="Project Budget Worksheet"/>
      <sheetName val="BOQ_Direct_selling cost"/>
      <sheetName val="Desgn(zone I)"/>
      <sheetName val="9. Package split - Cost "/>
      <sheetName val="10. &amp; 11. Rate Code &amp; BQ"/>
      <sheetName val="Pay_Sep06"/>
      <sheetName val="BASIS -DEC 08"/>
      <sheetName val="Labor abs-NMR"/>
      <sheetName val="purpose&amp;input"/>
      <sheetName val="7 Other Costs"/>
      <sheetName val="RECAPITULATION"/>
      <sheetName val="conc-foot-gradeslab"/>
      <sheetName val="COLUMN"/>
      <sheetName val="Depreciation"/>
      <sheetName val="NPV"/>
      <sheetName val="PLAN_FEB97"/>
      <sheetName val="Beams-Basement Roof T-22"/>
      <sheetName val="Phase-1stirru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erial "/>
      <sheetName val="PLAN_FEB97"/>
    </sheetNames>
    <sheetDataSet>
      <sheetData sheetId="0"/>
      <sheetData sheetId="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RIX SUMMARY"/>
      <sheetName val="IMPROVEMENTS"/>
      <sheetName val="VARIANCES"/>
      <sheetName val="DESIGN COMPONENT"/>
      <sheetName val="CONSTRUCTION COMPONENT"/>
      <sheetName val="DCAG"/>
      <sheetName val="Construction Preambles"/>
      <sheetName val="Construction Information"/>
      <sheetName val="ASSET RENEWAL COMPONENT"/>
      <sheetName val="Substructure(Model)"/>
      <sheetName val="Frame,Floors,Roof,Stairs(Model)"/>
      <sheetName val="Ext. Walls,Windows,Doors(Model)"/>
      <sheetName val="Internal Walls,Doors(Model)"/>
      <sheetName val="Finishes(Model)"/>
      <sheetName val="Fittings &amp; Furnishings(Model)"/>
      <sheetName val="Plumbing Services(Model)"/>
      <sheetName val="Mechanical Part 1(Model)"/>
      <sheetName val="Mechanical Part 2(Model)"/>
      <sheetName val="Mechanical Part 3(Model)"/>
      <sheetName val="Electrical(Model)"/>
      <sheetName val="Special &amp; BWICS(Model)"/>
      <sheetName val="Siteworks(Model)"/>
      <sheetName val="Drainage,Ext.Services(Model)"/>
      <sheetName val="Preliminaries(Model)"/>
      <sheetName val="Substructure(Bid)"/>
      <sheetName val="Frame,Floors,Roof,Stairs(Bid)"/>
      <sheetName val="Ext. Walls,Windows,Doors(Bid)"/>
      <sheetName val="Internal Walls,Doors(Bid)"/>
      <sheetName val="Finishes(Bid)"/>
      <sheetName val="Fittings &amp; Furnishings(Bid)"/>
      <sheetName val="Plumbing Services(Bid)"/>
      <sheetName val="Mechanical Part 1(Bid)"/>
      <sheetName val="Mechanical Part 2(Bid)"/>
      <sheetName val="Mechanical Part 3(Bid)"/>
      <sheetName val="Electrical(Bid)"/>
      <sheetName val="Siteworks(Bid)"/>
      <sheetName val="Drainage,Ext.Services(Bid)"/>
      <sheetName val="Special &amp; BWICS(Bid)"/>
      <sheetName val="Preliminaries(Bid)"/>
      <sheetName val="FACILITIES COMPONENT"/>
      <sheetName val="ESTATE SERVICES"/>
      <sheetName val="EQUIPMENT MAINTENANCE"/>
      <sheetName val="GROUNDS &amp; GARDENS MAINTENANCE"/>
      <sheetName val="INFORMATION TECHNOLOGY"/>
      <sheetName val="TRANSPORT SERVICES"/>
      <sheetName val="SECURITY &amp; CAR PARKING SERVICES"/>
      <sheetName val="CATERING SERVICES"/>
      <sheetName val="CAR PARKING SERVICES"/>
      <sheetName val="TELECOMMUNICATIONS"/>
      <sheetName val="ENERGY &amp; UTILITIES"/>
      <sheetName val="WASTE DISPOSAL SERVICES"/>
      <sheetName val="LINEN SERVICES"/>
      <sheetName val="RECEPTION SERVICES"/>
      <sheetName val="PORTERING SERVICES"/>
      <sheetName val="DOMESTIC SERVICES"/>
      <sheetName val="STERILE SUPPLY SERVICES,SSD"/>
      <sheetName val="HELPDESK SERVICE"/>
      <sheetName val="COURIER SERVICES"/>
      <sheetName val="PEST CONTROL SERVICES"/>
      <sheetName val="STORES SERVICES"/>
      <sheetName val="POSTAL SERVICES"/>
      <sheetName val="RESIDENTIAL SERVICES"/>
      <sheetName val="DAY NURSERY &amp; CRECHE SERVICES"/>
      <sheetName val="WARD HOSTESS SERVICES"/>
      <sheetName val="RISK COMPONENT"/>
      <sheetName val="Risk Matrix"/>
      <sheetName val="FINANCE COMPONENT"/>
      <sheetName val="Summary"/>
      <sheetName val="Appendix A.1"/>
      <sheetName val="Appendix A.2"/>
      <sheetName val="Appendix A.3"/>
      <sheetName val="Appendix A.4"/>
      <sheetName val="Appendix A.5"/>
      <sheetName val="Appendix A.6"/>
      <sheetName val="Appendix A.7"/>
      <sheetName val="Input"/>
      <sheetName val="Model"/>
      <sheetName val="Components"/>
      <sheetName val="Fill this out first..."/>
      <sheetName val="Data"/>
      <sheetName val="Lead"/>
      <sheetName val="SITE OVERHEADS"/>
      <sheetName val="A1-mod-w"/>
      <sheetName val="Sheet3 (2)"/>
      <sheetName val="Project Budget Worksheet"/>
      <sheetName val="Kristal Court"/>
      <sheetName val="costing"/>
      <sheetName val="Direct"/>
      <sheetName val="DetEst"/>
      <sheetName val="labour"/>
      <sheetName val="Cat A Change Control"/>
      <sheetName val="Sheet2"/>
      <sheetName val="MATRIX_SUMMARY"/>
      <sheetName val="DESIGN_COMPONENT"/>
      <sheetName val="CONSTRUCTION_COMPONENT"/>
      <sheetName val="Construction_Preambles"/>
      <sheetName val="Construction_Information"/>
      <sheetName val="ASSET_RENEWAL_COMPONENT"/>
      <sheetName val="Ext__Walls,Windows,Doors(Model)"/>
      <sheetName val="Internal_Walls,Doors(Model)"/>
      <sheetName val="Fittings_&amp;_Furnishings(Model)"/>
      <sheetName val="Plumbing_Services(Model)"/>
      <sheetName val="Mechanical_Part_1(Model)"/>
      <sheetName val="Mechanical_Part_2(Model)"/>
      <sheetName val="Mechanical_Part_3(Model)"/>
      <sheetName val="Special_&amp;_BWICS(Model)"/>
      <sheetName val="Drainage,Ext_Services(Model)"/>
      <sheetName val="Ext__Walls,Windows,Doors(Bid)"/>
      <sheetName val="Internal_Walls,Doors(Bid)"/>
      <sheetName val="Fittings_&amp;_Furnishings(Bid)"/>
      <sheetName val="Plumbing_Services(Bid)"/>
      <sheetName val="Mechanical_Part_1(Bid)"/>
      <sheetName val="Mechanical_Part_2(Bid)"/>
      <sheetName val="Mechanical_Part_3(Bid)"/>
      <sheetName val="Drainage,Ext_Services(Bid)"/>
      <sheetName val="Special_&amp;_BWICS(Bid)"/>
      <sheetName val="FACILITIES_COMPONENT"/>
      <sheetName val="ESTATE_SERVICES"/>
      <sheetName val="EQUIPMENT_MAINTENANCE"/>
      <sheetName val="GROUNDS_&amp;_GARDENS_MAINTENANCE"/>
      <sheetName val="INFORMATION_TECHNOLOGY"/>
      <sheetName val="TRANSPORT_SERVICES"/>
      <sheetName val="SECURITY_&amp;_CAR_PARKING_SERVICES"/>
      <sheetName val="CATERING_SERVICES"/>
      <sheetName val="CAR_PARKING_SERVICES"/>
      <sheetName val="ENERGY_&amp;_UTILITIES"/>
      <sheetName val="WASTE_DISPOSAL_SERVICES"/>
      <sheetName val="LINEN_SERVICES"/>
      <sheetName val="RECEPTION_SERVICES"/>
      <sheetName val="PORTERING_SERVICES"/>
      <sheetName val="DOMESTIC_SERVICES"/>
      <sheetName val="STERILE_SUPPLY_SERVICES,SSD"/>
      <sheetName val="HELPDESK_SERVICE"/>
      <sheetName val="COURIER_SERVICES"/>
      <sheetName val="PEST_CONTROL_SERVICES"/>
      <sheetName val="STORES_SERVICES"/>
      <sheetName val="POSTAL_SERVICES"/>
      <sheetName val="RESIDENTIAL_SERVICES"/>
      <sheetName val="DAY_NURSERY_&amp;_CRECHE_SERVICES"/>
      <sheetName val="WARD_HOSTESS_SERVICES"/>
      <sheetName val="RISK_COMPONENT"/>
      <sheetName val="Risk_Matrix"/>
      <sheetName val="FINANCE_COMPONENT"/>
      <sheetName val="Appendix_A_1"/>
      <sheetName val="Appendix_A_2"/>
      <sheetName val="Appendix_A_3"/>
      <sheetName val="Appendix_A_4"/>
      <sheetName val="Appendix_A_5"/>
      <sheetName val="Appendix_A_6"/>
      <sheetName val="Appendix_A_7"/>
      <sheetName val="MATRIX_SUMMARY1"/>
      <sheetName val="DESIGN_COMPONENT1"/>
      <sheetName val="CONSTRUCTION_COMPONENT1"/>
      <sheetName val="Construction_Preambles1"/>
      <sheetName val="Construction_Information1"/>
      <sheetName val="ASSET_RENEWAL_COMPONENT1"/>
      <sheetName val="Ext__Walls,Windows,Doors(Model1"/>
      <sheetName val="Internal_Walls,Doors(Model)1"/>
      <sheetName val="Fittings_&amp;_Furnishings(Model)1"/>
      <sheetName val="Plumbing_Services(Model)1"/>
      <sheetName val="Mechanical_Part_1(Model)1"/>
      <sheetName val="Mechanical_Part_2(Model)1"/>
      <sheetName val="Mechanical_Part_3(Model)1"/>
      <sheetName val="Special_&amp;_BWICS(Model)1"/>
      <sheetName val="Drainage,Ext_Services(Model)1"/>
      <sheetName val="Ext__Walls,Windows,Doors(Bid)1"/>
      <sheetName val="Internal_Walls,Doors(Bid)1"/>
      <sheetName val="Fittings_&amp;_Furnishings(Bid)1"/>
      <sheetName val="Plumbing_Services(Bid)1"/>
      <sheetName val="Mechanical_Part_1(Bid)1"/>
      <sheetName val="Mechanical_Part_2(Bid)1"/>
      <sheetName val="Mechanical_Part_3(Bid)1"/>
      <sheetName val="Drainage,Ext_Services(Bid)1"/>
      <sheetName val="Special_&amp;_BWICS(Bid)1"/>
      <sheetName val="FACILITIES_COMPONENT1"/>
      <sheetName val="ESTATE_SERVICES1"/>
      <sheetName val="EQUIPMENT_MAINTENANCE1"/>
      <sheetName val="GROUNDS_&amp;_GARDENS_MAINTENANCE1"/>
      <sheetName val="INFORMATION_TECHNOLOGY1"/>
      <sheetName val="TRANSPORT_SERVICES1"/>
      <sheetName val="SECURITY_&amp;_CAR_PARKING_SERVICE1"/>
      <sheetName val="CATERING_SERVICES1"/>
      <sheetName val="CAR_PARKING_SERVICES1"/>
      <sheetName val="ENERGY_&amp;_UTILITIES1"/>
      <sheetName val="WASTE_DISPOSAL_SERVICES1"/>
      <sheetName val="LINEN_SERVICES1"/>
      <sheetName val="RECEPTION_SERVICES1"/>
      <sheetName val="PORTERING_SERVICES1"/>
      <sheetName val="DOMESTIC_SERVICES1"/>
      <sheetName val="STERILE_SUPPLY_SERVICES,SSD1"/>
      <sheetName val="HELPDESK_SERVICE1"/>
      <sheetName val="COURIER_SERVICES1"/>
      <sheetName val="PEST_CONTROL_SERVICES1"/>
      <sheetName val="STORES_SERVICES1"/>
      <sheetName val="POSTAL_SERVICES1"/>
      <sheetName val="RESIDENTIAL_SERVICES1"/>
      <sheetName val="DAY_NURSERY_&amp;_CRECHE_SERVICES1"/>
      <sheetName val="WARD_HOSTESS_SERVICES1"/>
      <sheetName val="RISK_COMPONENT1"/>
      <sheetName val="Risk_Matrix1"/>
      <sheetName val="FINANCE_COMPONENT1"/>
      <sheetName val="Appendix_A_11"/>
      <sheetName val="Appendix_A_21"/>
      <sheetName val="Appendix_A_31"/>
      <sheetName val="Appendix_A_41"/>
      <sheetName val="Appendix_A_51"/>
      <sheetName val="Appendix_A_61"/>
      <sheetName val="Appendix_A_71"/>
      <sheetName val="Enquire"/>
      <sheetName val="A-General"/>
      <sheetName val="Sheet1"/>
      <sheetName val="Details and Earnings Charts"/>
      <sheetName val="Overview Details"/>
      <sheetName val="Results"/>
      <sheetName val="PLGroupings"/>
      <sheetName val="list"/>
      <sheetName val="Tender Summary"/>
      <sheetName val="RFP002"/>
      <sheetName val="Neg owner"/>
      <sheetName val="Labor abs-NMR"/>
      <sheetName val="WORK TABLE"/>
      <sheetName val="calcul"/>
      <sheetName val="RECAPITULATION"/>
      <sheetName val="DataDump PSPC"/>
      <sheetName val="BOQ"/>
      <sheetName val="Materi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NMR"/>
      <sheetName val="Labor abs-PW"/>
      <sheetName val="Labor abs-NMR"/>
      <sheetName val="Labor bill - Mob"/>
      <sheetName val="Labor bill - EW"/>
      <sheetName val="Labor bill - Concrete"/>
      <sheetName val="Labor bill - Shuttering"/>
      <sheetName val="Labor bills - reinf"/>
      <sheetName val="Labor bills - Block masonry"/>
      <sheetName val="Labor bill - Plastering"/>
      <sheetName val="Labor bill Water proofing"/>
      <sheetName val="Labor bill Hard Finish"/>
      <sheetName val="Labor bill MS items"/>
      <sheetName val="PCC"/>
      <sheetName val="Break up Sheet"/>
      <sheetName val="conc-foot-gradeslab"/>
      <sheetName val="TBAL9697 -group wise  sdpl"/>
      <sheetName val="Notes"/>
      <sheetName val="Rate analysis"/>
      <sheetName val="_x0000_._x0008_p-NMR"/>
      <sheetName val=""/>
      <sheetName val="Micro"/>
      <sheetName val="Macro"/>
      <sheetName val="Scaff-Rose"/>
      <sheetName val="BOQ Distribution"/>
      <sheetName val="?._x0008_p-NMR"/>
      <sheetName val="Labor bills 19.08.06"/>
      <sheetName val="_._x0008_p-NMR"/>
      <sheetName val="site fab&amp;ernstr"/>
      <sheetName val="FORM7"/>
      <sheetName val="new tech flt bldg"/>
      <sheetName val="Approved MTD Proj #'s"/>
      <sheetName val="GuestProfile"/>
      <sheetName val="Sheet3 (2)"/>
      <sheetName val="SUPPLY -Sanitary Fixtures"/>
      <sheetName val="External"/>
      <sheetName val="ITEMS FOR CIVIL TENDER"/>
      <sheetName val="Conc"/>
      <sheetName val="Kristal Court"/>
      <sheetName val="3cd Annexure"/>
      <sheetName val="AOR"/>
      <sheetName val="MPR_PA_1"/>
      <sheetName val="CFForecast detail"/>
      <sheetName val="Dropdowns"/>
      <sheetName val="Actuals"/>
      <sheetName val="DATA"/>
      <sheetName val="BASIS -DEC 08"/>
      <sheetName val="ancillary"/>
      <sheetName val="_x005f_x0000_._x005f_x0008_p-NMR"/>
      <sheetName val="_._x005f_x0008_p-NMR"/>
      <sheetName val="Labor_abs-PW"/>
      <sheetName val="Labor_abs-NMR"/>
      <sheetName val="Labor_bill_-_Mob"/>
      <sheetName val="Labor_bill_-_EW"/>
      <sheetName val="Labor_bill_-_Concrete"/>
      <sheetName val="Labor_bill_-_Shuttering"/>
      <sheetName val="Labor_bills_-_reinf"/>
      <sheetName val="Labor_bills_-_Block_masonry"/>
      <sheetName val="Labor_bill_-_Plastering"/>
      <sheetName val="Labor_bill_Water_proofing"/>
      <sheetName val="Labor_bill_Hard_Finish"/>
      <sheetName val="Labor_bill_MS_items"/>
      <sheetName val="Break_up_Sheet"/>
      <sheetName val="BOQ_Distribution"/>
      <sheetName val="TBAL9697_-group_wise__sdpl"/>
      <sheetName val="Rate_analysis"/>
      <sheetName val="_p-NMR"/>
      <sheetName val="?_p-NMR"/>
      <sheetName val="Labor_bills_19_08_06"/>
      <sheetName val="__p-NMR"/>
      <sheetName val="site_fab&amp;ernstr"/>
      <sheetName val="new_tech_flt_bldg"/>
      <sheetName val="Approved_MTD_Proj_#'s"/>
      <sheetName val="XREF"/>
      <sheetName val="_x005f_x0000_._x005f_x0008_p-NM"/>
      <sheetName val="Services"/>
      <sheetName val="BOQ"/>
      <sheetName val="August TB"/>
      <sheetName val="Enquire"/>
      <sheetName val="Jams &amp; Cills"/>
      <sheetName val="Sheet1"/>
      <sheetName val="Costing"/>
      <sheetName val="Basement Budget"/>
      <sheetName val="Assumptions"/>
      <sheetName val="PROJECT BRIEF(EX.NEW)"/>
      <sheetName val="LAB"/>
      <sheetName val="10.Linkway"/>
      <sheetName val="11.Bus Shelter-Bay"/>
      <sheetName val="Finishes"/>
      <sheetName val="K"/>
      <sheetName val="analysis"/>
      <sheetName val="P-Sum-Cab"/>
      <sheetName val="TOTAL"/>
      <sheetName val="CANDY BOQ"/>
      <sheetName val="Item정리"/>
      <sheetName val="ord-lost_98&amp;99"/>
      <sheetName val="Deviation"/>
      <sheetName val="Basic Rates"/>
      <sheetName val="BUSDUCT SUMMARY-SUBSTATION"/>
      <sheetName val="BLOCK-A (MEA.SHEET)"/>
      <sheetName val="EAS"/>
      <sheetName val="Labor_abs-PW1"/>
      <sheetName val="Labor_abs-NMR1"/>
      <sheetName val="Labor_bill_-_Mob1"/>
      <sheetName val="Labor_bill_-_EW1"/>
      <sheetName val="Labor_bill_-_Concrete1"/>
      <sheetName val="Labor_bill_-_Shuttering1"/>
      <sheetName val="Labor_bills_-_reinf1"/>
      <sheetName val="Labor_bills_-_Block_masonry1"/>
      <sheetName val="Labor_bill_-_Plastering1"/>
      <sheetName val="Labor_bill_Water_proofing1"/>
      <sheetName val="Labor_bill_Hard_Finish1"/>
      <sheetName val="Labor_bill_MS_items1"/>
      <sheetName val="Break_up_Sheet1"/>
      <sheetName val="BOQ_Distribution1"/>
      <sheetName val="TBAL9697_-group_wise__sdpl1"/>
      <sheetName val="Rate_analysis1"/>
      <sheetName val="Labor_bills_19_08_061"/>
      <sheetName val="site_fab&amp;ernstr1"/>
      <sheetName val="new_tech_flt_bldg1"/>
      <sheetName val="Approved_MTD_Proj_#'s1"/>
      <sheetName val="CFForecast_detail"/>
      <sheetName val="Sheet3_(2)"/>
      <sheetName val="SUPPLY_-Sanitary_Fixtures"/>
      <sheetName val="ITEMS_FOR_CIVIL_TENDER"/>
      <sheetName val="3cd_Annexure"/>
      <sheetName val="Kristal_Court"/>
      <sheetName val="August_TB"/>
      <sheetName val="Cash Flow Working"/>
      <sheetName val="tender allowances"/>
      <sheetName val="3"/>
      <sheetName val="MONTH"/>
      <sheetName val="Trial Bal "/>
      <sheetName val="Balance Sheet"/>
      <sheetName val="RA-markate"/>
      <sheetName val="Portfolio Summary"/>
      <sheetName val="#REF"/>
      <sheetName val="Fin. Assumpt. - Sensitivities"/>
      <sheetName val="Input"/>
      <sheetName val="IO LIST"/>
      <sheetName val="Other assumptions"/>
      <sheetName val="Builtup Area"/>
      <sheetName val="Boq - Flats"/>
      <sheetName val="Other_assumptions"/>
      <sheetName val="Builtup_Area"/>
      <sheetName val=" "/>
      <sheetName val="HARGA MATERIAL"/>
      <sheetName val="Definitions"/>
      <sheetName val="Project Budget Worksheet"/>
      <sheetName val="PROFITABILITY ANALYSIS (MONTH)"/>
      <sheetName val="PROFITABILITY ANALYSIS (YTD)"/>
      <sheetName val="Kitchen"/>
      <sheetName val="Labor_abs-PW2"/>
      <sheetName val="Labor_abs-NMR2"/>
      <sheetName val="Labor_bill_-_Mob2"/>
      <sheetName val="Labor_bill_-_EW2"/>
      <sheetName val="Labor_bill_-_Concrete2"/>
      <sheetName val="Labor_bill_-_Shuttering2"/>
      <sheetName val="Labor_bills_-_reinf2"/>
      <sheetName val="Labor_bills_-_Block_masonry2"/>
      <sheetName val="Labor_bill_-_Plastering2"/>
      <sheetName val="Labor_bill_Water_proofing2"/>
      <sheetName val="Labor_bill_Hard_Finish2"/>
      <sheetName val="Labor_bill_MS_items2"/>
      <sheetName val="Break_up_Sheet2"/>
      <sheetName val="TBAL9697_-group_wise__sdpl2"/>
      <sheetName val="Rate_analysis2"/>
      <sheetName val="Basic-Material "/>
      <sheetName val="TULIPS PHASE-2 BOQ FINAL"/>
      <sheetName val="ANN-I-DETAILS"/>
      <sheetName val="Set"/>
      <sheetName val="Occ"/>
      <sheetName val="CABLE DATA"/>
      <sheetName val="MH(on site)"/>
      <sheetName val="Intro"/>
      <sheetName val="Summary"/>
      <sheetName val="Controls"/>
      <sheetName val="CCTV KAMERE (2)"/>
      <sheetName val="Design"/>
      <sheetName val="Area"/>
      <sheetName val="sumary"/>
      <sheetName val="_x005f_x005f_x005f_x0000_._x005f_x005f_x005f_x0008_p-NM"/>
      <sheetName val="_._x005f_x005f_x005f_x0008_p-NMR"/>
      <sheetName val="SILICATE"/>
      <sheetName val="?._x005f_x0008_p-NMR"/>
      <sheetName val="_x005f_x005f_x005f_x005f_x005f_x005f_x005f_x0000_._x005"/>
      <sheetName val="_._x005f_x005f_x005f_x005f_x005f_x005f_x005f_x0008_p-NM"/>
      <sheetName val="DATABASE"/>
      <sheetName val="Master Data Sheet"/>
      <sheetName val="Building 1"/>
      <sheetName val="_x005f_x005f_x005f_x005f_x005f_x005f_x005f_x005f_x005f_x005f_"/>
      <sheetName val="_._x005f_x005f_x005f_x005f_x005f_x005f_x005f_x005f_x005"/>
      <sheetName val="INDIGINEOUS ITEMS "/>
      <sheetName val="Debits as on 12.04.08"/>
      <sheetName val="Adimi bldg"/>
      <sheetName val="Pump House"/>
      <sheetName val="Fuel Regu Station"/>
      <sheetName val="Macro1"/>
      <sheetName val="eval"/>
      <sheetName val="1. Acquisition"/>
      <sheetName val="Ref_Sheet"/>
      <sheetName val="Field Values"/>
      <sheetName val="Mico"/>
      <sheetName val="Quotation"/>
      <sheetName val="10. &amp; 11. Rate Code &amp; BQ"/>
      <sheetName val="_x005f_x005f_x005f_x0000_._x005"/>
      <sheetName val="_._x005f_x005f_x005f_x0008_p-NM"/>
      <sheetName val="?._x005f_x005f_x005f_x0008_p-NMR"/>
      <sheetName val="Load Details-220kV"/>
      <sheetName val="jobhist"/>
      <sheetName val="Cable-data"/>
      <sheetName val="p1-costg"/>
      <sheetName val="SCHEDULE"/>
      <sheetName val="schedule nos"/>
      <sheetName val="MH Compensate-Nov"/>
      <sheetName val="Results"/>
      <sheetName val="PLGroupings"/>
      <sheetName val="Variables_x"/>
      <sheetName val="Detail"/>
      <sheetName val="Design Sheet"/>
      <sheetName val="p&amp;m"/>
      <sheetName val="nVision"/>
      <sheetName val="pile Fabrication"/>
      <sheetName val="Top Line - WWW"/>
      <sheetName val="Formulas"/>
      <sheetName val="Pile cap"/>
      <sheetName val="Rates"/>
      <sheetName val="RA"/>
      <sheetName val="Cashflow"/>
      <sheetName val="iNDEX"/>
      <sheetName val="BQLIST"/>
      <sheetName val="Labour &amp; Plant"/>
      <sheetName val="A.O.R."/>
      <sheetName val="Sectional  Summary"/>
      <sheetName val="Construction"/>
      <sheetName val="PLAN_FEB97"/>
      <sheetName val="Depreciation"/>
      <sheetName val="complexall"/>
      <sheetName val="RGF-0004-1"/>
      <sheetName val="RAW DATA"/>
      <sheetName val="old boq"/>
      <sheetName val="Intro."/>
      <sheetName val="Headings"/>
      <sheetName val="INPUT SHEET"/>
      <sheetName val="RES-PLANNING"/>
      <sheetName val="13. Steel - Ratio"/>
      <sheetName val="4K - (6a) Non Manual Breakdown"/>
      <sheetName val="PRICE-COMP"/>
      <sheetName val="Comparative"/>
      <sheetName val="9. Package split - Cost "/>
      <sheetName val="beam-reinft-IIInd floor"/>
      <sheetName val="Data sheet"/>
      <sheetName val="_"/>
      <sheetName val="PROFITABILITY_ANALYSIS_(MONTH)"/>
      <sheetName val="PROFITABILITY_ANALYSIS_(YTD)"/>
      <sheetName val="Basement_Budget"/>
      <sheetName val="Jams_&amp;_Cills"/>
      <sheetName val="Other_assumptions1"/>
      <sheetName val="_x005f_x0000___x005f_x0008_p-NMR"/>
      <sheetName val="___x005f_x0008_p-NMR"/>
      <sheetName val="Adimi_bldg"/>
      <sheetName val="Pump_House"/>
      <sheetName val="Fuel_Regu_Station"/>
      <sheetName val="BASIS_-DEC_08"/>
      <sheetName val="Project_Budget_Worksheet"/>
      <sheetName val="Basic_Rates"/>
      <sheetName val="BUSDUCT_SUMMARY-SUBSTATION"/>
      <sheetName val="Builtup_Area1"/>
      <sheetName val="Boq_-_Flats"/>
      <sheetName val="PROJECT_BRIEF(EX_NEW)"/>
      <sheetName val="HARGA_MATERIAL"/>
      <sheetName val="_x005f_x0000___x005f_x0008_p-NM"/>
      <sheetName val="10_Linkway"/>
      <sheetName val="11_Bus_Shelter-Bay"/>
      <sheetName val="CANDY_BOQ"/>
      <sheetName val="BLOCK-A_(MEA_SHEET)"/>
      <sheetName val="1"/>
      <sheetName val="Financials"/>
      <sheetName val="Pay_Sep06"/>
      <sheetName val="Area Statement."/>
      <sheetName val="RCC_Ret_ Wall"/>
      <sheetName val="Charge Rates"/>
      <sheetName val="Settings"/>
      <sheetName val="_x0000_._x0008_p-NM"/>
      <sheetName val="Lead"/>
      <sheetName val="Variance Report"/>
      <sheetName val="RENT MASTER FILE"/>
      <sheetName val="estimate"/>
      <sheetName val="S &amp; A"/>
      <sheetName val="Sheet3_(2)1"/>
      <sheetName val="SUPPLY_-Sanitary_Fixtures1"/>
      <sheetName val="ITEMS_FOR_CIVIL_TENDER1"/>
      <sheetName val="3cd_Annexure1"/>
      <sheetName val="August_TB1"/>
      <sheetName val="Jams_&amp;_Cills1"/>
      <sheetName val="Kristal_Court1"/>
      <sheetName val="Basement_Budget1"/>
      <sheetName val="nishanth"/>
      <sheetName val="2.civil-RA"/>
      <sheetName val="labour coeff"/>
      <sheetName val="PX1DATA"/>
      <sheetName val="PX2DATA"/>
      <sheetName val="Own summary"/>
      <sheetName val="Measurment"/>
      <sheetName val="Labour Rate "/>
      <sheetName val="Net TB"/>
      <sheetName val="doq"/>
      <sheetName val="dBase"/>
      <sheetName val="Factors"/>
      <sheetName val="Sheet2"/>
      <sheetName val="GBW"/>
      <sheetName val="VAL"/>
      <sheetName val="master"/>
      <sheetName val="labour rates"/>
      <sheetName val="Civil Boq"/>
      <sheetName val="Pay. Recom"/>
      <sheetName val="Licences"/>
      <sheetName val="Performance Report"/>
      <sheetName val="S1 "/>
      <sheetName val="S7B "/>
      <sheetName val="S7A"/>
      <sheetName val="S6 "/>
      <sheetName val="S3 "/>
      <sheetName val="S2 "/>
      <sheetName val="Formulae"/>
      <sheetName val="ridgewood"/>
      <sheetName val="Lookups"/>
      <sheetName val="Detail In Door Stad"/>
      <sheetName val="RCC,Ret. Wall"/>
      <sheetName val="_x005f_x005f_x005f_x005f_"/>
      <sheetName val="_._x005f_x005f_x005f_x005f_x005"/>
      <sheetName val="SPEC"/>
      <sheetName val="Concrete measurement"/>
      <sheetName val="TOS-F"/>
      <sheetName val="Legal Risk Analysis"/>
      <sheetName val="SCHEDULE (9)"/>
      <sheetName val="P&amp;L"/>
      <sheetName val="Vendors"/>
      <sheetName val="sept-plan"/>
      <sheetName val="FitOutConfCentre"/>
      <sheetName val="Model (Not Merged)"/>
      <sheetName val="BFS"/>
      <sheetName val="Purchases FWJ"/>
      <sheetName val="CASHFLOWS"/>
      <sheetName val="Cost Sheet"/>
      <sheetName val="Config"/>
      <sheetName val="MN T.B."/>
      <sheetName val="banilad"/>
      <sheetName val="Mactan"/>
      <sheetName val="Mandaue"/>
      <sheetName val="Internet"/>
      <sheetName val="sheet6"/>
      <sheetName val="Labor_abs-PW3"/>
      <sheetName val="Labor_abs-NMR3"/>
      <sheetName val="Labor_bill_-_Mob3"/>
      <sheetName val="Labor_bill_-_EW3"/>
      <sheetName val="Labor_bill_-_Concrete3"/>
      <sheetName val="Labor_bill_-_Shuttering3"/>
      <sheetName val="Labor_bills_-_reinf3"/>
      <sheetName val="Labor_bills_-_Block_masonry3"/>
      <sheetName val="Labor_bill_-_Plastering3"/>
      <sheetName val="Labor_bill_Water_proofing3"/>
      <sheetName val="Labor_bill_Hard_Finish3"/>
      <sheetName val="Labor_bill_MS_items3"/>
      <sheetName val="Break_up_Sheet3"/>
      <sheetName val="TBAL9697_-group_wise__sdpl3"/>
      <sheetName val="Rate_analysis3"/>
      <sheetName val="BOQ_Distribution2"/>
      <sheetName val="Labor_bills_19_08_062"/>
      <sheetName val="site_fab&amp;ernstr2"/>
      <sheetName val="new_tech_flt_bldg2"/>
      <sheetName val="Approved_MTD_Proj_#'s2"/>
      <sheetName val="Sheet3_(2)2"/>
      <sheetName val="SUPPLY_-Sanitary_Fixtures2"/>
      <sheetName val="ITEMS_FOR_CIVIL_TENDER2"/>
      <sheetName val="Portfolio_Summary"/>
      <sheetName val="Kristal_Court2"/>
      <sheetName val="3cd_Annexure2"/>
      <sheetName val="August_TB2"/>
      <sheetName val="CFForecast_detail1"/>
      <sheetName val="Basement_Budget2"/>
      <sheetName val="Jams_&amp;_Cills2"/>
      <sheetName val="_x005f_x0000___x005f_x0008_p-NMR1"/>
      <sheetName val="___x005f_x0008_p-NMR1"/>
      <sheetName val="Fin__Assumpt__-_Sensitivities"/>
      <sheetName val="Other_assumptions2"/>
      <sheetName val="Builtup_Area2"/>
      <sheetName val="Boq_-_Flats1"/>
      <sheetName val="PROJECT_BRIEF(EX_NEW)1"/>
      <sheetName val="Basic_Rates1"/>
      <sheetName val="BUSDUCT_SUMMARY-SUBSTATION1"/>
      <sheetName val="BASIS_-DEC_081"/>
      <sheetName val="_1"/>
      <sheetName val="HARGA_MATERIAL1"/>
      <sheetName val="_x005f_x0000___x005f_x0008_p-NM1"/>
      <sheetName val="10_Linkway1"/>
      <sheetName val="11_Bus_Shelter-Bay1"/>
      <sheetName val="CANDY_BOQ1"/>
      <sheetName val="BLOCK-A_(MEA_SHEET)1"/>
      <sheetName val="Project_Budget_Worksheet1"/>
      <sheetName val="PROFITABILITY_ANALYSIS_(MONTH)1"/>
      <sheetName val="PROFITABILITY_ANALYSIS_(YTD)1"/>
      <sheetName val="Cash_Flow_Working"/>
      <sheetName val="tender_allowances"/>
      <sheetName val="Trial_Bal_"/>
      <sheetName val="Balance_Sheet"/>
      <sheetName val="Basic-Material_"/>
      <sheetName val="TULIPS_PHASE-2_BOQ_FINAL"/>
      <sheetName val="Adimi_bldg1"/>
      <sheetName val="Pump_House1"/>
      <sheetName val="Fuel_Regu_Station1"/>
      <sheetName val="CABLE_DATA"/>
      <sheetName val="MH(on_site)"/>
      <sheetName val="CCTV_KAMERE_(2)"/>
      <sheetName val="IO_LIST"/>
      <sheetName val="Debits_as_on_12_04_08"/>
      <sheetName val="1__Acquisition"/>
      <sheetName val="Master_Data_Sheet"/>
      <sheetName val="_x005f_x005f_x005f_x0000___x005f_x005f_x005f_x0008_p-NM"/>
      <sheetName val="___x005f_x005f_x005f_x0008_p-NMR"/>
      <sheetName val="Building_1"/>
      <sheetName val="_x005f_x005f_x005f_x005f_x005f_x005f_x005f_x0000___x005"/>
      <sheetName val="___x005f_x005f_x005f_x005f_x005f_x005f_x005f_x0008_p-NM"/>
      <sheetName val="?__x005f_x0008_p-NMR"/>
      <sheetName val="___x005f_x005f_x005f_x005f_x005f_x005f_x005f_x005f_x005"/>
      <sheetName val="INDIGINEOUS_ITEMS_"/>
      <sheetName val="Field_Values"/>
      <sheetName val="10__&amp;_11__Rate_Code_&amp;_BQ"/>
      <sheetName val="_x005f_x005f_x005f_x0000___x005"/>
      <sheetName val="___x005f_x005f_x005f_x0008_p-NM"/>
      <sheetName val="?__x005f_x005f_x005f_x0008_p-NMR"/>
      <sheetName val="Load_Details-220kV"/>
      <sheetName val="schedule_nos"/>
      <sheetName val="MH_Compensate-Nov"/>
      <sheetName val="Design_Sheet"/>
      <sheetName val="pile_Fabrication"/>
      <sheetName val="Top_Line_-_WWW"/>
      <sheetName val="Pile_cap"/>
      <sheetName val="old_boq"/>
      <sheetName val="Variance_Report"/>
      <sheetName val="RENT_MASTER_FILE"/>
      <sheetName val="Labour_&amp;_Plant"/>
      <sheetName val="A_O_R_"/>
      <sheetName val="Sectional__Summary"/>
      <sheetName val="RCC_Ret__Wall"/>
      <sheetName val="Charge_Rates"/>
      <sheetName val="INPUT_SHEET"/>
      <sheetName val="13__Steel_-_Ratio"/>
      <sheetName val="4K_-_(6a)_Non_Manual_Breakdown"/>
      <sheetName val="9__Package_split_-_Cost_"/>
      <sheetName val="beam-reinft-IIInd_floor"/>
      <sheetName val="Data_sheet"/>
      <sheetName val="Area_Statement_"/>
      <sheetName val="_p-NM"/>
      <sheetName val="Performance_Report"/>
      <sheetName val="S_&amp;_A"/>
      <sheetName val="2_civil-RA"/>
      <sheetName val="labour_coeff"/>
      <sheetName val="Own_summary"/>
      <sheetName val="RAW_DATA"/>
      <sheetName val="Intro_"/>
      <sheetName val="TB"/>
      <sheetName val="bs"/>
      <sheetName val="S1_"/>
      <sheetName val="S7B_"/>
      <sheetName val="S6_"/>
      <sheetName val="S3_"/>
      <sheetName val="S2_"/>
      <sheetName val="Net_TB"/>
      <sheetName val="Labour_Rate_"/>
      <sheetName val="Materials Cost"/>
      <sheetName val="Summary Sheets"/>
      <sheetName val="Boq Block A"/>
      <sheetName val="Main-Material"/>
      <sheetName val="Structure Bills Qty"/>
      <sheetName val="Sheet3"/>
      <sheetName val="Material"/>
      <sheetName val="Earthing Tower-1 Superseded"/>
      <sheetName val="Appendix 8A"/>
      <sheetName val="wordsdata"/>
      <sheetName val="12a. CFTable"/>
      <sheetName val="Summary year Plan"/>
      <sheetName val="S2groupcode"/>
      <sheetName val="QS Name"/>
      <sheetName val="final abstract"/>
      <sheetName val="Main Sheet"/>
      <sheetName val="Project Plan - WWW"/>
      <sheetName val="col-reinft1"/>
      <sheetName val="3. Elemental Summary"/>
      <sheetName val="Materials Cost(PCC)"/>
      <sheetName val="F1a-Pile"/>
      <sheetName val="Rocker"/>
      <sheetName val="girder"/>
      <sheetName val="Supplier"/>
      <sheetName val="Area Statement PMO"/>
      <sheetName val="Material "/>
      <sheetName val="Indices"/>
      <sheetName val="ELEC&amp; MISC"/>
      <sheetName val="Rate analysis civil"/>
      <sheetName val="INVOICE"/>
      <sheetName val="Staff Acco."/>
      <sheetName val="Inc.St.-Link"/>
      <sheetName val="Basic Rate"/>
      <sheetName val="_x005f_x0000_._x005"/>
      <sheetName val="_._x005f_x0008_p-NM"/>
      <sheetName val="bhandup"/>
      <sheetName val="Debtors analysis"/>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43">
          <cell r="K43">
            <v>357.72499999999991</v>
          </cell>
        </row>
      </sheetData>
      <sheetData sheetId="51">
        <row r="43">
          <cell r="K43">
            <v>357.72499999999991</v>
          </cell>
        </row>
      </sheetData>
      <sheetData sheetId="52">
        <row r="43">
          <cell r="K43">
            <v>357.72499999999991</v>
          </cell>
        </row>
      </sheetData>
      <sheetData sheetId="53">
        <row r="43">
          <cell r="K43">
            <v>357.72499999999991</v>
          </cell>
        </row>
      </sheetData>
      <sheetData sheetId="54">
        <row r="43">
          <cell r="K43">
            <v>357.72499999999991</v>
          </cell>
        </row>
      </sheetData>
      <sheetData sheetId="55">
        <row r="43">
          <cell r="K43">
            <v>357.72499999999991</v>
          </cell>
        </row>
      </sheetData>
      <sheetData sheetId="56">
        <row r="43">
          <cell r="K43">
            <v>357.72499999999991</v>
          </cell>
        </row>
      </sheetData>
      <sheetData sheetId="57">
        <row r="43">
          <cell r="K43">
            <v>357.72499999999991</v>
          </cell>
        </row>
      </sheetData>
      <sheetData sheetId="58">
        <row r="43">
          <cell r="K43">
            <v>357.72499999999991</v>
          </cell>
        </row>
      </sheetData>
      <sheetData sheetId="59">
        <row r="43">
          <cell r="K43">
            <v>357.72499999999991</v>
          </cell>
        </row>
      </sheetData>
      <sheetData sheetId="60">
        <row r="43">
          <cell r="K43">
            <v>357.72499999999991</v>
          </cell>
        </row>
      </sheetData>
      <sheetData sheetId="61">
        <row r="43">
          <cell r="K43">
            <v>357.72499999999991</v>
          </cell>
        </row>
      </sheetData>
      <sheetData sheetId="62">
        <row r="43">
          <cell r="K43">
            <v>357.72499999999991</v>
          </cell>
        </row>
      </sheetData>
      <sheetData sheetId="63">
        <row r="43">
          <cell r="K43">
            <v>357.72499999999991</v>
          </cell>
        </row>
      </sheetData>
      <sheetData sheetId="64">
        <row r="43">
          <cell r="K43">
            <v>357.72499999999991</v>
          </cell>
        </row>
      </sheetData>
      <sheetData sheetId="65">
        <row r="43">
          <cell r="K43">
            <v>357.72499999999991</v>
          </cell>
        </row>
      </sheetData>
      <sheetData sheetId="66">
        <row r="43">
          <cell r="K43">
            <v>357.72499999999991</v>
          </cell>
        </row>
      </sheetData>
      <sheetData sheetId="67">
        <row r="43">
          <cell r="K43">
            <v>357.72499999999991</v>
          </cell>
        </row>
      </sheetData>
      <sheetData sheetId="68">
        <row r="43">
          <cell r="K43">
            <v>357.72499999999991</v>
          </cell>
        </row>
      </sheetData>
      <sheetData sheetId="69">
        <row r="43">
          <cell r="K43">
            <v>357.72499999999991</v>
          </cell>
        </row>
      </sheetData>
      <sheetData sheetId="70">
        <row r="43">
          <cell r="K43">
            <v>357.72499999999991</v>
          </cell>
        </row>
      </sheetData>
      <sheetData sheetId="71">
        <row r="43">
          <cell r="K43">
            <v>357.72499999999991</v>
          </cell>
        </row>
      </sheetData>
      <sheetData sheetId="72">
        <row r="43">
          <cell r="K43">
            <v>357.72499999999991</v>
          </cell>
        </row>
      </sheetData>
      <sheetData sheetId="73"/>
      <sheetData sheetId="74"/>
      <sheetData sheetId="75"/>
      <sheetData sheetId="76"/>
      <sheetData sheetId="77"/>
      <sheetData sheetId="78"/>
      <sheetData sheetId="79">
        <row r="43">
          <cell r="K43">
            <v>357.72499999999991</v>
          </cell>
        </row>
      </sheetData>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row r="43">
          <cell r="K43">
            <v>357.72499999999991</v>
          </cell>
        </row>
      </sheetData>
      <sheetData sheetId="102">
        <row r="43">
          <cell r="K43">
            <v>357.72499999999991</v>
          </cell>
        </row>
      </sheetData>
      <sheetData sheetId="103">
        <row r="43">
          <cell r="K43">
            <v>357.72499999999991</v>
          </cell>
        </row>
      </sheetData>
      <sheetData sheetId="104">
        <row r="43">
          <cell r="K43">
            <v>357.72499999999991</v>
          </cell>
        </row>
      </sheetData>
      <sheetData sheetId="105">
        <row r="43">
          <cell r="K43">
            <v>357.72499999999991</v>
          </cell>
        </row>
      </sheetData>
      <sheetData sheetId="106">
        <row r="43">
          <cell r="K43">
            <v>357.72499999999991</v>
          </cell>
        </row>
      </sheetData>
      <sheetData sheetId="107">
        <row r="43">
          <cell r="K43">
            <v>357.72499999999991</v>
          </cell>
        </row>
      </sheetData>
      <sheetData sheetId="108">
        <row r="43">
          <cell r="K43">
            <v>357.72499999999991</v>
          </cell>
        </row>
      </sheetData>
      <sheetData sheetId="109">
        <row r="43">
          <cell r="K43">
            <v>357.72499999999991</v>
          </cell>
        </row>
      </sheetData>
      <sheetData sheetId="110">
        <row r="43">
          <cell r="K43">
            <v>357.72499999999991</v>
          </cell>
        </row>
      </sheetData>
      <sheetData sheetId="111">
        <row r="43">
          <cell r="K43">
            <v>357.72499999999991</v>
          </cell>
        </row>
      </sheetData>
      <sheetData sheetId="112">
        <row r="43">
          <cell r="K43">
            <v>357.72499999999991</v>
          </cell>
        </row>
      </sheetData>
      <sheetData sheetId="113">
        <row r="43">
          <cell r="K43">
            <v>357.72499999999991</v>
          </cell>
        </row>
      </sheetData>
      <sheetData sheetId="114">
        <row r="43">
          <cell r="K43">
            <v>357.72499999999991</v>
          </cell>
        </row>
      </sheetData>
      <sheetData sheetId="115">
        <row r="43">
          <cell r="K43">
            <v>357.72499999999991</v>
          </cell>
        </row>
      </sheetData>
      <sheetData sheetId="116">
        <row r="43">
          <cell r="K43">
            <v>357.72499999999991</v>
          </cell>
        </row>
      </sheetData>
      <sheetData sheetId="117"/>
      <sheetData sheetId="118"/>
      <sheetData sheetId="119"/>
      <sheetData sheetId="120">
        <row r="43">
          <cell r="K43">
            <v>357.72499999999991</v>
          </cell>
        </row>
      </sheetData>
      <sheetData sheetId="121"/>
      <sheetData sheetId="122"/>
      <sheetData sheetId="123"/>
      <sheetData sheetId="124"/>
      <sheetData sheetId="125"/>
      <sheetData sheetId="126"/>
      <sheetData sheetId="127"/>
      <sheetData sheetId="128">
        <row r="43">
          <cell r="K43">
            <v>357.72499999999991</v>
          </cell>
        </row>
      </sheetData>
      <sheetData sheetId="129">
        <row r="43">
          <cell r="K43">
            <v>357.72499999999991</v>
          </cell>
        </row>
      </sheetData>
      <sheetData sheetId="130">
        <row r="43">
          <cell r="K43">
            <v>357.72499999999991</v>
          </cell>
        </row>
      </sheetData>
      <sheetData sheetId="131">
        <row r="43">
          <cell r="K43">
            <v>357.72499999999991</v>
          </cell>
        </row>
      </sheetData>
      <sheetData sheetId="132"/>
      <sheetData sheetId="133"/>
      <sheetData sheetId="134"/>
      <sheetData sheetId="135"/>
      <sheetData sheetId="136"/>
      <sheetData sheetId="137"/>
      <sheetData sheetId="138"/>
      <sheetData sheetId="139"/>
      <sheetData sheetId="140"/>
      <sheetData sheetId="141"/>
      <sheetData sheetId="142"/>
      <sheetData sheetId="143">
        <row r="43">
          <cell r="K43">
            <v>357.72499999999991</v>
          </cell>
        </row>
      </sheetData>
      <sheetData sheetId="144">
        <row r="43">
          <cell r="K43">
            <v>357.72499999999991</v>
          </cell>
        </row>
      </sheetData>
      <sheetData sheetId="145"/>
      <sheetData sheetId="146"/>
      <sheetData sheetId="147"/>
      <sheetData sheetId="148"/>
      <sheetData sheetId="149"/>
      <sheetData sheetId="150"/>
      <sheetData sheetId="151"/>
      <sheetData sheetId="152">
        <row r="43">
          <cell r="K43">
            <v>357.72499999999991</v>
          </cell>
        </row>
      </sheetData>
      <sheetData sheetId="153">
        <row r="43">
          <cell r="K43">
            <v>357.72499999999991</v>
          </cell>
        </row>
      </sheetData>
      <sheetData sheetId="154">
        <row r="43">
          <cell r="K43">
            <v>357.72499999999991</v>
          </cell>
        </row>
      </sheetData>
      <sheetData sheetId="155">
        <row r="43">
          <cell r="K43">
            <v>357.72499999999991</v>
          </cell>
        </row>
      </sheetData>
      <sheetData sheetId="156">
        <row r="43">
          <cell r="K43">
            <v>357.72499999999991</v>
          </cell>
        </row>
      </sheetData>
      <sheetData sheetId="157">
        <row r="43">
          <cell r="K43">
            <v>357.72499999999991</v>
          </cell>
        </row>
      </sheetData>
      <sheetData sheetId="158">
        <row r="43">
          <cell r="K43">
            <v>357.72499999999991</v>
          </cell>
        </row>
      </sheetData>
      <sheetData sheetId="159">
        <row r="43">
          <cell r="K43">
            <v>357.72499999999991</v>
          </cell>
        </row>
      </sheetData>
      <sheetData sheetId="160">
        <row r="43">
          <cell r="K43">
            <v>357.72499999999991</v>
          </cell>
        </row>
      </sheetData>
      <sheetData sheetId="161">
        <row r="43">
          <cell r="K43">
            <v>357.72499999999991</v>
          </cell>
        </row>
      </sheetData>
      <sheetData sheetId="162">
        <row r="43">
          <cell r="K43">
            <v>357.72499999999991</v>
          </cell>
        </row>
      </sheetData>
      <sheetData sheetId="163">
        <row r="43">
          <cell r="K43">
            <v>357.72499999999991</v>
          </cell>
        </row>
      </sheetData>
      <sheetData sheetId="164">
        <row r="43">
          <cell r="K43">
            <v>357.72499999999991</v>
          </cell>
        </row>
      </sheetData>
      <sheetData sheetId="165">
        <row r="43">
          <cell r="K43">
            <v>357.72499999999991</v>
          </cell>
        </row>
      </sheetData>
      <sheetData sheetId="166">
        <row r="43">
          <cell r="K43">
            <v>357.72499999999991</v>
          </cell>
        </row>
      </sheetData>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row r="43">
          <cell r="K43">
            <v>357.72499999999991</v>
          </cell>
        </row>
      </sheetData>
      <sheetData sheetId="253">
        <row r="43">
          <cell r="K43">
            <v>357.72499999999991</v>
          </cell>
        </row>
      </sheetData>
      <sheetData sheetId="254">
        <row r="43">
          <cell r="K43">
            <v>357.72499999999991</v>
          </cell>
        </row>
      </sheetData>
      <sheetData sheetId="255">
        <row r="43">
          <cell r="K43">
            <v>357.72499999999991</v>
          </cell>
        </row>
      </sheetData>
      <sheetData sheetId="256">
        <row r="43">
          <cell r="K43">
            <v>357.72499999999991</v>
          </cell>
        </row>
      </sheetData>
      <sheetData sheetId="257">
        <row r="43">
          <cell r="K43">
            <v>357.72499999999991</v>
          </cell>
        </row>
      </sheetData>
      <sheetData sheetId="258">
        <row r="43">
          <cell r="K43">
            <v>357.72499999999991</v>
          </cell>
        </row>
      </sheetData>
      <sheetData sheetId="259">
        <row r="43">
          <cell r="K43">
            <v>357.72499999999991</v>
          </cell>
        </row>
      </sheetData>
      <sheetData sheetId="260">
        <row r="43">
          <cell r="K43">
            <v>357.72499999999991</v>
          </cell>
        </row>
      </sheetData>
      <sheetData sheetId="261">
        <row r="43">
          <cell r="K43">
            <v>357.72499999999991</v>
          </cell>
        </row>
      </sheetData>
      <sheetData sheetId="262">
        <row r="43">
          <cell r="K43">
            <v>357.72499999999991</v>
          </cell>
        </row>
      </sheetData>
      <sheetData sheetId="263">
        <row r="43">
          <cell r="K43">
            <v>357.72499999999991</v>
          </cell>
        </row>
      </sheetData>
      <sheetData sheetId="264">
        <row r="43">
          <cell r="K43">
            <v>357.72499999999991</v>
          </cell>
        </row>
      </sheetData>
      <sheetData sheetId="265">
        <row r="43">
          <cell r="K43">
            <v>357.72499999999991</v>
          </cell>
        </row>
      </sheetData>
      <sheetData sheetId="266">
        <row r="43">
          <cell r="K43">
            <v>357.72499999999991</v>
          </cell>
        </row>
      </sheetData>
      <sheetData sheetId="267">
        <row r="43">
          <cell r="K43">
            <v>357.72499999999991</v>
          </cell>
        </row>
      </sheetData>
      <sheetData sheetId="268">
        <row r="43">
          <cell r="K43">
            <v>357.72499999999991</v>
          </cell>
        </row>
      </sheetData>
      <sheetData sheetId="269">
        <row r="43">
          <cell r="K43">
            <v>357.72499999999991</v>
          </cell>
        </row>
      </sheetData>
      <sheetData sheetId="270">
        <row r="43">
          <cell r="K43">
            <v>357.72499999999991</v>
          </cell>
        </row>
      </sheetData>
      <sheetData sheetId="271"/>
      <sheetData sheetId="272">
        <row r="43">
          <cell r="K43">
            <v>357.72499999999991</v>
          </cell>
        </row>
      </sheetData>
      <sheetData sheetId="273">
        <row r="43">
          <cell r="K43">
            <v>357.72499999999991</v>
          </cell>
        </row>
      </sheetData>
      <sheetData sheetId="274">
        <row r="43">
          <cell r="K43">
            <v>357.72499999999991</v>
          </cell>
        </row>
      </sheetData>
      <sheetData sheetId="275">
        <row r="43">
          <cell r="K43">
            <v>357.72499999999991</v>
          </cell>
        </row>
      </sheetData>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row r="43">
          <cell r="K43">
            <v>357.72499999999991</v>
          </cell>
        </row>
      </sheetData>
      <sheetData sheetId="290"/>
      <sheetData sheetId="291">
        <row r="43">
          <cell r="K43">
            <v>357.72499999999991</v>
          </cell>
        </row>
      </sheetData>
      <sheetData sheetId="292">
        <row r="43">
          <cell r="K43">
            <v>357.72499999999991</v>
          </cell>
        </row>
      </sheetData>
      <sheetData sheetId="293">
        <row r="43">
          <cell r="K43">
            <v>357.72499999999991</v>
          </cell>
        </row>
      </sheetData>
      <sheetData sheetId="294">
        <row r="43">
          <cell r="K43">
            <v>357.72499999999991</v>
          </cell>
        </row>
      </sheetData>
      <sheetData sheetId="295">
        <row r="43">
          <cell r="K43">
            <v>357.72499999999991</v>
          </cell>
        </row>
      </sheetData>
      <sheetData sheetId="296">
        <row r="43">
          <cell r="K43">
            <v>357.72499999999991</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43">
          <cell r="K43">
            <v>357.72499999999991</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row r="43">
          <cell r="K43">
            <v>357.72499999999991</v>
          </cell>
        </row>
      </sheetData>
      <sheetData sheetId="403">
        <row r="43">
          <cell r="K43">
            <v>357.72499999999991</v>
          </cell>
        </row>
      </sheetData>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MASTER SHEET"/>
      <sheetName val="HARDWARE"/>
      <sheetName val="BASIC QUANITITY FOR 3BHK + SERV"/>
      <sheetName val="Sheet3"/>
      <sheetName val="Unit Weight"/>
      <sheetName val="Labor abs-NMR"/>
    </sheetNames>
    <sheetDataSet>
      <sheetData sheetId="0"/>
      <sheetData sheetId="1"/>
      <sheetData sheetId="2"/>
      <sheetData sheetId="3"/>
      <sheetData sheetId="4"/>
      <sheetData sheetId="5">
        <row r="3">
          <cell r="B3">
            <v>1.139</v>
          </cell>
        </row>
      </sheetData>
      <sheetData sheetId="6"/>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bour &amp; Plant"/>
      <sheetName val="Unit Weight"/>
    </sheetNames>
    <sheetDataSet>
      <sheetData sheetId="0"/>
      <sheetData sheetId="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ce sheet"/>
      <sheetName val="Indirect cost"/>
      <sheetName val="BOQ_Direct_selling cost"/>
      <sheetName val="quality_obj"/>
      <sheetName val="Register"/>
      <sheetName val="Main-Material"/>
      <sheetName val="Plant Cost"/>
      <sheetName val="Labour productivity"/>
      <sheetName val="dummy"/>
      <sheetName val="FORM7"/>
      <sheetName val="cubes_M20"/>
      <sheetName val="Footings"/>
      <sheetName val="Database"/>
      <sheetName val="SCHEDULE"/>
      <sheetName val="schedule nos"/>
      <sheetName val="monitoring-breakup"/>
      <sheetName val="boq"/>
      <sheetName val="SPT vs PHI"/>
      <sheetName val="RCC,Ret. Wall"/>
      <sheetName val="04"/>
      <sheetName val="BOQ- A-Civil Works"/>
      <sheetName val="Sheet2"/>
      <sheetName val="WWR"/>
      <sheetName val="Aseet1998"/>
      <sheetName val="Fill this out first..."/>
      <sheetName val="abstract"/>
      <sheetName val="GBW"/>
      <sheetName val="RA-markate"/>
      <sheetName val="horizontal"/>
      <sheetName val="Supplier"/>
      <sheetName val="Design"/>
      <sheetName val="Project Budget Worksheet"/>
      <sheetName val="Legend"/>
      <sheetName val="sept-plan"/>
      <sheetName val="final abstract"/>
      <sheetName val="strand"/>
      <sheetName val="PC Master List"/>
      <sheetName val="Tender Summary"/>
      <sheetName val="10. &amp; 11. Rate Code &amp; BQ"/>
      <sheetName val="Desgn(zone I)"/>
      <sheetName val="girder"/>
      <sheetName val="WORK TABLE"/>
      <sheetName val="Lead"/>
      <sheetName val="Break up Sheet"/>
      <sheetName val="MenuData"/>
      <sheetName val="目录"/>
      <sheetName val="SUMMARY"/>
      <sheetName val="LOCAL RATES"/>
      <sheetName val="SUmmary-RMZ"/>
      <sheetName val="RMZ Summary"/>
      <sheetName val="Fin Sum"/>
      <sheetName val="Rate analysis"/>
      <sheetName val="Rate Analysis "/>
      <sheetName val="Cd"/>
      <sheetName val="Cs"/>
      <sheetName val="CPIPE"/>
      <sheetName val="THK"/>
      <sheetName val="CPIPE 1"/>
      <sheetName val="RECAPITULATION"/>
      <sheetName val="TBAL9697 -group wise  sdpl"/>
      <sheetName val="CABLE DATA"/>
      <sheetName val="tie beam"/>
      <sheetName val="Civil Boq"/>
      <sheetName val="Field Values"/>
      <sheetName val="x-items"/>
      <sheetName val="Final_appd_PSE"/>
      <sheetName val="MA"/>
      <sheetName val="Abstract Sheet"/>
      <sheetName val="INDEX"/>
      <sheetName val="AREAS"/>
      <sheetName val="환율"/>
      <sheetName val="Sheet3"/>
      <sheetName val="BOQ_SERENO"/>
      <sheetName val="Labour"/>
      <sheetName val="INPUT-DATA1"/>
      <sheetName val="Conditions"/>
      <sheetName val="P&amp;L-BDMC"/>
      <sheetName val="Inc.St.-Link"/>
      <sheetName val="Basement Budget"/>
      <sheetName val="ELEC_BOQ"/>
      <sheetName val="p&amp;m"/>
      <sheetName val="Extern Plaster2 cote  ODC-5"/>
      <sheetName val="COLUMN"/>
      <sheetName val="8200AOC"/>
      <sheetName val="labour coeff"/>
      <sheetName val="Non-Factory"/>
      <sheetName val="PART-A"/>
      <sheetName val="PART-B"/>
      <sheetName val="PART-C"/>
      <sheetName val="Part D"/>
      <sheetName val="PART- E"/>
      <sheetName val="PART - F"/>
      <sheetName val="Costing"/>
      <sheetName val="Fill this out first___"/>
      <sheetName val="FORM-W3"/>
      <sheetName val="Sheet1"/>
      <sheetName val="Delhi"/>
      <sheetName val="RA"/>
      <sheetName val="AK-Offertstammblatt"/>
      <sheetName val="공장별판관비배부"/>
      <sheetName val="Deduction of assets"/>
      <sheetName val="DP"/>
      <sheetName val="INDORAMA Group June 02"/>
      <sheetName val="M B-QtyRecn"/>
      <sheetName val="PARTY DETAILS"/>
      <sheetName val="Branch Power"/>
      <sheetName val="Distrib"/>
      <sheetName val="Emergency"/>
      <sheetName val="Equipment"/>
      <sheetName val="Lighting"/>
      <sheetName val="IO LIST"/>
      <sheetName val="NLD - Assum"/>
      <sheetName val="PRECAST lightconc-II"/>
      <sheetName val="Final Summary"/>
      <sheetName val="Build-up"/>
      <sheetName val="Occ, Other Rev, Exp, Dispo"/>
      <sheetName val="monitoring-breakup Feb02"/>
      <sheetName val="Variation Statement"/>
      <sheetName val="calcul"/>
      <sheetName val="main"/>
      <sheetName val="Rising Main"/>
      <sheetName val="Voucher"/>
      <sheetName val="Block A - BOQ"/>
      <sheetName val="Headings"/>
      <sheetName val="INPUT SHEET"/>
      <sheetName val="RES-PLANNING"/>
      <sheetName val="RATE.XLS"/>
      <sheetName val="Rate analysis civil"/>
      <sheetName val="Formwork"/>
      <sheetName val="Flooring"/>
      <sheetName val="PointNo.5"/>
      <sheetName val="Sheet4"/>
      <sheetName val="Cable-data"/>
      <sheetName val="Rate"/>
      <sheetName val="Results"/>
      <sheetName val="PLGroupings"/>
      <sheetName val="PARAMETRES"/>
      <sheetName val="INTERIOR"/>
      <sheetName val="월선수금"/>
      <sheetName val="Column L1 to L2"/>
      <sheetName val="Column L2 to L3"/>
      <sheetName val="BEAM"/>
      <sheetName val="RAMP 3"/>
      <sheetName val="RAMP 1"/>
      <sheetName val="staircase"/>
      <sheetName val="R_Wall"/>
      <sheetName val="Column B1 to L1"/>
      <sheetName val="Slab L1"/>
      <sheetName val="Slab L2"/>
      <sheetName val="Invoice"/>
      <sheetName val="Staff Acco."/>
      <sheetName val="Lists"/>
      <sheetName val="Footing PCC"/>
      <sheetName val="Invoice28(wd)"/>
      <sheetName val="BHANDUP"/>
      <sheetName val="Bed Class"/>
      <sheetName val="Footing"/>
      <sheetName val="REPAIR&amp; MAINT"/>
      <sheetName val="RA_markate"/>
      <sheetName val="Detail"/>
      <sheetName val="grid"/>
      <sheetName val="PHY STOCK APRIL 08"/>
      <sheetName val="Variables_x"/>
      <sheetName val="Variables"/>
      <sheetName val="SITE OVERHEADS"/>
      <sheetName val="MASONARY "/>
      <sheetName val="TS-TC"/>
      <sheetName val="7 Other Costs"/>
      <sheetName val="BOQ-Tower"/>
      <sheetName val="Assumptions"/>
      <sheetName val="reference"/>
      <sheetName val="Stress Calculation"/>
      <sheetName val="face_sheet"/>
      <sheetName val="Indirect_cost"/>
      <sheetName val="BOQ_Direct_selling_cost"/>
      <sheetName val="Plant_Cost"/>
      <sheetName val="Labour_productivity"/>
      <sheetName val="schedule_nos"/>
      <sheetName val="SPT_vs_PHI"/>
      <sheetName val="RCC,Ret__Wall"/>
      <sheetName val="Fill_this_out_first___"/>
      <sheetName val="Basement_Budget"/>
      <sheetName val="Project_Budget_Worksheet"/>
      <sheetName val="Fill_this_out_first___1"/>
      <sheetName val="Extern_Plaster2_cote__ODC-5"/>
      <sheetName val="PC_Master_List"/>
      <sheetName val="BOQ-_A-Civil_Works"/>
      <sheetName val="Rate_analysis"/>
      <sheetName val="final_abstract"/>
      <sheetName val="Tender_Summary"/>
      <sheetName val="10__&amp;_11__Rate_Code_&amp;_BQ"/>
      <sheetName val="Desgn(zone_I)"/>
      <sheetName val="WORK_TABLE"/>
      <sheetName val="Break_up_Sheet"/>
      <sheetName val="Inc_St_-Link"/>
      <sheetName val="CABLE_DATA"/>
      <sheetName val="Civil_Boq"/>
      <sheetName val="Abstract_Sheet"/>
      <sheetName val="Field_Values"/>
      <sheetName val="labour_coeff"/>
      <sheetName val="Part_D"/>
      <sheetName val="PART-_E"/>
      <sheetName val="PART_-_F"/>
      <sheetName val="LOCAL_RATES"/>
      <sheetName val="CPIPE_1"/>
      <sheetName val="Rate_Analysis_"/>
      <sheetName val="tie_beam"/>
      <sheetName val="RMZ_Summary"/>
      <sheetName val="Fin_Sum"/>
      <sheetName val="TBAL9697_-group_wise__sdpl"/>
      <sheetName val="Deduction_of_assets"/>
      <sheetName val="PRECAST_lightconc-II"/>
      <sheetName val="Occ,_Other_Rev,_Exp,_Dispo"/>
      <sheetName val="monitoring-breakup_Feb02"/>
      <sheetName val="Variation_Statement"/>
      <sheetName val="Column_L1_to_L2"/>
      <sheetName val="Column_L2_to_L3"/>
      <sheetName val="RAMP_3"/>
      <sheetName val="RAMP_1"/>
      <sheetName val="Column_B1_to_L1"/>
      <sheetName val="Slab_L1"/>
      <sheetName val="Slab_L2"/>
      <sheetName val="Staff_Acco_"/>
      <sheetName val="IO_List"/>
      <sheetName val="Final_Summary"/>
      <sheetName val="PointNo_5"/>
      <sheetName val="Footing_PCC"/>
      <sheetName val="NLD_-_Assum"/>
      <sheetName val="Stress_Calculation"/>
      <sheetName val="face_sheet1"/>
      <sheetName val="Indirect_cost1"/>
      <sheetName val="BOQ_Direct_selling_cost1"/>
      <sheetName val="Plant_Cost1"/>
      <sheetName val="Labour_productivity1"/>
      <sheetName val="schedule_nos1"/>
      <sheetName val="SPT_vs_PHI1"/>
      <sheetName val="RCC,Ret__Wall1"/>
      <sheetName val="Fill_this_out_first___2"/>
      <sheetName val="Basement_Budget1"/>
      <sheetName val="Project_Budget_Worksheet1"/>
      <sheetName val="Fill_this_out_first___3"/>
      <sheetName val="Extern_Plaster2_cote__ODC-51"/>
      <sheetName val="PC_Master_List1"/>
      <sheetName val="BOQ-_A-Civil_Works1"/>
      <sheetName val="Rate_analysis1"/>
      <sheetName val="final_abstract1"/>
      <sheetName val="Tender_Summary1"/>
      <sheetName val="10__&amp;_11__Rate_Code_&amp;_BQ1"/>
      <sheetName val="Desgn(zone_I)1"/>
      <sheetName val="WORK_TABLE1"/>
      <sheetName val="Break_up_Sheet1"/>
      <sheetName val="Inc_St_-Link1"/>
      <sheetName val="CABLE_DATA1"/>
      <sheetName val="Civil_Boq1"/>
      <sheetName val="Abstract_Sheet1"/>
      <sheetName val="Field_Values1"/>
      <sheetName val="labour_coeff1"/>
      <sheetName val="Part_D1"/>
      <sheetName val="PART-_E1"/>
      <sheetName val="PART_-_F1"/>
      <sheetName val="LOCAL_RATES1"/>
      <sheetName val="CPIPE_11"/>
      <sheetName val="Rate_Analysis_1"/>
      <sheetName val="tie_beam1"/>
      <sheetName val="RMZ_Summary1"/>
      <sheetName val="Fin_Sum1"/>
      <sheetName val="TBAL9697_-group_wise__sdpl1"/>
      <sheetName val="Deduction_of_assets1"/>
      <sheetName val="PRECAST_lightconc-II1"/>
      <sheetName val="Occ,_Other_Rev,_Exp,_Dispo1"/>
      <sheetName val="monitoring-breakup_Feb021"/>
      <sheetName val="Variation_Statement1"/>
      <sheetName val="Column_L1_to_L21"/>
      <sheetName val="Column_L2_to_L31"/>
      <sheetName val="RAMP_31"/>
      <sheetName val="RAMP_11"/>
      <sheetName val="Column_B1_to_L11"/>
      <sheetName val="Slab_L11"/>
      <sheetName val="Slab_L21"/>
      <sheetName val="Staff_Acco_1"/>
      <sheetName val="IO_List1"/>
      <sheetName val="Final_Summary1"/>
      <sheetName val="PointNo_51"/>
      <sheetName val="Footing_PCC1"/>
      <sheetName val="NLD_-_Assum1"/>
      <sheetName val="Stress_Calculation1"/>
      <sheetName val="Apr1-9"/>
      <sheetName val="Kalidas Majundar PH III"/>
      <sheetName val="S.K.DAS PH III"/>
      <sheetName val="Arjun Yadav III"/>
      <sheetName val="J.K.Pal PH-01"/>
      <sheetName val="Bhola Ram PHIII"/>
      <sheetName val="mahadev mandal"/>
      <sheetName val="S.K Farazddin"/>
      <sheetName val="S.K Maity ph iii"/>
      <sheetName val="ROHIT KUMAR-III"/>
      <sheetName val="Mohan Sahu"/>
      <sheetName val="Punit Sha-III"/>
      <sheetName val="Hajirula Islam"/>
      <sheetName val="Prabhakar Pradhan-III"/>
      <sheetName val="Rosibabu PH III"/>
      <sheetName val="Manoj Kumar III"/>
      <sheetName val="Analysis"/>
      <sheetName val="face_sheet2"/>
      <sheetName val="Indirect_cost2"/>
      <sheetName val="BOQ_Direct_selling_cost2"/>
      <sheetName val="Plant_Cost2"/>
      <sheetName val="Labour_productivity2"/>
      <sheetName val="schedule_nos2"/>
      <sheetName val="Fill_this_out_first___4"/>
      <sheetName val="SPT_vs_PHI2"/>
      <sheetName val="RCC,Ret__Wall2"/>
      <sheetName val="Basement_Budget2"/>
      <sheetName val="Rate_analysis2"/>
      <sheetName val="PC_Master_List2"/>
      <sheetName val="Tender_Summary2"/>
      <sheetName val="Civil_Boq2"/>
      <sheetName val="Project_Budget_Worksheet2"/>
      <sheetName val="Break_up_Sheet2"/>
      <sheetName val="Fill_this_out_first___5"/>
      <sheetName val="Extern_Plaster2_cote__ODC-52"/>
      <sheetName val="BOQ-_A-Civil_Works2"/>
      <sheetName val="final_abstract2"/>
      <sheetName val="10__&amp;_11__Rate_Code_&amp;_BQ2"/>
      <sheetName val="Desgn(zone_I)2"/>
      <sheetName val="WORK_TABLE2"/>
      <sheetName val="Inc_St_-Link2"/>
      <sheetName val="CABLE_DATA2"/>
      <sheetName val="Abstract_Sheet2"/>
      <sheetName val="Field_Values2"/>
      <sheetName val="labour_coeff2"/>
      <sheetName val="Part_D2"/>
      <sheetName val="PART-_E2"/>
      <sheetName val="PART_-_F2"/>
      <sheetName val="LOCAL_RATES2"/>
      <sheetName val="CPIPE_12"/>
      <sheetName val="Rate_Analysis_2"/>
      <sheetName val="tie_beam2"/>
      <sheetName val="RMZ_Summary2"/>
      <sheetName val="Fin_Sum2"/>
      <sheetName val="TBAL9697_-group_wise__sdpl2"/>
      <sheetName val="Deduction_of_assets2"/>
      <sheetName val="PRECAST_lightconc-II2"/>
      <sheetName val="Occ,_Other_Rev,_Exp,_Dispo2"/>
      <sheetName val="monitoring-breakup_Feb022"/>
      <sheetName val="Variation_Statement2"/>
      <sheetName val="Column_L1_to_L22"/>
      <sheetName val="Column_L2_to_L32"/>
      <sheetName val="RAMP_32"/>
      <sheetName val="RAMP_12"/>
      <sheetName val="Column_B1_to_L12"/>
      <sheetName val="Slab_L12"/>
      <sheetName val="Slab_L22"/>
      <sheetName val="Staff_Acco_2"/>
      <sheetName val="Footing_PCC2"/>
      <sheetName val="Final_Summary2"/>
      <sheetName val="IO_List2"/>
      <sheetName val="PointNo_52"/>
      <sheetName val="NLD_-_Assum2"/>
      <sheetName val="Stress_Calculation2"/>
      <sheetName val="face_sheet3"/>
      <sheetName val="Indirect_cost3"/>
      <sheetName val="BOQ_Direct_selling_cost3"/>
      <sheetName val="Plant_Cost3"/>
      <sheetName val="Labour_productivity3"/>
      <sheetName val="schedule_nos3"/>
      <sheetName val="Fill_this_out_first___6"/>
      <sheetName val="SPT_vs_PHI3"/>
      <sheetName val="RCC,Ret__Wall3"/>
      <sheetName val="Basement_Budget3"/>
      <sheetName val="Rate_analysis3"/>
      <sheetName val="PC_Master_List3"/>
      <sheetName val="Tender_Summary3"/>
      <sheetName val="Civil_Boq3"/>
      <sheetName val="Project_Budget_Worksheet3"/>
      <sheetName val="Break_up_Sheet3"/>
      <sheetName val="Fill_this_out_first___7"/>
      <sheetName val="Extern_Plaster2_cote__ODC-53"/>
      <sheetName val="BOQ-_A-Civil_Works3"/>
      <sheetName val="final_abstract3"/>
      <sheetName val="10__&amp;_11__Rate_Code_&amp;_BQ3"/>
      <sheetName val="Desgn(zone_I)3"/>
      <sheetName val="WORK_TABLE3"/>
      <sheetName val="Inc_St_-Link3"/>
      <sheetName val="CABLE_DATA3"/>
      <sheetName val="Abstract_Sheet3"/>
      <sheetName val="Field_Values3"/>
      <sheetName val="labour_coeff3"/>
      <sheetName val="Part_D3"/>
      <sheetName val="PART-_E3"/>
      <sheetName val="PART_-_F3"/>
      <sheetName val="LOCAL_RATES3"/>
      <sheetName val="CPIPE_13"/>
      <sheetName val="Rate_Analysis_3"/>
      <sheetName val="tie_beam3"/>
      <sheetName val="RMZ_Summary3"/>
      <sheetName val="Fin_Sum3"/>
      <sheetName val="TBAL9697_-group_wise__sdpl3"/>
      <sheetName val="Deduction_of_assets3"/>
      <sheetName val="PRECAST_lightconc-II3"/>
      <sheetName val="Occ,_Other_Rev,_Exp,_Dispo3"/>
      <sheetName val="monitoring-breakup_Feb023"/>
      <sheetName val="Variation_Statement3"/>
      <sheetName val="Column_L1_to_L23"/>
      <sheetName val="Column_L2_to_L33"/>
      <sheetName val="RAMP_33"/>
      <sheetName val="RAMP_13"/>
      <sheetName val="Column_B1_to_L13"/>
      <sheetName val="Slab_L13"/>
      <sheetName val="Slab_L23"/>
      <sheetName val="Staff_Acco_3"/>
      <sheetName val="Footing_PCC3"/>
      <sheetName val="Final_Summary3"/>
      <sheetName val="IO_List3"/>
      <sheetName val="PointNo_53"/>
      <sheetName val="NLD_-_Assum3"/>
      <sheetName val="Stress_Calculation3"/>
      <sheetName val="Bed_Class"/>
      <sheetName val="REPAIR&amp;_MAINT"/>
      <sheetName val="MASONARY_"/>
      <sheetName val="Branch_Power"/>
      <sheetName val="INDORAMA_Group_June_02"/>
      <sheetName val="INPUT_SHEET"/>
      <sheetName val="RATE_XLS"/>
      <sheetName val="Rate_analysis_civil"/>
      <sheetName val="Site_BQ"/>
      <sheetName val="RAJU ASSO"/>
      <sheetName val="India F&amp;S Template"/>
      <sheetName val="Cash Flow"/>
      <sheetName val="VF Full Recon"/>
      <sheetName val="Summary WG"/>
      <sheetName val="Data"/>
      <sheetName val="estimate"/>
      <sheetName val="1.01 (a)"/>
      <sheetName val="mem-property"/>
      <sheetName val="9. Package split - Cost "/>
      <sheetName val="Basic Rates"/>
      <sheetName val="Pile cap"/>
      <sheetName val="Material "/>
      <sheetName val="pol-60"/>
      <sheetName val="Progress"/>
      <sheetName val="GPL_Monthly_CF"/>
      <sheetName val="2gii"/>
      <sheetName val="Labour &amp; Plant"/>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refreshError="1"/>
      <sheetData sheetId="358" refreshError="1"/>
      <sheetData sheetId="359" refreshError="1"/>
      <sheetData sheetId="360" refreshError="1"/>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struction"/>
      <sheetName val="Summary2"/>
      <sheetName val="Other Costs"/>
      <sheetName val="FitOut"/>
      <sheetName val="SUMMARY"/>
      <sheetName val="procurement contingency"/>
      <sheetName val="Chart1"/>
      <sheetName val="Sheet2"/>
      <sheetName val="(1) Construction"/>
      <sheetName val="(2) Furniture"/>
      <sheetName val="(3) AV"/>
      <sheetName val="(4) Fees"/>
      <sheetName val="(5) On Costs"/>
      <sheetName val="(6) Cont"/>
      <sheetName val="(7) Retail Contribution"/>
      <sheetName val="(8) VAT"/>
      <sheetName val="(9) IT"/>
      <sheetName val="(10) VAT"/>
      <sheetName val="Cashflow"/>
      <sheetName val="Commitment Schedule"/>
      <sheetName val="Modified Store"/>
      <sheetName val="Boq"/>
      <sheetName val="RA-markate"/>
      <sheetName val="Civil Boq"/>
      <sheetName val="BOQ_Direct_selling cost"/>
      <sheetName val="Controls"/>
      <sheetName val="Basement Budget"/>
      <sheetName val="switch"/>
      <sheetName val="Assump_Input"/>
      <sheetName val="Economics"/>
      <sheetName val="TI"/>
      <sheetName val="Other_Costs"/>
      <sheetName val="procurement_contingency"/>
      <sheetName val="(1)_Construction"/>
      <sheetName val="(2)_Furniture"/>
      <sheetName val="(3)_AV"/>
      <sheetName val="(4)_Fees"/>
      <sheetName val="(5)_On_Costs"/>
      <sheetName val="(6)_Cont"/>
      <sheetName val="(7)_Retail_Contribution"/>
      <sheetName val="(8)_VAT"/>
      <sheetName val="(9)_IT"/>
      <sheetName val="(10)_VAT"/>
      <sheetName val="Commitment_Schedule"/>
      <sheetName val="Other_Costs1"/>
      <sheetName val="procurement_contingency1"/>
      <sheetName val="(1)_Construction1"/>
      <sheetName val="(2)_Furniture1"/>
      <sheetName val="(3)_AV1"/>
      <sheetName val="(4)_Fees1"/>
      <sheetName val="(5)_On_Costs1"/>
      <sheetName val="(6)_Cont1"/>
      <sheetName val="(7)_Retail_Contribution1"/>
      <sheetName val="(8)_VAT1"/>
      <sheetName val="(9)_IT1"/>
      <sheetName val="(10)_VAT1"/>
      <sheetName val="Commitment_Schedule1"/>
      <sheetName val="Site Dev BOQ"/>
      <sheetName val="Model"/>
      <sheetName val="CONSTRUCTION COMPONENT"/>
      <sheetName val="Fill this out first..."/>
      <sheetName val="Register"/>
      <sheetName val="Arch"/>
      <sheetName val="THK"/>
      <sheetName val="Intro"/>
      <sheetName val="Validation Data"/>
      <sheetName val="Tender Settlement"/>
      <sheetName val="Other_Costs2"/>
      <sheetName val="procurement_contingency2"/>
      <sheetName val="(1)_Construction2"/>
      <sheetName val="(2)_Furniture2"/>
      <sheetName val="(3)_AV2"/>
      <sheetName val="(4)_Fees2"/>
      <sheetName val="(5)_On_Costs2"/>
      <sheetName val="(6)_Cont2"/>
      <sheetName val="(7)_Retail_Contribution2"/>
      <sheetName val="(8)_VAT2"/>
      <sheetName val="(9)_IT2"/>
      <sheetName val="(10)_VAT2"/>
      <sheetName val="Commitment_Schedule2"/>
      <sheetName val="Validation_Data"/>
      <sheetName val="Sch__Areas"/>
      <sheetName val="CASHFL1"/>
      <sheetName val="Sch. Areas"/>
      <sheetName val="CBS"/>
      <sheetName val="Cat A Change Control"/>
      <sheetName val="예산서"/>
      <sheetName val="BSD (2)"/>
      <sheetName val="정부노임단가"/>
      <sheetName val="1-1"/>
      <sheetName val="MainSheet"/>
      <sheetName val="NPV"/>
      <sheetName val="Basis"/>
      <sheetName val="w't table"/>
      <sheetName val="1"/>
      <sheetName val="Data"/>
      <sheetName val=" Summary base bid"/>
      <sheetName val="6 - Sum"/>
      <sheetName val="5486"/>
      <sheetName val="Prelims value"/>
      <sheetName val="Summary year Plan"/>
      <sheetName val="Sheet1"/>
      <sheetName val="InputPO_Del"/>
      <sheetName val="Control"/>
      <sheetName val="Risk Levels"/>
      <sheetName val="Other_Costs3"/>
      <sheetName val="procurement_contingency3"/>
      <sheetName val="(1)_Construction3"/>
      <sheetName val="(2)_Furniture3"/>
      <sheetName val="(3)_AV3"/>
      <sheetName val="(4)_Fees3"/>
      <sheetName val="(5)_On_Costs3"/>
      <sheetName val="(6)_Cont3"/>
      <sheetName val="(7)_Retail_Contribution3"/>
      <sheetName val="(8)_VAT3"/>
      <sheetName val="(9)_IT3"/>
      <sheetName val="(10)_VAT3"/>
      <sheetName val="Commitment_Schedule3"/>
      <sheetName val="analysis-superstructure"/>
      <sheetName val="Timesheet"/>
      <sheetName val="WP Financial Summary"/>
      <sheetName val="BACKUP DATA"/>
      <sheetName val="Legend"/>
      <sheetName val="IO LIST"/>
      <sheetName val="S&amp;C"/>
      <sheetName val="Cover"/>
      <sheetName val="Headings"/>
      <sheetName val="VARIABLE"/>
      <sheetName val="starter"/>
      <sheetName val="SP Break Up"/>
      <sheetName val="Chennai"/>
      <sheetName val="Customize Your Purchase Order"/>
      <sheetName val="DetEst"/>
      <sheetName val="labour"/>
      <sheetName val="Deprec."/>
      <sheetName val="Chennai 450"/>
      <sheetName val="sq ftg detail"/>
      <sheetName val="lookup"/>
      <sheetName val="analysis"/>
      <sheetName val="Beam at Ground flr lvl(Steel)"/>
      <sheetName val="Building 1"/>
      <sheetName val="IO Count Diag"/>
      <sheetName val="Customize Your Invoice"/>
      <sheetName val="Appendix A.2"/>
      <sheetName val="TBAL9697 -group wise  sdpl"/>
      <sheetName val="organi synthesis lab"/>
      <sheetName val="OC 17-04-06"/>
      <sheetName val="Cash Flow Forecast"/>
      <sheetName val="Cash Flow Fees Breakdown"/>
      <sheetName val="Orig Budget Cash Flow Forecast"/>
      <sheetName val="Graph"/>
      <sheetName val="item"/>
      <sheetName val="Wordsdata"/>
      <sheetName val="预算"/>
      <sheetName val="Indices"/>
      <sheetName val="HEAD"/>
      <sheetName val="재1"/>
      <sheetName val="Data sheet"/>
      <sheetName val="13. Steel - Ratio"/>
      <sheetName val="d-safe specs"/>
      <sheetName val="Input"/>
      <sheetName val="GD"/>
      <sheetName val="Calc_ISC"/>
    </sheetNames>
    <sheetDataSet>
      <sheetData sheetId="0" refreshError="1"/>
      <sheetData sheetId="1"/>
      <sheetData sheetId="2"/>
      <sheetData sheetId="3"/>
      <sheetData sheetId="4"/>
      <sheetData sheetId="5"/>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vil Boq"/>
      <sheetName val="Calculations"/>
      <sheetName val="List"/>
      <sheetName val="Pre-cast"/>
      <sheetName val="SPT vs PHI"/>
      <sheetName val="Design"/>
      <sheetName val="Boq"/>
      <sheetName val="ANALYSIS"/>
      <sheetName val="T1037 Entire School"/>
      <sheetName val="std.wt."/>
      <sheetName val="RA-markate"/>
      <sheetName val="Pile cap"/>
      <sheetName val="Material "/>
      <sheetName val="Pur"/>
      <sheetName val="Summary"/>
      <sheetName val="Chandrawal -1"/>
      <sheetName val="policies"/>
      <sheetName val="HDD"/>
      <sheetName val="Works"/>
      <sheetName val="FUSION"/>
      <sheetName val="OFC-Design"/>
      <sheetName val="PCS"/>
      <sheetName val="ETC"/>
      <sheetName val="Guide VAT_ED_Credit"/>
      <sheetName val="JTS"/>
      <sheetName val="AMC &amp; O&amp;M"/>
      <sheetName val="JTS Costing"/>
      <sheetName val="Instructions"/>
      <sheetName val="switch"/>
      <sheetName val="BOQ_Direct_selling cost"/>
      <sheetName val="dummy"/>
      <sheetName val="Staff Forecast spread"/>
      <sheetName val="149"/>
      <sheetName val="E1"/>
      <sheetName val="PIpe Pushing"/>
      <sheetName val="Civil_Boq"/>
      <sheetName val="d-safe specs"/>
      <sheetName val="sept-plan"/>
      <sheetName val="moments-table(tri)"/>
      <sheetName val="floor slab-RS2"/>
      <sheetName val="THK"/>
      <sheetName val="General Summary"/>
      <sheetName val="+X &amp; -X DIR PRE"/>
      <sheetName val="conc-foot-gradeslab"/>
      <sheetName val="RES-PLANNING"/>
      <sheetName val="Pay_Sep06"/>
      <sheetName val="Sheet4"/>
      <sheetName val="Main-Material"/>
      <sheetName val="Break up Sheet"/>
      <sheetName val="Civil_Boq1"/>
      <sheetName val="SPT_vs_PHI"/>
      <sheetName val="std_wt_"/>
      <sheetName val="Pile_cap"/>
      <sheetName val="Material_"/>
      <sheetName val="Chandrawal_-1"/>
      <sheetName val="Guide_VAT_ED_Credit"/>
      <sheetName val="AMC_&amp;_O&amp;M"/>
      <sheetName val="JTS_Costing"/>
      <sheetName val="PRECAST lightconc-II"/>
      <sheetName val="girder"/>
      <sheetName val="13. Steel - Ratio"/>
      <sheetName val="Footings"/>
      <sheetName val="WPR-IV"/>
      <sheetName val="Labour productivity"/>
      <sheetName val="Supplier"/>
      <sheetName val="CABLE DATA"/>
      <sheetName val="organi synthesis lab"/>
      <sheetName val="INPUT SHEET"/>
      <sheetName val="Extra Item"/>
      <sheetName val="Fill this out first..."/>
      <sheetName val="Lead"/>
      <sheetName val="Labour &amp; Plant"/>
      <sheetName val="Project Budget Worksheet"/>
      <sheetName val="TASKRSRC (2)"/>
      <sheetName val="TARGET"/>
      <sheetName val="BASELINE"/>
      <sheetName val="Notes"/>
      <sheetName val="Fin Sum"/>
      <sheetName val="shuttering"/>
      <sheetName val="FORM7"/>
      <sheetName val="GBW"/>
      <sheetName val="2.1 受電設備棟"/>
      <sheetName val="2.2 受・防火水槽"/>
      <sheetName val="2.3 排水処理設備棟"/>
      <sheetName val="2.4 倉庫棟"/>
      <sheetName val="2.5 守衛棟"/>
      <sheetName val="UNIT2"/>
      <sheetName val="DETAIL SHEET"/>
      <sheetName val="Abstract Sheet"/>
      <sheetName val="Legal Risk Analysis"/>
      <sheetName val="COLUMN"/>
      <sheetName val="V.O.4 - PCC Qty"/>
      <sheetName val="Field Values"/>
      <sheetName val="TBAL9697 -group wise  sdpl"/>
      <sheetName val="BOQ -II ph 2"/>
      <sheetName val="p&amp;m"/>
      <sheetName val="Detail"/>
      <sheetName val="PointNo.5"/>
      <sheetName val="Sheet1"/>
      <sheetName val="1.01 (a)"/>
      <sheetName val="RMZ Summary"/>
      <sheetName val="d-safe DELUXE"/>
      <sheetName val="Balance sheet"/>
      <sheetName val="MainSheet"/>
      <sheetName val="Employee List"/>
      <sheetName val="BOQ fire proofing"/>
      <sheetName val="Input"/>
      <sheetName val="RCC,Ret. Wall"/>
      <sheetName val="LABOUR"/>
      <sheetName val="Plant Cost"/>
      <sheetName val="spool"/>
      <sheetName val="STAFFSCHED "/>
      <sheetName val="dBase"/>
      <sheetName val="PRECAST lightconc_II"/>
      <sheetName val="Voucher"/>
      <sheetName val="Basement Budget"/>
      <sheetName val="IO LIST"/>
      <sheetName val="Aseet1998"/>
      <sheetName val="PC Master List"/>
      <sheetName val="Storage"/>
      <sheetName val="foot"/>
      <sheetName val="3-3(750)"/>
      <sheetName val="Calc1"/>
      <sheetName val="cubes_M20"/>
      <sheetName val="P&amp;L-BDMC"/>
      <sheetName val="RECAPITULATION"/>
      <sheetName val="WWR"/>
      <sheetName val="Equipment"/>
      <sheetName val="Vehicles"/>
      <sheetName val="VCH-SLC"/>
      <sheetName val="except wiring"/>
      <sheetName val="3cd Annexure"/>
      <sheetName val="AOR"/>
      <sheetName val="Costing"/>
      <sheetName val="ORDER BOOKING"/>
      <sheetName val="Cal"/>
      <sheetName val="Data"/>
      <sheetName val="Boiler&amp;TG"/>
      <sheetName val="Macro1"/>
      <sheetName val="labour coeff"/>
      <sheetName val="Electrical"/>
      <sheetName val=" "/>
      <sheetName val="Build-up"/>
      <sheetName val="x-items"/>
      <sheetName val="BOQ_Direct_selling_cost"/>
      <sheetName val="Staff_Forecast_spread"/>
      <sheetName val="floor_slab-RS2"/>
      <sheetName val="PRECAST_lightconc-II"/>
      <sheetName val="PIpe_Pushing"/>
      <sheetName val="d-safe_specs"/>
      <sheetName val="Labour_productivity"/>
      <sheetName val="BOQ (2)"/>
      <sheetName val="main"/>
      <sheetName val="COST"/>
      <sheetName val="Site Dev BOQ"/>
      <sheetName val="Calc_ISC"/>
      <sheetName val="Names&amp;Cases"/>
      <sheetName val="10. &amp; 11. Rate Code &amp; BQ"/>
      <sheetName val="analysis-superstructure"/>
      <sheetName val="loadcal"/>
      <sheetName val="Construction"/>
      <sheetName val="Scope Reconciliation"/>
      <sheetName val="tower"/>
      <sheetName val="AK-Offertstammblatt"/>
      <sheetName val="Current Bill MB ref"/>
      <sheetName val="NT LBH"/>
      <sheetName val="Tender Summary"/>
      <sheetName val="Sheet2"/>
      <sheetName val="BOQ_SERENO"/>
      <sheetName val="Site wise NADs"/>
      <sheetName val="Sheet3"/>
      <sheetName val="LANGUAGE"/>
      <sheetName val="Activity Costing Breakup"/>
      <sheetName val="Unit Rate(CIS)"/>
      <sheetName val="Conc Analysis"/>
      <sheetName val="Basic "/>
      <sheetName val="Back-UP IRA (CIS)"/>
      <sheetName val="Precast IRA"/>
      <sheetName val="Precast IRA Backup"/>
      <sheetName val="Precast RA"/>
      <sheetName val="Summary year Plan"/>
      <sheetName val="Project Details.."/>
      <sheetName val="Top Line - WWW"/>
      <sheetName val="1st and 4th flight"/>
      <sheetName val="Cover sheet"/>
      <sheetName val="Desgn(zone I)"/>
      <sheetName val="Summary_Bank"/>
      <sheetName val="Non-Factory"/>
      <sheetName val="Invoice"/>
      <sheetName val="POI_MASTER_1"/>
      <sheetName val="BOQ "/>
      <sheetName val="Flooring"/>
      <sheetName val="ELEC_BOQ"/>
      <sheetName val="M.S."/>
      <sheetName val="INPUT_SHEET"/>
      <sheetName val="Wire"/>
      <sheetName val="Publicbuilding"/>
      <sheetName val="Depreciation Calc"/>
      <sheetName val="Mat_Cost"/>
      <sheetName val="purpose&amp;input"/>
      <sheetName val="Staff Acco."/>
      <sheetName val="Rate analysis"/>
      <sheetName val="SC revtrgt"/>
      <sheetName val="b.s.-p.l.-sch."/>
      <sheetName val="Factors"/>
      <sheetName val="@Risk Inputs"/>
      <sheetName val="Block A - BOQ"/>
      <sheetName val="Fee Rate Summary"/>
      <sheetName val="beam-reinft"/>
      <sheetName val="Risk &amp; Opportunities"/>
      <sheetName val="nglrpt042964858"/>
      <sheetName val="Trial Bal"/>
      <sheetName val="目录"/>
      <sheetName val="Detailed Summary (5)"/>
      <sheetName val="Final Summary"/>
      <sheetName val="BOQ Distribution"/>
      <sheetName val="Sheet 1"/>
      <sheetName val="CLform"/>
      <sheetName val="T&amp;M"/>
      <sheetName val="Chandrawal_-11"/>
      <sheetName val="Guide_VAT_ED_Credit1"/>
      <sheetName val="AMC_&amp;_O&amp;M1"/>
      <sheetName val="JTS_Costing1"/>
      <sheetName val="SPT_vs_PHI1"/>
      <sheetName val="std_wt_1"/>
      <sheetName val="Material_1"/>
      <sheetName val="Pile_cap1"/>
      <sheetName val="d-safe_specs1"/>
      <sheetName val="CABLE_DATA"/>
      <sheetName val="CFForecast detail"/>
      <sheetName val="Calc"/>
      <sheetName val="master"/>
      <sheetName val="lookups"/>
      <sheetName val="월선수금"/>
      <sheetName val="OHT_Abs"/>
      <sheetName val="radar"/>
      <sheetName val="E &amp; R"/>
      <sheetName val="final abstract"/>
      <sheetName val="BS Schdl- 1 &amp; 2"/>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HEAD"/>
      <sheetName val="Mat &amp; Lab Rate"/>
      <sheetName val="RA_EIL"/>
      <sheetName val="RA_MKT_QUOTE"/>
      <sheetName val="Assmpns"/>
      <sheetName val="Intro."/>
      <sheetName val="Cul_detail"/>
      <sheetName val="1_Project_Profile"/>
      <sheetName val="Approved MTD Proj #'s"/>
      <sheetName val="L3"/>
      <sheetName val="st"/>
      <sheetName val="Section Catalogue"/>
      <sheetName val=" WORKING"/>
      <sheetName val="Cashflow projection"/>
      <sheetName val="inWords"/>
      <sheetName val="RateAnalysis"/>
      <sheetName val="ORDER_BOOKING"/>
      <sheetName val="Data-Month"/>
      <sheetName val="Column Bracket"/>
      <sheetName val="M.R.List (2)"/>
      <sheetName val="Sqn_Abs _G_1"/>
      <sheetName val="Assumptions"/>
      <sheetName val="Inter unit set off"/>
      <sheetName val="FORM-W3"/>
      <sheetName val="sq ftg detail"/>
      <sheetName val="lookup"/>
      <sheetName val="Database"/>
      <sheetName val="Final Bill of Material"/>
      <sheetName val="Micro"/>
      <sheetName val="Macro"/>
      <sheetName val="Scaff-Rose"/>
      <sheetName val="wordsdata"/>
      <sheetName val="Abstract - Single Line"/>
      <sheetName val="mem-property"/>
      <sheetName val="Civil_Boq2"/>
      <sheetName val="BOQ_Direct_selling_cost1"/>
      <sheetName val="Staff_Forecast_spread1"/>
      <sheetName val="floor_slab-RS21"/>
      <sheetName val="General_Summary"/>
      <sheetName val="+X_&amp;_-X_DIR_PRE"/>
      <sheetName val="PIpe_Pushing1"/>
      <sheetName val="Break_up_Sheet"/>
      <sheetName val="PRECAST_lightconc-II1"/>
      <sheetName val="Labour_productivity1"/>
      <sheetName val="13__Steel_-_Ratio"/>
      <sheetName val="2_1_受電設備棟"/>
      <sheetName val="2_2_受・防火水槽"/>
      <sheetName val="2_3_排水処理設備棟"/>
      <sheetName val="2_4_倉庫棟"/>
      <sheetName val="2_5_守衛棟"/>
      <sheetName val="Abstract_Sheet"/>
      <sheetName val="Plant_Cost"/>
      <sheetName val="DETAIL_SHEET"/>
      <sheetName val="INPUT_SHEET1"/>
      <sheetName val="Extra_Item"/>
      <sheetName val="Fill_this_out_first___"/>
      <sheetName val="Labour_&amp;_Plant"/>
      <sheetName val="Project_Budget_Worksheet"/>
      <sheetName val="TASKRSRC_(2)"/>
      <sheetName val="organi_synthesis_lab"/>
      <sheetName val="Legal_Risk_Analysis"/>
      <sheetName val="V_O_4_-_PCC_Qty"/>
      <sheetName val="Field_Values"/>
      <sheetName val="TBAL9697_-group_wise__sdpl"/>
      <sheetName val="BOQ_-II_ph_2"/>
      <sheetName val="PointNo_5"/>
      <sheetName val="1_01_(a)"/>
      <sheetName val="d-safe_DELUXE"/>
      <sheetName val="Site_wise_NADs"/>
      <sheetName val="T1037_Entire_School"/>
      <sheetName val="PC_Master_List"/>
      <sheetName val="Balance_sheet"/>
      <sheetName val="SC_revtrgt"/>
      <sheetName val="Fin_Sum"/>
      <sheetName val="BOQ_fire_proofing"/>
      <sheetName val="RCC,Ret__Wall"/>
      <sheetName val="_"/>
      <sheetName val="RMZ_Summary"/>
      <sheetName val="Employee_List"/>
      <sheetName val="STAFFSCHED_"/>
      <sheetName val="PRECAST_lightconc_II"/>
      <sheetName val="Basement_Budget"/>
      <sheetName val="IO_LIST"/>
      <sheetName val="except_wiring"/>
      <sheetName val="3cd_Annexure"/>
      <sheetName val="BOQ_(2)"/>
      <sheetName val="Site_Dev_BOQ"/>
      <sheetName val="1st_and_4th_flight"/>
      <sheetName val="Cover_sheet"/>
      <sheetName val="labour_coeff"/>
      <sheetName val="Fee_Rate_Summary"/>
      <sheetName val="Rate_analysis"/>
      <sheetName val="Tender_Summary"/>
      <sheetName val="10__&amp;_11__Rate_Code_&amp;_BQ"/>
      <sheetName val="Scope_Reconciliation"/>
      <sheetName val="Current_Bill_MB_ref"/>
      <sheetName val="NT_LBH"/>
      <sheetName val="Activity_Costing_Breakup"/>
      <sheetName val="Unit_Rate(CIS)"/>
      <sheetName val="Conc_Analysis"/>
      <sheetName val="Basic_"/>
      <sheetName val="Back-UP_IRA_(CIS)"/>
      <sheetName val="Precast_IRA"/>
      <sheetName val="Precast_IRA_Backup"/>
      <sheetName val="Precast_RA"/>
      <sheetName val="Summary_year_Plan"/>
      <sheetName val="Desgn(zone_I)"/>
      <sheetName val="Project_Details__"/>
      <sheetName val="Top_Line_-_WWW"/>
      <sheetName val="Depreciation_Calc"/>
      <sheetName val="Staff_Acco_"/>
      <sheetName val="Trial_Bal"/>
      <sheetName val="Detailed_Summary_(5)"/>
      <sheetName val="Block_A_-_BOQ"/>
      <sheetName val="b_s_-p_l_-sch_"/>
      <sheetName val="M_S_"/>
      <sheetName val="Final_Summary"/>
      <sheetName val="Civil_Boq3"/>
      <sheetName val="SPT_vs_PHI2"/>
      <sheetName val="std_wt_2"/>
      <sheetName val="Material_2"/>
      <sheetName val="Chandrawal_-12"/>
      <sheetName val="Guide_VAT_ED_Credit2"/>
      <sheetName val="AMC_&amp;_O&amp;M2"/>
      <sheetName val="JTS_Costing2"/>
      <sheetName val="Pile_cap2"/>
      <sheetName val="BOQ_Direct_selling_cost2"/>
      <sheetName val="Staff_Forecast_spread2"/>
      <sheetName val="floor_slab-RS22"/>
      <sheetName val="General_Summary1"/>
      <sheetName val="+X_&amp;_-X_DIR_PRE1"/>
      <sheetName val="PIpe_Pushing2"/>
      <sheetName val="Break_up_Sheet1"/>
      <sheetName val="PRECAST_lightconc-II2"/>
      <sheetName val="d-safe_specs2"/>
      <sheetName val="Labour_productivity2"/>
      <sheetName val="13__Steel_-_Ratio1"/>
      <sheetName val="2_1_受電設備棟1"/>
      <sheetName val="2_2_受・防火水槽1"/>
      <sheetName val="2_3_排水処理設備棟1"/>
      <sheetName val="2_4_倉庫棟1"/>
      <sheetName val="2_5_守衛棟1"/>
      <sheetName val="Abstract_Sheet1"/>
      <sheetName val="Plant_Cost1"/>
      <sheetName val="DETAIL_SHEET1"/>
      <sheetName val="CABLE_DATA1"/>
      <sheetName val="INPUT_SHEET2"/>
      <sheetName val="Extra_Item1"/>
      <sheetName val="Fill_this_out_first___1"/>
      <sheetName val="Labour_&amp;_Plant1"/>
      <sheetName val="Project_Budget_Worksheet1"/>
      <sheetName val="TASKRSRC_(2)1"/>
      <sheetName val="organi_synthesis_lab1"/>
      <sheetName val="Legal_Risk_Analysis1"/>
      <sheetName val="V_O_4_-_PCC_Qty1"/>
      <sheetName val="Field_Values1"/>
      <sheetName val="TBAL9697_-group_wise__sdpl1"/>
      <sheetName val="BOQ_-II_ph_21"/>
      <sheetName val="PointNo_51"/>
      <sheetName val="1_01_(a)1"/>
      <sheetName val="d-safe_DELUXE1"/>
      <sheetName val="Site_wise_NADs1"/>
      <sheetName val="T1037_Entire_School1"/>
      <sheetName val="PC_Master_List1"/>
      <sheetName val="Balance_sheet1"/>
      <sheetName val="SC_revtrgt1"/>
      <sheetName val="Fin_Sum1"/>
      <sheetName val="BOQ_fire_proofing1"/>
      <sheetName val="RCC,Ret__Wall1"/>
      <sheetName val="_1"/>
      <sheetName val="RMZ_Summary1"/>
      <sheetName val="Employee_List1"/>
      <sheetName val="STAFFSCHED_1"/>
      <sheetName val="PRECAST_lightconc_II1"/>
      <sheetName val="Basement_Budget1"/>
      <sheetName val="IO_LIST1"/>
      <sheetName val="ORDER_BOOKING1"/>
      <sheetName val="except_wiring1"/>
      <sheetName val="3cd_Annexure1"/>
      <sheetName val="BOQ_(2)1"/>
      <sheetName val="Site_Dev_BOQ1"/>
      <sheetName val="1st_and_4th_flight1"/>
      <sheetName val="Cover_sheet1"/>
      <sheetName val="labour_coeff1"/>
      <sheetName val="Fee_Rate_Summary1"/>
      <sheetName val="Rate_analysis1"/>
      <sheetName val="Tender_Summary1"/>
      <sheetName val="10__&amp;_11__Rate_Code_&amp;_BQ1"/>
      <sheetName val="Scope_Reconciliation1"/>
      <sheetName val="Current_Bill_MB_ref1"/>
      <sheetName val="NT_LBH1"/>
      <sheetName val="Activity_Costing_Breakup1"/>
      <sheetName val="Unit_Rate(CIS)1"/>
      <sheetName val="Conc_Analysis1"/>
      <sheetName val="Basic_1"/>
      <sheetName val="Back-UP_IRA_(CIS)1"/>
      <sheetName val="Precast_IRA1"/>
      <sheetName val="Precast_IRA_Backup1"/>
      <sheetName val="Precast_RA1"/>
      <sheetName val="Summary_year_Plan1"/>
      <sheetName val="Desgn(zone_I)1"/>
      <sheetName val="Project_Details__1"/>
      <sheetName val="Top_Line_-_WWW1"/>
      <sheetName val="Depreciation_Calc1"/>
      <sheetName val="Staff_Acco_1"/>
      <sheetName val="Trial_Bal1"/>
      <sheetName val="Detailed_Summary_(5)1"/>
      <sheetName val="Block_A_-_BOQ1"/>
      <sheetName val="b_s_-p_l_-sch_1"/>
      <sheetName val="M_S_1"/>
      <sheetName val="Final_Summary1"/>
      <sheetName val="SILICATE"/>
      <sheetName val="rev 01"/>
      <sheetName val="Table10"/>
      <sheetName val="Table11"/>
      <sheetName val="Table12"/>
      <sheetName val="Table9"/>
      <sheetName val="3"/>
      <sheetName val="Global factors"/>
      <sheetName val="환율"/>
      <sheetName val="Register"/>
      <sheetName val="R.A"/>
      <sheetName val="Labor abs-NMR"/>
      <sheetName val="Purlin(7m)"/>
      <sheetName val="IS3370"/>
      <sheetName val="IS456"/>
      <sheetName val="CIF COST ITEM"/>
      <sheetName val="Measur"/>
      <sheetName val="LTG-STG"/>
      <sheetName val="Pay Rec"/>
      <sheetName val="Certificate"/>
      <sheetName val="Advice"/>
      <sheetName val="9. Package split - Cost "/>
      <sheetName val="AR"/>
      <sheetName val="DG3285"/>
      <sheetName val="RFP002"/>
      <sheetName val="Material Rate"/>
      <sheetName val="GUT"/>
      <sheetName val="Controls"/>
      <sheetName val="Analy_7-10"/>
      <sheetName val="BOQ-Part1"/>
      <sheetName val="@Risk_Inputs"/>
      <sheetName val="final_abstract"/>
      <sheetName val="BS_Schdl-_1_&amp;_2"/>
      <sheetName val="PM_Action_"/>
      <sheetName val="PE_Status"/>
      <sheetName val="Major_Events_"/>
      <sheetName val="Crtitical_Issues"/>
      <sheetName val="Fault_Statistics"/>
      <sheetName val="Ageing_Pending__CLeared"/>
      <sheetName val="Fault_Cleared_After_24Hrs"/>
      <sheetName val="BOQ_"/>
      <sheetName val="Risk_&amp;_Opportunities"/>
      <sheetName val="E_&amp;_R"/>
      <sheetName val="Mat_&amp;_Lab_Rate"/>
      <sheetName val="CFForecast_detail"/>
      <sheetName val="Intro_"/>
      <sheetName val="BOQ_Distribution"/>
      <sheetName val="sq_ftg_detail"/>
      <sheetName val="Sheet_1"/>
      <sheetName val="SPT_vs_PHI3"/>
      <sheetName val="std_wt_3"/>
      <sheetName val="Material_3"/>
      <sheetName val="Chandrawal_-13"/>
      <sheetName val="Guide_VAT_ED_Credit3"/>
      <sheetName val="AMC_&amp;_O&amp;M3"/>
      <sheetName val="JTS_Costing3"/>
      <sheetName val="Pile_cap3"/>
      <sheetName val="d-safe_specs3"/>
      <sheetName val="CABLE_DATA2"/>
      <sheetName val="@Risk_Inputs1"/>
      <sheetName val="final_abstract1"/>
      <sheetName val="BS_Schdl-_1_&amp;_21"/>
      <sheetName val="PM_Action_1"/>
      <sheetName val="PE_Status1"/>
      <sheetName val="Major_Events_1"/>
      <sheetName val="Crtitical_Issues1"/>
      <sheetName val="Fault_Statistics1"/>
      <sheetName val="Ageing_Pending__CLeared1"/>
      <sheetName val="Fault_Cleared_After_24Hrs1"/>
      <sheetName val="BOQ_1"/>
      <sheetName val="Risk_&amp;_Opportunities1"/>
      <sheetName val="E_&amp;_R1"/>
      <sheetName val="Mat_&amp;_Lab_Rate1"/>
      <sheetName val="CFForecast_detail1"/>
      <sheetName val="Intro_1"/>
      <sheetName val="BOQ_Distribution1"/>
      <sheetName val="sq_ftg_detail1"/>
      <sheetName val="Sheet_11"/>
      <sheetName val="Civil_Boq4"/>
      <sheetName val="SPT_vs_PHI4"/>
      <sheetName val="std_wt_4"/>
      <sheetName val="Material_4"/>
      <sheetName val="Chandrawal_-14"/>
      <sheetName val="Guide_VAT_ED_Credit4"/>
      <sheetName val="AMC_&amp;_O&amp;M4"/>
      <sheetName val="JTS_Costing4"/>
      <sheetName val="Pile_cap4"/>
      <sheetName val="BOQ_Direct_selling_cost3"/>
      <sheetName val="Staff_Forecast_spread3"/>
      <sheetName val="floor_slab-RS23"/>
      <sheetName val="General_Summary2"/>
      <sheetName val="+X_&amp;_-X_DIR_PRE2"/>
      <sheetName val="PIpe_Pushing3"/>
      <sheetName val="Break_up_Sheet2"/>
      <sheetName val="PRECAST_lightconc-II3"/>
      <sheetName val="Labour_productivity3"/>
      <sheetName val="13__Steel_-_Ratio2"/>
      <sheetName val="2_1_受電設備棟2"/>
      <sheetName val="2_2_受・防火水槽2"/>
      <sheetName val="2_3_排水処理設備棟2"/>
      <sheetName val="2_4_倉庫棟2"/>
      <sheetName val="2_5_守衛棟2"/>
      <sheetName val="Abstract_Sheet2"/>
      <sheetName val="Plant_Cost2"/>
      <sheetName val="DETAIL_SHEET2"/>
      <sheetName val="INPUT_SHEET3"/>
      <sheetName val="Extra_Item2"/>
      <sheetName val="Fill_this_out_first___2"/>
      <sheetName val="Labour_&amp;_Plant2"/>
      <sheetName val="Project_Budget_Worksheet2"/>
      <sheetName val="TASKRSRC_(2)2"/>
      <sheetName val="organi_synthesis_lab2"/>
      <sheetName val="Legal_Risk_Analysis2"/>
      <sheetName val="V_O_4_-_PCC_Qty2"/>
      <sheetName val="Field_Values2"/>
      <sheetName val="TBAL9697_-group_wise__sdpl2"/>
      <sheetName val="BOQ_-II_ph_22"/>
      <sheetName val="PointNo_52"/>
      <sheetName val="1_01_(a)2"/>
      <sheetName val="d-safe_DELUXE2"/>
      <sheetName val="Site_wise_NADs2"/>
      <sheetName val="T1037_Entire_School2"/>
      <sheetName val="PC_Master_List2"/>
      <sheetName val="Balance_sheet2"/>
      <sheetName val="SC_revtrgt2"/>
      <sheetName val="Fin_Sum2"/>
      <sheetName val="BOQ_fire_proofing2"/>
      <sheetName val="RCC,Ret__Wall2"/>
      <sheetName val="_2"/>
      <sheetName val="RMZ_Summary2"/>
      <sheetName val="Employee_List2"/>
      <sheetName val="STAFFSCHED_2"/>
      <sheetName val="PRECAST_lightconc_II2"/>
      <sheetName val="Basement_Budget2"/>
      <sheetName val="IO_LIST2"/>
      <sheetName val="ORDER_BOOKING2"/>
      <sheetName val="except_wiring2"/>
      <sheetName val="3cd_Annexure2"/>
      <sheetName val="BOQ_(2)2"/>
      <sheetName val="Site_Dev_BOQ2"/>
      <sheetName val="1st_and_4th_flight2"/>
      <sheetName val="Cover_sheet2"/>
      <sheetName val="Fee_Rate_Summary2"/>
      <sheetName val="Rate_analysis2"/>
      <sheetName val="labour_coeff2"/>
      <sheetName val="Tender_Summary2"/>
      <sheetName val="10__&amp;_11__Rate_Code_&amp;_BQ2"/>
      <sheetName val="Scope_Reconciliation2"/>
      <sheetName val="Current_Bill_MB_ref2"/>
      <sheetName val="NT_LBH2"/>
      <sheetName val="Activity_Costing_Breakup2"/>
      <sheetName val="Unit_Rate(CIS)2"/>
      <sheetName val="Conc_Analysis2"/>
      <sheetName val="Basic_2"/>
      <sheetName val="Back-UP_IRA_(CIS)2"/>
      <sheetName val="Precast_IRA2"/>
      <sheetName val="Precast_IRA_Backup2"/>
      <sheetName val="Precast_RA2"/>
      <sheetName val="Summary_year_Plan2"/>
      <sheetName val="Desgn(zone_I)2"/>
      <sheetName val="Project_Details__2"/>
      <sheetName val="Top_Line_-_WWW2"/>
      <sheetName val="Depreciation_Calc2"/>
      <sheetName val="Staff_Acco_2"/>
      <sheetName val="Trial_Bal2"/>
      <sheetName val="Detailed_Summary_(5)2"/>
      <sheetName val="Block_A_-_BOQ2"/>
      <sheetName val="b_s_-p_l_-sch_2"/>
      <sheetName val="M_S_2"/>
      <sheetName val="Final_Summary2"/>
      <sheetName val="rev_01"/>
      <sheetName val="M_R_List_(2)"/>
      <sheetName val="Global_factors"/>
      <sheetName val="R_A"/>
      <sheetName val="COMP WALL"/>
      <sheetName val="Rising Main"/>
      <sheetName val="keyword"/>
      <sheetName val="Rob. elektr."/>
      <sheetName val="strand"/>
      <sheetName val="Cor_01Br6_8"/>
      <sheetName val="Abstract"/>
      <sheetName val="d-safe_specs4"/>
      <sheetName val="CABLE_DATA3"/>
      <sheetName val="@Risk_Inputs2"/>
      <sheetName val="final_abstract2"/>
      <sheetName val="BS_Schdl-_1_&amp;_22"/>
      <sheetName val="PM_Action_2"/>
      <sheetName val="PE_Status2"/>
      <sheetName val="Major_Events_2"/>
      <sheetName val="Crtitical_Issues2"/>
      <sheetName val="Fault_Statistics2"/>
      <sheetName val="Ageing_Pending__CLeared2"/>
      <sheetName val="Fault_Cleared_After_24Hrs2"/>
      <sheetName val="BOQ_2"/>
      <sheetName val="Risk_&amp;_Opportunities2"/>
      <sheetName val="E_&amp;_R2"/>
      <sheetName val="Mat_&amp;_Lab_Rate2"/>
      <sheetName val="CFForecast_detail2"/>
      <sheetName val="Intro_2"/>
      <sheetName val="BOQ_Distribution2"/>
      <sheetName val="sq_ftg_detail2"/>
      <sheetName val="Sheet_12"/>
      <sheetName val="Civil_Boq5"/>
      <sheetName val="SPT_vs_PHI5"/>
      <sheetName val="std_wt_5"/>
      <sheetName val="Material_5"/>
      <sheetName val="Chandrawal_-15"/>
      <sheetName val="Guide_VAT_ED_Credit5"/>
      <sheetName val="AMC_&amp;_O&amp;M5"/>
      <sheetName val="JTS_Costing5"/>
      <sheetName val="Pile_cap5"/>
      <sheetName val="BOQ_Direct_selling_cost4"/>
      <sheetName val="Staff_Forecast_spread4"/>
      <sheetName val="floor_slab-RS24"/>
      <sheetName val="General_Summary3"/>
      <sheetName val="+X_&amp;_-X_DIR_PRE3"/>
      <sheetName val="PIpe_Pushing4"/>
      <sheetName val="d-safe_specs5"/>
      <sheetName val="Break_up_Sheet3"/>
      <sheetName val="13__Steel_-_Ratio3"/>
      <sheetName val="PRECAST_lightconc-II4"/>
      <sheetName val="Labour_productivity4"/>
      <sheetName val="TASKRSRC_(2)3"/>
      <sheetName val="CABLE_DATA4"/>
      <sheetName val="INPUT_SHEET4"/>
      <sheetName val="Extra_Item3"/>
      <sheetName val="Fill_this_out_first___3"/>
      <sheetName val="Labour_&amp;_Plant3"/>
      <sheetName val="Project_Budget_Worksheet3"/>
      <sheetName val="Abstract_Sheet3"/>
      <sheetName val="Legal_Risk_Analysis3"/>
      <sheetName val="V_O_4_-_PCC_Qty3"/>
      <sheetName val="Field_Values3"/>
      <sheetName val="TBAL9697_-group_wise__sdpl3"/>
      <sheetName val="BOQ_-II_ph_23"/>
      <sheetName val="DETAIL_SHEET3"/>
      <sheetName val="organi_synthesis_lab3"/>
      <sheetName val="Fin_Sum3"/>
      <sheetName val="2_1_受電設備棟3"/>
      <sheetName val="2_2_受・防火水槽3"/>
      <sheetName val="2_3_排水処理設備棟3"/>
      <sheetName val="2_4_倉庫棟3"/>
      <sheetName val="2_5_守衛棟3"/>
      <sheetName val="PointNo_53"/>
      <sheetName val="1_01_(a)3"/>
      <sheetName val="T1037_Entire_School3"/>
      <sheetName val="RMZ_Summary3"/>
      <sheetName val="d-safe_DELUXE3"/>
      <sheetName val="Employee_List3"/>
      <sheetName val="Balance_sheet3"/>
      <sheetName val="BOQ_fire_proofing3"/>
      <sheetName val="RCC,Ret__Wall3"/>
      <sheetName val="Plant_Cost3"/>
      <sheetName val="STAFFSCHED_3"/>
      <sheetName val="PRECAST_lightconc_II3"/>
      <sheetName val="Basement_Budget3"/>
      <sheetName val="IO_LIST3"/>
      <sheetName val="PC_Master_List3"/>
      <sheetName val="ORDER_BOOKING3"/>
      <sheetName val="except_wiring3"/>
      <sheetName val="3cd_Annexure3"/>
      <sheetName val="labour_coeff3"/>
      <sheetName val="10__&amp;_11__Rate_Code_&amp;_BQ3"/>
      <sheetName val="Scope_Reconciliation3"/>
      <sheetName val="_3"/>
      <sheetName val="BOQ_(2)3"/>
      <sheetName val="Site_Dev_BOQ3"/>
      <sheetName val="Current_Bill_MB_ref3"/>
      <sheetName val="NT_LBH3"/>
      <sheetName val="Desgn(zone_I)3"/>
      <sheetName val="1st_and_4th_flight3"/>
      <sheetName val="Cover_sheet3"/>
      <sheetName val="Site_wise_NADs3"/>
      <sheetName val="Tender_Summary3"/>
      <sheetName val="Depreciation_Calc3"/>
      <sheetName val="Project_Details__3"/>
      <sheetName val="Top_Line_-_WWW3"/>
      <sheetName val="Activity_Costing_Breakup3"/>
      <sheetName val="Unit_Rate(CIS)3"/>
      <sheetName val="Conc_Analysis3"/>
      <sheetName val="Basic_3"/>
      <sheetName val="Back-UP_IRA_(CIS)3"/>
      <sheetName val="Precast_IRA3"/>
      <sheetName val="Precast_IRA_Backup3"/>
      <sheetName val="Precast_RA3"/>
      <sheetName val="Staff_Acco_3"/>
      <sheetName val="Block_A_-_BOQ3"/>
      <sheetName val="b_s_-p_l_-sch_3"/>
      <sheetName val="M_S_3"/>
      <sheetName val="Rate_analysis3"/>
      <sheetName val="Fee_Rate_Summary3"/>
      <sheetName val="@Risk_Inputs3"/>
      <sheetName val="final_abstract3"/>
      <sheetName val="BS_Schdl-_1_&amp;_23"/>
      <sheetName val="Summary_year_Plan3"/>
      <sheetName val="SC_revtrgt3"/>
      <sheetName val="PM_Action_3"/>
      <sheetName val="PE_Status3"/>
      <sheetName val="Major_Events_3"/>
      <sheetName val="Crtitical_Issues3"/>
      <sheetName val="Fault_Statistics3"/>
      <sheetName val="Ageing_Pending__CLeared3"/>
      <sheetName val="Fault_Cleared_After_24Hrs3"/>
      <sheetName val="BOQ_3"/>
      <sheetName val="Risk_&amp;_Opportunities3"/>
      <sheetName val="E_&amp;_R3"/>
      <sheetName val="Mat_&amp;_Lab_Rate3"/>
      <sheetName val="CFForecast_detail3"/>
      <sheetName val="Intro_3"/>
      <sheetName val="BOQ_Distribution3"/>
      <sheetName val="Trial_Bal3"/>
      <sheetName val="Detailed_Summary_(5)3"/>
      <sheetName val="Final_Summary3"/>
      <sheetName val="sq_ftg_detail3"/>
      <sheetName val="Sheet_13"/>
      <sheetName val="Civil_Boq6"/>
      <sheetName val="SPT_vs_PHI6"/>
      <sheetName val="std_wt_6"/>
      <sheetName val="Material_6"/>
      <sheetName val="Chandrawal_-16"/>
      <sheetName val="Guide_VAT_ED_Credit6"/>
      <sheetName val="AMC_&amp;_O&amp;M6"/>
      <sheetName val="JTS_Costing6"/>
      <sheetName val="Pile_cap6"/>
      <sheetName val="BOQ_Direct_selling_cost5"/>
      <sheetName val="Staff_Forecast_spread5"/>
      <sheetName val="floor_slab-RS25"/>
      <sheetName val="General_Summary4"/>
      <sheetName val="+X_&amp;_-X_DIR_PRE4"/>
      <sheetName val="PIpe_Pushing5"/>
      <sheetName val="d-safe_specs6"/>
      <sheetName val="Break_up_Sheet4"/>
      <sheetName val="13__Steel_-_Ratio4"/>
      <sheetName val="PRECAST_lightconc-II5"/>
      <sheetName val="Labour_productivity5"/>
      <sheetName val="TASKRSRC_(2)4"/>
      <sheetName val="CABLE_DATA5"/>
      <sheetName val="INPUT_SHEET5"/>
      <sheetName val="Extra_Item4"/>
      <sheetName val="Fill_this_out_first___4"/>
      <sheetName val="Labour_&amp;_Plant4"/>
      <sheetName val="Project_Budget_Worksheet4"/>
      <sheetName val="Abstract_Sheet4"/>
      <sheetName val="Legal_Risk_Analysis4"/>
      <sheetName val="V_O_4_-_PCC_Qty4"/>
      <sheetName val="Field_Values4"/>
      <sheetName val="TBAL9697_-group_wise__sdpl4"/>
      <sheetName val="BOQ_-II_ph_24"/>
      <sheetName val="DETAIL_SHEET4"/>
      <sheetName val="organi_synthesis_lab4"/>
      <sheetName val="Fin_Sum4"/>
      <sheetName val="2_1_受電設備棟4"/>
      <sheetName val="2_2_受・防火水槽4"/>
      <sheetName val="2_3_排水処理設備棟4"/>
      <sheetName val="2_4_倉庫棟4"/>
      <sheetName val="2_5_守衛棟4"/>
      <sheetName val="PointNo_54"/>
      <sheetName val="1_01_(a)4"/>
      <sheetName val="T1037_Entire_School4"/>
      <sheetName val="RMZ_Summary4"/>
      <sheetName val="d-safe_DELUXE4"/>
      <sheetName val="Employee_List4"/>
      <sheetName val="Balance_sheet4"/>
      <sheetName val="BOQ_fire_proofing4"/>
      <sheetName val="RCC,Ret__Wall4"/>
      <sheetName val="Plant_Cost4"/>
      <sheetName val="STAFFSCHED_4"/>
      <sheetName val="PRECAST_lightconc_II4"/>
      <sheetName val="Basement_Budget4"/>
      <sheetName val="IO_LIST4"/>
      <sheetName val="PC_Master_List4"/>
      <sheetName val="ORDER_BOOKING4"/>
      <sheetName val="except_wiring4"/>
      <sheetName val="3cd_Annexure4"/>
      <sheetName val="labour_coeff4"/>
      <sheetName val="10__&amp;_11__Rate_Code_&amp;_BQ4"/>
      <sheetName val="Scope_Reconciliation4"/>
      <sheetName val="_4"/>
      <sheetName val="BOQ_(2)4"/>
      <sheetName val="Site_Dev_BOQ4"/>
      <sheetName val="Current_Bill_MB_ref4"/>
      <sheetName val="NT_LBH4"/>
      <sheetName val="Desgn(zone_I)4"/>
      <sheetName val="1st_and_4th_flight4"/>
      <sheetName val="Cover_sheet4"/>
      <sheetName val="Site_wise_NADs4"/>
      <sheetName val="Tender_Summary4"/>
      <sheetName val="Depreciation_Calc4"/>
      <sheetName val="Project_Details__4"/>
      <sheetName val="Top_Line_-_WWW4"/>
      <sheetName val="Activity_Costing_Breakup4"/>
      <sheetName val="Unit_Rate(CIS)4"/>
      <sheetName val="Conc_Analysis4"/>
      <sheetName val="Basic_4"/>
      <sheetName val="Back-UP_IRA_(CIS)4"/>
      <sheetName val="Precast_IRA4"/>
      <sheetName val="Precast_IRA_Backup4"/>
      <sheetName val="Precast_RA4"/>
      <sheetName val="Staff_Acco_4"/>
      <sheetName val="Block_A_-_BOQ4"/>
      <sheetName val="b_s_-p_l_-sch_4"/>
      <sheetName val="M_S_4"/>
      <sheetName val="Rate_analysis4"/>
      <sheetName val="Fee_Rate_Summary4"/>
      <sheetName val="@Risk_Inputs4"/>
      <sheetName val="final_abstract4"/>
      <sheetName val="BS_Schdl-_1_&amp;_24"/>
      <sheetName val="Summary_year_Plan4"/>
      <sheetName val="SC_revtrgt4"/>
      <sheetName val="PM_Action_4"/>
      <sheetName val="PE_Status4"/>
      <sheetName val="Major_Events_4"/>
      <sheetName val="Crtitical_Issues4"/>
      <sheetName val="Fault_Statistics4"/>
      <sheetName val="Ageing_Pending__CLeared4"/>
      <sheetName val="Fault_Cleared_After_24Hrs4"/>
      <sheetName val="BOQ_4"/>
      <sheetName val="Risk_&amp;_Opportunities4"/>
      <sheetName val="E_&amp;_R4"/>
      <sheetName val="Mat_&amp;_Lab_Rate4"/>
      <sheetName val="CFForecast_detail4"/>
      <sheetName val="Intro_4"/>
      <sheetName val="BOQ_Distribution4"/>
      <sheetName val="Trial_Bal4"/>
      <sheetName val="Detailed_Summary_(5)4"/>
      <sheetName val="Final_Summary4"/>
      <sheetName val="sq_ftg_detail4"/>
      <sheetName val="Sheet_14"/>
      <sheetName val="Abstract_-_Single_Line"/>
      <sheetName val="Section_Catalogue"/>
      <sheetName val="Final_Bill_of_Material"/>
      <sheetName val="Civil_Boq7"/>
      <sheetName val="SPT_vs_PHI7"/>
      <sheetName val="std_wt_7"/>
      <sheetName val="Material_7"/>
      <sheetName val="Chandrawal_-17"/>
      <sheetName val="Guide_VAT_ED_Credit7"/>
      <sheetName val="AMC_&amp;_O&amp;M7"/>
      <sheetName val="JTS_Costing7"/>
      <sheetName val="Pile_cap7"/>
      <sheetName val="BOQ_Direct_selling_cost6"/>
      <sheetName val="Staff_Forecast_spread6"/>
      <sheetName val="floor_slab-RS26"/>
      <sheetName val="General_Summary5"/>
      <sheetName val="+X_&amp;_-X_DIR_PRE5"/>
      <sheetName val="PIpe_Pushing6"/>
      <sheetName val="d-safe_specs7"/>
      <sheetName val="Break_up_Sheet5"/>
      <sheetName val="13__Steel_-_Ratio5"/>
      <sheetName val="PRECAST_lightconc-II6"/>
      <sheetName val="Labour_productivity6"/>
      <sheetName val="TASKRSRC_(2)5"/>
      <sheetName val="CABLE_DATA6"/>
      <sheetName val="INPUT_SHEET6"/>
      <sheetName val="Extra_Item5"/>
      <sheetName val="Fill_this_out_first___5"/>
      <sheetName val="Labour_&amp;_Plant5"/>
      <sheetName val="Project_Budget_Worksheet5"/>
      <sheetName val="Abstract_Sheet5"/>
      <sheetName val="Legal_Risk_Analysis5"/>
      <sheetName val="V_O_4_-_PCC_Qty5"/>
      <sheetName val="Field_Values5"/>
      <sheetName val="TBAL9697_-group_wise__sdpl5"/>
      <sheetName val="BOQ_-II_ph_25"/>
      <sheetName val="DETAIL_SHEET5"/>
      <sheetName val="organi_synthesis_lab5"/>
      <sheetName val="Fin_Sum5"/>
      <sheetName val="2_1_受電設備棟5"/>
      <sheetName val="2_2_受・防火水槽5"/>
      <sheetName val="2_3_排水処理設備棟5"/>
      <sheetName val="2_4_倉庫棟5"/>
      <sheetName val="2_5_守衛棟5"/>
      <sheetName val="PointNo_55"/>
      <sheetName val="1_01_(a)5"/>
      <sheetName val="T1037_Entire_School5"/>
      <sheetName val="RMZ_Summary5"/>
      <sheetName val="d-safe_DELUXE5"/>
      <sheetName val="Employee_List5"/>
      <sheetName val="Balance_sheet5"/>
      <sheetName val="BOQ_fire_proofing5"/>
      <sheetName val="RCC,Ret__Wall5"/>
      <sheetName val="Plant_Cost5"/>
      <sheetName val="STAFFSCHED_5"/>
      <sheetName val="PRECAST_lightconc_II5"/>
      <sheetName val="Basement_Budget5"/>
      <sheetName val="IO_LIST5"/>
      <sheetName val="PC_Master_List5"/>
      <sheetName val="ORDER_BOOKING5"/>
      <sheetName val="except_wiring5"/>
      <sheetName val="3cd_Annexure5"/>
      <sheetName val="labour_coeff5"/>
      <sheetName val="10__&amp;_11__Rate_Code_&amp;_BQ5"/>
      <sheetName val="Scope_Reconciliation5"/>
      <sheetName val="_5"/>
      <sheetName val="BOQ_(2)5"/>
      <sheetName val="Site_Dev_BOQ5"/>
      <sheetName val="Current_Bill_MB_ref5"/>
      <sheetName val="NT_LBH5"/>
      <sheetName val="Desgn(zone_I)5"/>
      <sheetName val="1st_and_4th_flight5"/>
      <sheetName val="Cover_sheet5"/>
      <sheetName val="Site_wise_NADs5"/>
      <sheetName val="Tender_Summary5"/>
      <sheetName val="Depreciation_Calc5"/>
      <sheetName val="Project_Details__5"/>
      <sheetName val="Top_Line_-_WWW5"/>
      <sheetName val="Activity_Costing_Breakup5"/>
      <sheetName val="Unit_Rate(CIS)5"/>
      <sheetName val="Conc_Analysis5"/>
      <sheetName val="Basic_5"/>
      <sheetName val="Back-UP_IRA_(CIS)5"/>
      <sheetName val="Precast_IRA5"/>
      <sheetName val="Precast_IRA_Backup5"/>
      <sheetName val="Precast_RA5"/>
      <sheetName val="Staff_Acco_5"/>
      <sheetName val="Block_A_-_BOQ5"/>
      <sheetName val="b_s_-p_l_-sch_5"/>
      <sheetName val="M_S_5"/>
      <sheetName val="Rate_analysis5"/>
      <sheetName val="Fee_Rate_Summary5"/>
      <sheetName val="@Risk_Inputs5"/>
      <sheetName val="final_abstract5"/>
      <sheetName val="BS_Schdl-_1_&amp;_25"/>
      <sheetName val="Summary_year_Plan5"/>
      <sheetName val="SC_revtrgt5"/>
      <sheetName val="PM_Action_5"/>
      <sheetName val="PE_Status5"/>
      <sheetName val="Major_Events_5"/>
      <sheetName val="Crtitical_Issues5"/>
      <sheetName val="Fault_Statistics5"/>
      <sheetName val="Ageing_Pending__CLeared5"/>
      <sheetName val="Fault_Cleared_After_24Hrs5"/>
      <sheetName val="BOQ_5"/>
      <sheetName val="Risk_&amp;_Opportunities5"/>
      <sheetName val="E_&amp;_R5"/>
      <sheetName val="Mat_&amp;_Lab_Rate5"/>
      <sheetName val="CFForecast_detail5"/>
      <sheetName val="Intro_5"/>
      <sheetName val="BOQ_Distribution5"/>
      <sheetName val="Trial_Bal5"/>
      <sheetName val="Detailed_Summary_(5)5"/>
      <sheetName val="Final_Summary5"/>
      <sheetName val="sq_ftg_detail5"/>
      <sheetName val="Sheet_15"/>
      <sheetName val="Abstract_-_Single_Line1"/>
      <sheetName val="Section_Catalogue1"/>
      <sheetName val="M_R_List_(2)1"/>
      <sheetName val="Final_Bill_of_Material1"/>
      <sheetName val="Civil_Boq8"/>
      <sheetName val="SPT_vs_PHI8"/>
      <sheetName val="std_wt_8"/>
      <sheetName val="Material_8"/>
      <sheetName val="Chandrawal_-18"/>
      <sheetName val="Guide_VAT_ED_Credit8"/>
      <sheetName val="AMC_&amp;_O&amp;M8"/>
      <sheetName val="JTS_Costing8"/>
      <sheetName val="Pile_cap8"/>
      <sheetName val="BOQ_Direct_selling_cost7"/>
      <sheetName val="Staff_Forecast_spread7"/>
      <sheetName val="floor_slab-RS27"/>
      <sheetName val="General_Summary6"/>
      <sheetName val="+X_&amp;_-X_DIR_PRE6"/>
      <sheetName val="PIpe_Pushing7"/>
      <sheetName val="d-safe_specs8"/>
      <sheetName val="Break_up_Sheet6"/>
      <sheetName val="13__Steel_-_Ratio6"/>
      <sheetName val="PRECAST_lightconc-II7"/>
      <sheetName val="Labour_productivity7"/>
      <sheetName val="TASKRSRC_(2)6"/>
      <sheetName val="CABLE_DATA7"/>
      <sheetName val="INPUT_SHEET7"/>
      <sheetName val="Extra_Item6"/>
      <sheetName val="Fill_this_out_first___6"/>
      <sheetName val="Labour_&amp;_Plant6"/>
      <sheetName val="Project_Budget_Worksheet6"/>
      <sheetName val="Abstract_Sheet6"/>
      <sheetName val="Legal_Risk_Analysis6"/>
      <sheetName val="V_O_4_-_PCC_Qty6"/>
      <sheetName val="Field_Values6"/>
      <sheetName val="TBAL9697_-group_wise__sdpl6"/>
      <sheetName val="BOQ_-II_ph_26"/>
      <sheetName val="DETAIL_SHEET6"/>
      <sheetName val="organi_synthesis_lab6"/>
      <sheetName val="Fin_Sum6"/>
      <sheetName val="2_1_受電設備棟6"/>
      <sheetName val="2_2_受・防火水槽6"/>
      <sheetName val="2_3_排水処理設備棟6"/>
      <sheetName val="2_4_倉庫棟6"/>
      <sheetName val="2_5_守衛棟6"/>
      <sheetName val="PointNo_56"/>
      <sheetName val="1_01_(a)6"/>
      <sheetName val="T1037_Entire_School6"/>
      <sheetName val="RMZ_Summary6"/>
      <sheetName val="d-safe_DELUXE6"/>
      <sheetName val="Employee_List6"/>
      <sheetName val="Balance_sheet6"/>
      <sheetName val="BOQ_fire_proofing6"/>
      <sheetName val="RCC,Ret__Wall6"/>
      <sheetName val="Plant_Cost6"/>
      <sheetName val="STAFFSCHED_6"/>
      <sheetName val="PRECAST_lightconc_II6"/>
      <sheetName val="Basement_Budget6"/>
      <sheetName val="IO_LIST6"/>
      <sheetName val="PC_Master_List6"/>
      <sheetName val="ORDER_BOOKING6"/>
      <sheetName val="except_wiring6"/>
      <sheetName val="3cd_Annexure6"/>
      <sheetName val="labour_coeff6"/>
      <sheetName val="10__&amp;_11__Rate_Code_&amp;_BQ6"/>
      <sheetName val="Scope_Reconciliation6"/>
      <sheetName val="_6"/>
      <sheetName val="BOQ_(2)6"/>
      <sheetName val="Site_Dev_BOQ6"/>
      <sheetName val="Current_Bill_MB_ref6"/>
      <sheetName val="NT_LBH6"/>
      <sheetName val="Desgn(zone_I)6"/>
      <sheetName val="1st_and_4th_flight6"/>
      <sheetName val="Cover_sheet6"/>
      <sheetName val="Site_wise_NADs6"/>
      <sheetName val="Tender_Summary6"/>
      <sheetName val="Depreciation_Calc6"/>
      <sheetName val="Project_Details__6"/>
      <sheetName val="Top_Line_-_WWW6"/>
      <sheetName val="Activity_Costing_Breakup6"/>
      <sheetName val="Unit_Rate(CIS)6"/>
      <sheetName val="Conc_Analysis6"/>
      <sheetName val="Basic_6"/>
      <sheetName val="Back-UP_IRA_(CIS)6"/>
      <sheetName val="Precast_IRA6"/>
      <sheetName val="Precast_IRA_Backup6"/>
      <sheetName val="Precast_RA6"/>
      <sheetName val="Staff_Acco_6"/>
      <sheetName val="Block_A_-_BOQ6"/>
      <sheetName val="b_s_-p_l_-sch_6"/>
      <sheetName val="M_S_6"/>
      <sheetName val="Rate_analysis6"/>
      <sheetName val="Fee_Rate_Summary6"/>
      <sheetName val="@Risk_Inputs6"/>
      <sheetName val="final_abstract6"/>
      <sheetName val="BS_Schdl-_1_&amp;_26"/>
      <sheetName val="Summary_year_Plan6"/>
      <sheetName val="SC_revtrgt6"/>
      <sheetName val="PM_Action_6"/>
      <sheetName val="PE_Status6"/>
      <sheetName val="Major_Events_6"/>
      <sheetName val="Crtitical_Issues6"/>
      <sheetName val="Fault_Statistics6"/>
      <sheetName val="Ageing_Pending__CLeared6"/>
      <sheetName val="Fault_Cleared_After_24Hrs6"/>
      <sheetName val="BOQ_6"/>
      <sheetName val="Risk_&amp;_Opportunities6"/>
      <sheetName val="E_&amp;_R6"/>
      <sheetName val="Mat_&amp;_Lab_Rate6"/>
      <sheetName val="CFForecast_detail6"/>
      <sheetName val="Intro_6"/>
      <sheetName val="BOQ_Distribution6"/>
      <sheetName val="Trial_Bal6"/>
      <sheetName val="Detailed_Summary_(5)6"/>
      <sheetName val="Final_Summary6"/>
      <sheetName val="sq_ftg_detail6"/>
      <sheetName val="Sheet_16"/>
      <sheetName val="Abstract_-_Single_Line2"/>
      <sheetName val="Section_Catalogue2"/>
      <sheetName val="M_R_List_(2)2"/>
      <sheetName val="Final_Bill_of_Material2"/>
      <sheetName val="OVER HEADS"/>
      <sheetName val="India F&amp;S Template"/>
      <sheetName val="PurchGroup"/>
      <sheetName val="SSR _ NSSR Market final"/>
      <sheetName val="Int(Ho con &amp; LH)"/>
      <sheetName val="Tie Beams "/>
      <sheetName val="KH-Q1,Q2,01"/>
      <sheetName val="Control"/>
      <sheetName val="FITZ MORT 94"/>
      <sheetName val="Basic Resources"/>
      <sheetName val="Rate An"/>
      <sheetName val="CASH-FLOW"/>
      <sheetName val="SALIENT"/>
      <sheetName val="Cd"/>
      <sheetName val="Cs"/>
      <sheetName val="CPIPE"/>
      <sheetName val="CPIPE 1"/>
      <sheetName val="civil"/>
      <sheetName val="Performance Report"/>
      <sheetName val="Generic Sum"/>
      <sheetName val="Equpt"/>
      <sheetName val="INTSHEET"/>
      <sheetName val="INTSHEET3"/>
      <sheetName val="RANGE"/>
      <sheetName val="Indices"/>
      <sheetName val="BASIS -DEC 08"/>
      <sheetName val="seT"/>
      <sheetName val="Equip Codes"/>
      <sheetName val="Form 6"/>
      <sheetName val="Back_Cal_for OMC"/>
      <sheetName val="UNIT WT LIST"/>
      <sheetName val="Sheet7"/>
      <sheetName val="Sub-str."/>
      <sheetName val="Variation Statement"/>
      <sheetName val="horizontal"/>
      <sheetName val="schedule nos"/>
      <sheetName val="Corbel"/>
      <sheetName val="30-3"/>
      <sheetName val="calcul"/>
      <sheetName val="Variables"/>
      <sheetName val="S0"/>
      <sheetName val="Basis"/>
      <sheetName val="Sanitary_BOQ"/>
      <sheetName val="parametry"/>
      <sheetName val="Headings"/>
      <sheetName val="ABB"/>
      <sheetName val="syndicate codes"/>
      <sheetName val="Rev. 00 - 20.07.04"/>
      <sheetName val="dyes"/>
      <sheetName val="UTILITY"/>
      <sheetName val="num-word"/>
      <sheetName val="Legend"/>
      <sheetName val="Approved_MTD_Proj_#'s"/>
      <sheetName val="_WORKING"/>
      <sheetName val="Cashflow_projection"/>
      <sheetName val="Sub-str_"/>
      <sheetName val="Variation_Statement"/>
      <sheetName val="Index"/>
      <sheetName val="A"/>
      <sheetName val="S1BOQ"/>
      <sheetName val="Estimate"/>
      <sheetName val="office"/>
      <sheetName val="Lab"/>
      <sheetName val="Material&amp;equipment"/>
      <sheetName val="WP Financial Summary"/>
      <sheetName val="BACKUP DATA"/>
      <sheetName val="sum-all"/>
      <sheetName val="SM DATA with National CBP price"/>
      <sheetName val="concrete"/>
      <sheetName val="Delhi"/>
      <sheetName val="Beam at Ground flr lvl(Steel)"/>
      <sheetName val="Page 2"/>
      <sheetName val="Rates"/>
      <sheetName val="Measurment"/>
      <sheetName val="DB_ET200(R. A)"/>
      <sheetName val="SIZING"/>
      <sheetName val="Testing"/>
      <sheetName val="손익현황"/>
      <sheetName val="현황CODE"/>
      <sheetName val="SP&amp;ST 제출가"/>
      <sheetName val="石炭性状"/>
      <sheetName val="가격분석@1100(990104)"/>
      <sheetName val="Escalation"/>
      <sheetName val="NCCALC11"/>
      <sheetName val="공정율 기초 Data"/>
      <sheetName val="제출계산서"/>
      <sheetName val="공사내역"/>
      <sheetName val=" Pricing_110512.xlsx"/>
      <sheetName val="당초"/>
      <sheetName val="BQ"/>
      <sheetName val="POWER"/>
      <sheetName val="sheet6"/>
      <sheetName val="Sheet1 (2)"/>
      <sheetName val="PLAN_FEB97"/>
      <sheetName val="Builtup Area"/>
      <sheetName val="Linked Lead"/>
      <sheetName val="Lead (Final)"/>
      <sheetName val="MA"/>
      <sheetName val="Code"/>
      <sheetName val="Model"/>
      <sheetName val="1612.01AL - INT AM&amp;NIEP"/>
      <sheetName val="Working"/>
      <sheetName val="Direct cost shed A-2 "/>
      <sheetName val="2A"/>
      <sheetName val="Summary 0506"/>
      <sheetName val="Summary 0607- 31.MAR"/>
      <sheetName val="Basic Rates"/>
      <sheetName val="BOQ LT"/>
      <sheetName val="PCS DATA"/>
      <sheetName val="gen"/>
      <sheetName val="INV"/>
      <sheetName val="upa"/>
      <sheetName val="Material"/>
      <sheetName val="Plant &amp;  Machinery"/>
      <sheetName val="Civil_Boq9"/>
      <sheetName val="SPT_vs_PHI9"/>
      <sheetName val="std_wt_9"/>
      <sheetName val="Pile_cap9"/>
      <sheetName val="Material_9"/>
      <sheetName val="Chandrawal_-19"/>
      <sheetName val="Guide_VAT_ED_Credit9"/>
      <sheetName val="AMC_&amp;_O&amp;M9"/>
      <sheetName val="JTS_Costing9"/>
      <sheetName val="floor_slab-RS28"/>
      <sheetName val="BOQ_Direct_selling_cost8"/>
      <sheetName val="General_Summary7"/>
      <sheetName val="+X_&amp;_-X_DIR_PRE7"/>
      <sheetName val="Staff_Forecast_spread8"/>
      <sheetName val="PRECAST_lightconc-II8"/>
      <sheetName val="d-safe_specs9"/>
      <sheetName val="PIpe_Pushing8"/>
      <sheetName val="Break_up_Sheet7"/>
      <sheetName val="13__Steel_-_Ratio7"/>
      <sheetName val="Balance_sheet7"/>
      <sheetName val="TASKRSRC_(2)7"/>
      <sheetName val="Labour_productivity8"/>
      <sheetName val="CABLE_DATA8"/>
      <sheetName val="INPUT_SHEET8"/>
      <sheetName val="Extra_Item7"/>
      <sheetName val="Fill_this_out_first___7"/>
      <sheetName val="Labour_&amp;_Plant7"/>
      <sheetName val="Project_Budget_Worksheet7"/>
      <sheetName val="Abstract_Sheet7"/>
      <sheetName val="Legal_Risk_Analysis7"/>
      <sheetName val="V_O_4_-_PCC_Qty7"/>
      <sheetName val="Field_Values7"/>
      <sheetName val="TBAL9697_-group_wise__sdpl7"/>
      <sheetName val="BOQ_-II_ph_27"/>
      <sheetName val="DETAIL_SHEET7"/>
      <sheetName val="organi_synthesis_lab7"/>
      <sheetName val="Fin_Sum7"/>
      <sheetName val="2_1_受電設備棟7"/>
      <sheetName val="2_2_受・防火水槽7"/>
      <sheetName val="2_3_排水処理設備棟7"/>
      <sheetName val="2_4_倉庫棟7"/>
      <sheetName val="2_5_守衛棟7"/>
      <sheetName val="PointNo_57"/>
      <sheetName val="1_01_(a)7"/>
      <sheetName val="T1037_Entire_School7"/>
      <sheetName val="RMZ_Summary7"/>
      <sheetName val="d-safe_DELUXE7"/>
      <sheetName val="Employee_List7"/>
      <sheetName val="BOQ_fire_proofing7"/>
      <sheetName val="RCC,Ret__Wall7"/>
      <sheetName val="STAFFSCHED_7"/>
      <sheetName val="PRECAST_lightconc_II7"/>
      <sheetName val="Basement_Budget7"/>
      <sheetName val="IO_LIST7"/>
      <sheetName val="Plant_Cost7"/>
      <sheetName val="ORDER_BOOKING7"/>
      <sheetName val="PC_Master_List7"/>
      <sheetName val="Current_Bill_MB_ref7"/>
      <sheetName val="labour_coeff7"/>
      <sheetName val="except_wiring7"/>
      <sheetName val="3cd_Annexure7"/>
      <sheetName val="NT_LBH7"/>
      <sheetName val="Project_Details__7"/>
      <sheetName val="Top_Line_-_WWW7"/>
      <sheetName val="Scope_Reconciliation7"/>
      <sheetName val="_7"/>
      <sheetName val="BOQ_(2)7"/>
      <sheetName val="Site_Dev_BOQ7"/>
      <sheetName val="10__&amp;_11__Rate_Code_&amp;_BQ7"/>
      <sheetName val="1st_and_4th_flight7"/>
      <sheetName val="Cover_sheet7"/>
      <sheetName val="Site_wise_NADs7"/>
      <sheetName val="Desgn(zone_I)7"/>
      <sheetName val="Tender_Summary7"/>
      <sheetName val="M_S_7"/>
      <sheetName val="Activity_Costing_Breakup7"/>
      <sheetName val="Unit_Rate(CIS)7"/>
      <sheetName val="Conc_Analysis7"/>
      <sheetName val="Basic_7"/>
      <sheetName val="Back-UP_IRA_(CIS)7"/>
      <sheetName val="Precast_IRA7"/>
      <sheetName val="Precast_IRA_Backup7"/>
      <sheetName val="Precast_RA7"/>
      <sheetName val="Summary_year_Plan7"/>
      <sheetName val="Depreciation_Calc7"/>
      <sheetName val="@Risk_Inputs7"/>
      <sheetName val="Staff_Acco_7"/>
      <sheetName val="BOQ_7"/>
      <sheetName val="Fee_Rate_Summary7"/>
      <sheetName val="Rate_analysis7"/>
      <sheetName val="BOQ_Distribution7"/>
      <sheetName val="Risk_&amp;_Opportunities7"/>
      <sheetName val="Block_A_-_BOQ7"/>
      <sheetName val="b_s_-p_l_-sch_7"/>
      <sheetName val="CFForecast_detail7"/>
      <sheetName val="SC_revtrgt7"/>
      <sheetName val="Mat_&amp;_Lab_Rate7"/>
      <sheetName val="final_abstract7"/>
      <sheetName val="BS_Schdl-_1_&amp;_27"/>
      <sheetName val="Trial_Bal7"/>
      <sheetName val="Detailed_Summary_(5)7"/>
      <sheetName val="Final_Summary7"/>
      <sheetName val="PM_Action_7"/>
      <sheetName val="PE_Status7"/>
      <sheetName val="Major_Events_7"/>
      <sheetName val="Crtitical_Issues7"/>
      <sheetName val="Fault_Statistics7"/>
      <sheetName val="Ageing_Pending__CLeared7"/>
      <sheetName val="Fault_Cleared_After_24Hrs7"/>
      <sheetName val="Intro_7"/>
      <sheetName val="E_&amp;_R7"/>
      <sheetName val="sq_ftg_detail7"/>
      <sheetName val="Approved_MTD_Proj_#'s1"/>
      <sheetName val="Pay_Rec"/>
      <sheetName val="Section_Catalogue3"/>
      <sheetName val="M_R_List_(2)3"/>
      <sheetName val="UNIT_WT_LIST"/>
      <sheetName val="Sheet_17"/>
      <sheetName val="Global_factors1"/>
      <sheetName val="Abstract_-_Single_Line3"/>
      <sheetName val="Material_Rate"/>
      <sheetName val="_WORKING1"/>
      <sheetName val="Cashflow_projection1"/>
      <sheetName val="Sub-str_1"/>
      <sheetName val="Variation_Statement1"/>
      <sheetName val="Rate_An"/>
      <sheetName val="CPIPE_1"/>
      <sheetName val="rev_011"/>
      <sheetName val="Basic_Resources"/>
      <sheetName val="Performance_Report"/>
      <sheetName val="syndicate_codes"/>
      <sheetName val="Tie_Beams_"/>
      <sheetName val="Final_Bill_of_Material3"/>
      <sheetName val="Rob__elektr_"/>
      <sheetName val="COMP_WALL"/>
      <sheetName val="9__Package_split_-_Cost_"/>
      <sheetName val="India_F&amp;S_Template"/>
      <sheetName val="OVER_HEADS"/>
      <sheetName val="Column_Bracket"/>
      <sheetName val="Sqn_Abs__G_1"/>
      <sheetName val="Inter_unit_set_off"/>
      <sheetName val="R_A1"/>
      <sheetName val="Rising_Main"/>
      <sheetName val="Back_Cal_for_OMC"/>
      <sheetName val="Generic_Sum"/>
      <sheetName val="FITZ_MORT_94"/>
      <sheetName val="SSR___NSSR_Market_final"/>
      <sheetName val="Labor_abs-NMR"/>
      <sheetName val="Int(Ho_con_&amp;_LH)"/>
      <sheetName val="Rev__00_-_20_07_04"/>
      <sheetName val="Page_2"/>
      <sheetName val="schedule_nos"/>
      <sheetName val="CIF_COST_ITEM"/>
      <sheetName val="WP_Financial_Summary"/>
      <sheetName val="BACKUP_DATA"/>
      <sheetName val="Equip_Codes"/>
      <sheetName val="DB_ET200(R__A)"/>
      <sheetName val="SP&amp;ST_제출가"/>
      <sheetName val="공정율_기초_Data"/>
      <sheetName val="_Pricing_110512_xlsx"/>
      <sheetName val="Builtup_Area"/>
      <sheetName val="Linked_Lead"/>
      <sheetName val="Lead_(Final)"/>
      <sheetName val="Form_6"/>
      <sheetName val="Sheet1_(2)"/>
      <sheetName val="Civil_Boq10"/>
      <sheetName val="SPT_vs_PHI10"/>
      <sheetName val="std_wt_10"/>
      <sheetName val="Pile_cap10"/>
      <sheetName val="Material_10"/>
      <sheetName val="Chandrawal_-110"/>
      <sheetName val="Guide_VAT_ED_Credit10"/>
      <sheetName val="AMC_&amp;_O&amp;M10"/>
      <sheetName val="JTS_Costing10"/>
      <sheetName val="floor_slab-RS29"/>
      <sheetName val="BOQ_Direct_selling_cost9"/>
      <sheetName val="General_Summary8"/>
      <sheetName val="+X_&amp;_-X_DIR_PRE8"/>
      <sheetName val="Staff_Forecast_spread9"/>
      <sheetName val="PRECAST_lightconc-II9"/>
      <sheetName val="d-safe_specs10"/>
      <sheetName val="PIpe_Pushing9"/>
      <sheetName val="Break_up_Sheet8"/>
      <sheetName val="13__Steel_-_Ratio8"/>
      <sheetName val="Balance_sheet8"/>
      <sheetName val="TASKRSRC_(2)8"/>
      <sheetName val="Labour_productivity9"/>
      <sheetName val="CABLE_DATA9"/>
      <sheetName val="INPUT_SHEET9"/>
      <sheetName val="Extra_Item8"/>
      <sheetName val="Fill_this_out_first___8"/>
      <sheetName val="Labour_&amp;_Plant8"/>
      <sheetName val="Project_Budget_Worksheet8"/>
      <sheetName val="Abstract_Sheet8"/>
      <sheetName val="Legal_Risk_Analysis8"/>
      <sheetName val="V_O_4_-_PCC_Qty8"/>
      <sheetName val="Field_Values8"/>
      <sheetName val="TBAL9697_-group_wise__sdpl8"/>
      <sheetName val="BOQ_-II_ph_28"/>
      <sheetName val="DETAIL_SHEET8"/>
      <sheetName val="organi_synthesis_lab8"/>
      <sheetName val="Fin_Sum8"/>
      <sheetName val="2_1_受電設備棟8"/>
      <sheetName val="2_2_受・防火水槽8"/>
      <sheetName val="2_3_排水処理設備棟8"/>
      <sheetName val="2_4_倉庫棟8"/>
      <sheetName val="2_5_守衛棟8"/>
      <sheetName val="PointNo_58"/>
      <sheetName val="1_01_(a)8"/>
      <sheetName val="T1037_Entire_School8"/>
      <sheetName val="RMZ_Summary8"/>
      <sheetName val="d-safe_DELUXE8"/>
      <sheetName val="Employee_List8"/>
      <sheetName val="BOQ_fire_proofing8"/>
      <sheetName val="RCC,Ret__Wall8"/>
      <sheetName val="STAFFSCHED_8"/>
      <sheetName val="PRECAST_lightconc_II8"/>
      <sheetName val="Basement_Budget8"/>
      <sheetName val="IO_LIST8"/>
      <sheetName val="Plant_Cost8"/>
      <sheetName val="ORDER_BOOKING8"/>
      <sheetName val="PC_Master_List8"/>
      <sheetName val="Current_Bill_MB_ref8"/>
      <sheetName val="labour_coeff8"/>
      <sheetName val="except_wiring8"/>
      <sheetName val="3cd_Annexure8"/>
      <sheetName val="NT_LBH8"/>
      <sheetName val="Project_Details__8"/>
      <sheetName val="Top_Line_-_WWW8"/>
      <sheetName val="Scope_Reconciliation8"/>
      <sheetName val="_8"/>
      <sheetName val="BOQ_(2)8"/>
      <sheetName val="Site_Dev_BOQ8"/>
      <sheetName val="10__&amp;_11__Rate_Code_&amp;_BQ8"/>
      <sheetName val="1st_and_4th_flight8"/>
      <sheetName val="Cover_sheet8"/>
      <sheetName val="Site_wise_NADs8"/>
      <sheetName val="Desgn(zone_I)8"/>
      <sheetName val="Tender_Summary8"/>
      <sheetName val="M_S_8"/>
      <sheetName val="Activity_Costing_Breakup8"/>
      <sheetName val="Unit_Rate(CIS)8"/>
      <sheetName val="Conc_Analysis8"/>
      <sheetName val="Basic_8"/>
      <sheetName val="Back-UP_IRA_(CIS)8"/>
      <sheetName val="Precast_IRA8"/>
      <sheetName val="Precast_IRA_Backup8"/>
      <sheetName val="Precast_RA8"/>
      <sheetName val="Summary_year_Plan8"/>
      <sheetName val="Depreciation_Calc8"/>
      <sheetName val="@Risk_Inputs8"/>
      <sheetName val="Staff_Acco_8"/>
      <sheetName val="BOQ_8"/>
      <sheetName val="Fee_Rate_Summary8"/>
      <sheetName val="Rate_analysis8"/>
      <sheetName val="BOQ_Distribution8"/>
      <sheetName val="Risk_&amp;_Opportunities8"/>
      <sheetName val="Block_A_-_BOQ8"/>
      <sheetName val="b_s_-p_l_-sch_8"/>
      <sheetName val="CFForecast_detail8"/>
      <sheetName val="SC_revtrgt8"/>
      <sheetName val="Mat_&amp;_Lab_Rate8"/>
      <sheetName val="final_abstract8"/>
      <sheetName val="BS_Schdl-_1_&amp;_28"/>
      <sheetName val="Trial_Bal8"/>
      <sheetName val="Detailed_Summary_(5)8"/>
      <sheetName val="Final_Summary8"/>
      <sheetName val="PM_Action_8"/>
      <sheetName val="PE_Status8"/>
      <sheetName val="Major_Events_8"/>
      <sheetName val="Crtitical_Issues8"/>
      <sheetName val="Fault_Statistics8"/>
      <sheetName val="Ageing_Pending__CLeared8"/>
      <sheetName val="Fault_Cleared_After_24Hrs8"/>
      <sheetName val="Intro_8"/>
      <sheetName val="E_&amp;_R8"/>
      <sheetName val="sq_ftg_detail8"/>
      <sheetName val="Approved_MTD_Proj_#'s2"/>
      <sheetName val="Pay_Rec1"/>
      <sheetName val="Section_Catalogue4"/>
      <sheetName val="M_R_List_(2)4"/>
      <sheetName val="UNIT_WT_LIST1"/>
      <sheetName val="Sheet_18"/>
      <sheetName val="Global_factors2"/>
      <sheetName val="Abstract_-_Single_Line4"/>
      <sheetName val="Material_Rate1"/>
      <sheetName val="_WORKING2"/>
      <sheetName val="Cashflow_projection2"/>
      <sheetName val="Sub-str_2"/>
      <sheetName val="Variation_Statement2"/>
      <sheetName val="Rate_An1"/>
      <sheetName val="CPIPE_11"/>
      <sheetName val="rev_012"/>
      <sheetName val="Basic_Resources1"/>
      <sheetName val="Performance_Report1"/>
      <sheetName val="syndicate_codes1"/>
      <sheetName val="Tie_Beams_1"/>
      <sheetName val="Final_Bill_of_Material4"/>
      <sheetName val="Rob__elektr_1"/>
      <sheetName val="COMP_WALL1"/>
      <sheetName val="9__Package_split_-_Cost_1"/>
      <sheetName val="India_F&amp;S_Template1"/>
      <sheetName val="OVER_HEADS1"/>
      <sheetName val="Column_Bracket1"/>
      <sheetName val="Sqn_Abs__G_11"/>
      <sheetName val="Inter_unit_set_off1"/>
      <sheetName val="R_A2"/>
      <sheetName val="Rising_Main1"/>
      <sheetName val="Back_Cal_for_OMC1"/>
      <sheetName val="Generic_Sum1"/>
      <sheetName val="FITZ_MORT_941"/>
      <sheetName val="SSR___NSSR_Market_final1"/>
      <sheetName val="Labor_abs-NMR1"/>
      <sheetName val="Int(Ho_con_&amp;_LH)1"/>
      <sheetName val="Rev__00_-_20_07_041"/>
      <sheetName val="Page_21"/>
      <sheetName val="schedule_nos1"/>
      <sheetName val="CIF_COST_ITEM1"/>
      <sheetName val="WP_Financial_Summary1"/>
      <sheetName val="BACKUP_DATA1"/>
      <sheetName val="Equip_Codes1"/>
      <sheetName val="DB_ET200(R__A)1"/>
      <sheetName val="SP&amp;ST_제출가1"/>
      <sheetName val="공정율_기초_Data1"/>
      <sheetName val="_Pricing_110512_xlsx1"/>
      <sheetName val="Builtup_Area1"/>
      <sheetName val="Linked_Lead1"/>
      <sheetName val="Lead_(Final)1"/>
      <sheetName val="Form_61"/>
      <sheetName val="Sheet1_(2)1"/>
      <sheetName val="SSR &amp; NSSR Market final"/>
      <sheetName val="Statuses"/>
      <sheetName val="Accounts w Tax Ind"/>
      <sheetName val="Technology"/>
      <sheetName val="top sheet CORRE"/>
      <sheetName val="Main Building"/>
      <sheetName val="Sheet3 (2)"/>
      <sheetName val="Story Drift-Part 2"/>
      <sheetName val="STD"/>
      <sheetName val="I-CO"/>
      <sheetName val="cul-invSUBMITTED"/>
      <sheetName val="AREAS"/>
      <sheetName val="Mktg"/>
      <sheetName val="A-General"/>
      <sheetName val="Actuals"/>
      <sheetName val="DETAILED  BOQ"/>
      <sheetName val="REFERANCE DATA"/>
      <sheetName val="Monthly Challans"/>
      <sheetName val="BOQ_LT"/>
      <sheetName val="1612_01AL_-_INT_AM&amp;NIEP"/>
      <sheetName val="SM_DATA_with_National_CBP_price"/>
      <sheetName val="Beam_at_Ground_flr_lvl(Steel)"/>
      <sheetName val="BASIS_-DEC_08"/>
      <sheetName val="1C Data"/>
      <sheetName val="Design sheet"/>
      <sheetName val="GR.slab-reinft"/>
      <sheetName val="item"/>
      <sheetName val="List of Rem Entries PY"/>
      <sheetName val="1st floor slab"/>
      <sheetName val="wwww"/>
      <sheetName val="T"/>
      <sheetName val="MB.Prod"/>
      <sheetName val="Sales_Eur"/>
      <sheetName val="Basement  Works"/>
      <sheetName val="ICO_budzet_97"/>
      <sheetName val="Background"/>
      <sheetName val="Cable-data"/>
      <sheetName val="계정"/>
      <sheetName val="Formulas"/>
      <sheetName val="Leg!l Risk Analysis"/>
      <sheetName val="Leg 1-1"/>
      <sheetName val="Rpr-Jan00"/>
      <sheetName val="Intake"/>
      <sheetName val="head loss calc"/>
      <sheetName val="DATA - Summary"/>
      <sheetName val="beam-reinft-IIInd floor"/>
      <sheetName val="sand"/>
      <sheetName val="stone"/>
      <sheetName val="#REF!"/>
      <sheetName val="leads"/>
      <sheetName val="Sheet5"/>
      <sheetName val="Data Base"/>
      <sheetName val="PEDESB"/>
      <sheetName val="Proposal"/>
      <sheetName val="Cost Index"/>
      <sheetName val="PackSize"/>
      <sheetName val="PackagingType"/>
      <sheetName val="ProductHierarchy"/>
      <sheetName val="Sub-brand"/>
      <sheetName val="UOM"/>
      <sheetName val="Variant"/>
      <sheetName val="소상 &quot;1&quot;"/>
      <sheetName val="DWTables"/>
      <sheetName val="Cashflow_projection3"/>
      <sheetName val="Cashflow_projection4"/>
      <sheetName val="Cashflow_projection5"/>
      <sheetName val="Cashflow_projection6"/>
      <sheetName val="Cashflow_projection7"/>
      <sheetName val="Cashflow_projection8"/>
      <sheetName val="7 Other Costs"/>
      <sheetName val="ABUT MASTER"/>
      <sheetName val="Heads"/>
      <sheetName val="DMUU Inputs"/>
      <sheetName val="UK P&amp;L"/>
      <sheetName val="Ire P&amp;L"/>
      <sheetName val="Fr P&amp;L"/>
      <sheetName val="ES P&amp;L"/>
      <sheetName val="GR P&amp;L"/>
      <sheetName val="PT P&amp;L"/>
      <sheetName val="BR2(5)"/>
      <sheetName val="Direct_cost_shed_A-2_"/>
      <sheetName val="Accounts_w_Tax_Ind"/>
      <sheetName val="PCS_DATA"/>
      <sheetName val="Basic_Rates"/>
      <sheetName val="Summary_0506"/>
      <sheetName val="Summary_0607-_31_MAR"/>
      <sheetName val="precast RC element"/>
      <sheetName val="Basement Works"/>
      <sheetName val="Financials"/>
      <sheetName val="Cover"/>
      <sheetName val="p1-costg"/>
      <sheetName val="Lookup definitions"/>
      <sheetName val="intr stool brkup"/>
      <sheetName val="vb 9&amp;10"/>
      <sheetName val="WORK TABLE"/>
      <sheetName val="Quote Sheet"/>
      <sheetName val="NLD - Assum"/>
      <sheetName val="Civil Works"/>
      <sheetName val="Pivots"/>
      <sheetName val="Service Function"/>
      <sheetName val="FT-05-02IsoBOM"/>
      <sheetName val="prsch"/>
      <sheetName val="grid"/>
      <sheetName val="TS-TC"/>
      <sheetName val="EQT-ESTN"/>
      <sheetName val="PILE-C1"/>
      <sheetName val="Ref"/>
      <sheetName val="RawMatCost"/>
      <sheetName val="P.Well( RCC)"/>
      <sheetName val="Lowside"/>
      <sheetName val="ELECT"/>
      <sheetName val="CGL"/>
      <sheetName val="Area Statement"/>
      <sheetName val="Joineries"/>
      <sheetName val="sheeet7"/>
      <sheetName val="Basic Rate"/>
      <sheetName val="#REF"/>
      <sheetName val="GM &amp; TA"/>
      <sheetName val="2gii"/>
      <sheetName val="REL"/>
      <sheetName val="實際值-2006.02.06"/>
      <sheetName val="Summary - Flr wise"/>
      <sheetName val="Basic"/>
      <sheetName val="500 kVA DG BOQ"/>
      <sheetName val="Column_Quantity"/>
      <sheetName val="works - quote sheet"/>
      <sheetName val="qtn-002(it)s"/>
      <sheetName val="00 to 01 Column"/>
      <sheetName val="Mix Design"/>
      <sheetName val="std-rates"/>
      <sheetName val="15 july 16 to 12 Aug16"/>
      <sheetName val="2 May to 31 May 2017"/>
      <sheetName val="B7- Col. Sch"/>
      <sheetName val="BM"/>
      <sheetName val="inter"/>
      <sheetName val="steam outlet"/>
      <sheetName val="MBQ"/>
      <sheetName val="Menu"/>
      <sheetName val="Ward areas"/>
      <sheetName val="THA"/>
      <sheetName val="Supplier No."/>
      <sheetName val="Emp Details"/>
      <sheetName val="Central Loop-DPR"/>
      <sheetName val="PROCTOR"/>
      <sheetName val="UNIT FLATS"/>
      <sheetName val="M+MC"/>
      <sheetName val="47 BOQ"/>
      <sheetName val="Steel Structure"/>
      <sheetName val="DsnConcept"/>
      <sheetName val="detailed calc"/>
      <sheetName val="Detail-Singly"/>
      <sheetName val="tables"/>
      <sheetName val="PtList"/>
      <sheetName val="PS1"/>
      <sheetName val="TOS-F"/>
      <sheetName val="Kristal Court"/>
      <sheetName val="RAJU ASSO"/>
      <sheetName val="M.H. EXCAVATION"/>
      <sheetName val="6공구(당초)"/>
      <sheetName val="A.O.R r1"/>
      <sheetName val="Pg.1 Marketing Info"/>
      <sheetName val="KSt - Analysis "/>
      <sheetName val="Civil_Boq14"/>
      <sheetName val="SPT_vs_PHI14"/>
      <sheetName val="Chandrawal_-114"/>
      <sheetName val="Guide_VAT_ED_Credit14"/>
      <sheetName val="AMC_&amp;_O&amp;M14"/>
      <sheetName val="JTS_Costing14"/>
      <sheetName val="Break_up_Sheet12"/>
      <sheetName val="std_wt_14"/>
      <sheetName val="Material_14"/>
      <sheetName val="floor_slab-RS213"/>
      <sheetName val="Pile_cap14"/>
      <sheetName val="Abstract_Sheet12"/>
      <sheetName val="Legal_Risk_Analysis12"/>
      <sheetName val="BOQ_Direct_selling_cost13"/>
      <sheetName val="Staff_Forecast_spread13"/>
      <sheetName val="PIpe_Pushing13"/>
      <sheetName val="d-safe_specs14"/>
      <sheetName val="General_Summary12"/>
      <sheetName val="+X_&amp;_-X_DIR_PRE12"/>
      <sheetName val="PRECAST_lightconc-II13"/>
      <sheetName val="13__Steel_-_Ratio12"/>
      <sheetName val="Labour_productivity13"/>
      <sheetName val="CABLE_DATA13"/>
      <sheetName val="INPUT_SHEET13"/>
      <sheetName val="Extra_Item12"/>
      <sheetName val="Fill_this_out_first___12"/>
      <sheetName val="Labour_&amp;_Plant12"/>
      <sheetName val="Project_Budget_Worksheet12"/>
      <sheetName val="TASKRSRC_(2)12"/>
      <sheetName val="V_O_4_-_PCC_Qty12"/>
      <sheetName val="TBAL9697_-group_wise__sdpl12"/>
      <sheetName val="Field_Values12"/>
      <sheetName val="organi_synthesis_lab12"/>
      <sheetName val="Fin_Sum12"/>
      <sheetName val="BOQ_-II_ph_212"/>
      <sheetName val="2_1_受電設備棟12"/>
      <sheetName val="2_2_受・防火水槽12"/>
      <sheetName val="2_3_排水処理設備棟12"/>
      <sheetName val="2_4_倉庫棟12"/>
      <sheetName val="2_5_守衛棟12"/>
      <sheetName val="d-safe_DELUXE12"/>
      <sheetName val="DETAIL_SHEET12"/>
      <sheetName val="PointNo_512"/>
      <sheetName val="1_01_(a)12"/>
      <sheetName val="T1037_Entire_School12"/>
      <sheetName val="RMZ_Summary12"/>
      <sheetName val="Balance_sheet12"/>
      <sheetName val="Employee_List12"/>
      <sheetName val="RCC,Ret__Wall12"/>
      <sheetName val="BOQ_fire_proofing12"/>
      <sheetName val="STAFFSCHED_12"/>
      <sheetName val="PRECAST_lightconc_II12"/>
      <sheetName val="Basement_Budget12"/>
      <sheetName val="IO_LIST12"/>
      <sheetName val="Plant_Cost12"/>
      <sheetName val="PC_Master_List12"/>
      <sheetName val="_12"/>
      <sheetName val="BOQ_(2)12"/>
      <sheetName val="Site_Dev_BOQ12"/>
      <sheetName val="ORDER_BOOKING12"/>
      <sheetName val="except_wiring12"/>
      <sheetName val="3cd_Annexure12"/>
      <sheetName val="labour_coeff12"/>
      <sheetName val="10__&amp;_11__Rate_Code_&amp;_BQ12"/>
      <sheetName val="Scope_Reconciliation12"/>
      <sheetName val="NT_LBH12"/>
      <sheetName val="Current_Bill_MB_ref12"/>
      <sheetName val="Desgn(zone_I)12"/>
      <sheetName val="1st_and_4th_flight12"/>
      <sheetName val="Cover_sheet12"/>
      <sheetName val="Site_wise_NADs12"/>
      <sheetName val="@Risk_Inputs12"/>
      <sheetName val="Depreciation_Calc12"/>
      <sheetName val="b_s_-p_l_-sch_12"/>
      <sheetName val="Tender_Summary12"/>
      <sheetName val="Project_Details__12"/>
      <sheetName val="Top_Line_-_WWW12"/>
      <sheetName val="Activity_Costing_Breakup12"/>
      <sheetName val="Unit_Rate(CIS)12"/>
      <sheetName val="Conc_Analysis12"/>
      <sheetName val="Basic_12"/>
      <sheetName val="Back-UP_IRA_(CIS)12"/>
      <sheetName val="Precast_IRA12"/>
      <sheetName val="Precast_IRA_Backup12"/>
      <sheetName val="Precast_RA12"/>
      <sheetName val="M_S_12"/>
      <sheetName val="Summary_year_Plan12"/>
      <sheetName val="Staff_Acco_12"/>
      <sheetName val="BOQ_12"/>
      <sheetName val="Fee_Rate_Summary12"/>
      <sheetName val="Rate_analysis12"/>
      <sheetName val="BOQ_Distribution12"/>
      <sheetName val="Risk_&amp;_Opportunities12"/>
      <sheetName val="Block_A_-_BOQ12"/>
      <sheetName val="CFForecast_detail12"/>
      <sheetName val="E_&amp;_R12"/>
      <sheetName val="Approved_MTD_Proj_#'s6"/>
      <sheetName val="final_abstract12"/>
      <sheetName val="SC_revtrgt12"/>
      <sheetName val="BS_Schdl-_1_&amp;_212"/>
      <sheetName val="_WORKING6"/>
      <sheetName val="Mat_&amp;_Lab_Rate12"/>
      <sheetName val="PM_Action_12"/>
      <sheetName val="PE_Status12"/>
      <sheetName val="Major_Events_12"/>
      <sheetName val="Crtitical_Issues12"/>
      <sheetName val="Fault_Statistics12"/>
      <sheetName val="Ageing_Pending__CLeared12"/>
      <sheetName val="Fault_Cleared_After_24Hrs12"/>
      <sheetName val="Intro_12"/>
      <sheetName val="Section_Catalogue8"/>
      <sheetName val="Trial_Bal12"/>
      <sheetName val="Detailed_Summary_(5)12"/>
      <sheetName val="Final_Summary12"/>
      <sheetName val="Sub-str_6"/>
      <sheetName val="Sheet_112"/>
      <sheetName val="Variation_Statement6"/>
      <sheetName val="Abstract_-_Single_Line8"/>
      <sheetName val="sq_ftg_detail12"/>
      <sheetName val="Material_Rate5"/>
      <sheetName val="rev_016"/>
      <sheetName val="M_R_List_(2)8"/>
      <sheetName val="Global_factors6"/>
      <sheetName val="Basic_Resources5"/>
      <sheetName val="Final_Bill_of_Material8"/>
      <sheetName val="Column_Bracket5"/>
      <sheetName val="Sqn_Abs__G_15"/>
      <sheetName val="Inter_unit_set_off5"/>
      <sheetName val="Equip_Codes5"/>
      <sheetName val="India_F&amp;S_Template5"/>
      <sheetName val="9__Package_split_-_Cost_5"/>
      <sheetName val="Summary_05065"/>
      <sheetName val="Civil_Boq12"/>
      <sheetName val="SPT_vs_PHI12"/>
      <sheetName val="Chandrawal_-112"/>
      <sheetName val="Guide_VAT_ED_Credit12"/>
      <sheetName val="AMC_&amp;_O&amp;M12"/>
      <sheetName val="JTS_Costing12"/>
      <sheetName val="Break_up_Sheet10"/>
      <sheetName val="std_wt_12"/>
      <sheetName val="Material_12"/>
      <sheetName val="floor_slab-RS211"/>
      <sheetName val="Pile_cap12"/>
      <sheetName val="Abstract_Sheet10"/>
      <sheetName val="Legal_Risk_Analysis10"/>
      <sheetName val="BOQ_Direct_selling_cost11"/>
      <sheetName val="Staff_Forecast_spread11"/>
      <sheetName val="PIpe_Pushing11"/>
      <sheetName val="d-safe_specs12"/>
      <sheetName val="General_Summary10"/>
      <sheetName val="+X_&amp;_-X_DIR_PRE10"/>
      <sheetName val="PRECAST_lightconc-II11"/>
      <sheetName val="13__Steel_-_Ratio10"/>
      <sheetName val="Labour_productivity11"/>
      <sheetName val="CABLE_DATA11"/>
      <sheetName val="INPUT_SHEET11"/>
      <sheetName val="Extra_Item10"/>
      <sheetName val="Fill_this_out_first___10"/>
      <sheetName val="Labour_&amp;_Plant10"/>
      <sheetName val="Project_Budget_Worksheet10"/>
      <sheetName val="TASKRSRC_(2)10"/>
      <sheetName val="V_O_4_-_PCC_Qty10"/>
      <sheetName val="TBAL9697_-group_wise__sdpl10"/>
      <sheetName val="Field_Values10"/>
      <sheetName val="organi_synthesis_lab10"/>
      <sheetName val="Fin_Sum10"/>
      <sheetName val="BOQ_-II_ph_210"/>
      <sheetName val="2_1_受電設備棟10"/>
      <sheetName val="2_2_受・防火水槽10"/>
      <sheetName val="2_3_排水処理設備棟10"/>
      <sheetName val="2_4_倉庫棟10"/>
      <sheetName val="2_5_守衛棟10"/>
      <sheetName val="d-safe_DELUXE10"/>
      <sheetName val="DETAIL_SHEET10"/>
      <sheetName val="PointNo_510"/>
      <sheetName val="1_01_(a)10"/>
      <sheetName val="T1037_Entire_School10"/>
      <sheetName val="RMZ_Summary10"/>
      <sheetName val="Balance_sheet10"/>
      <sheetName val="Employee_List10"/>
      <sheetName val="RCC,Ret__Wall10"/>
      <sheetName val="BOQ_fire_proofing10"/>
      <sheetName val="STAFFSCHED_10"/>
      <sheetName val="PRECAST_lightconc_II10"/>
      <sheetName val="Basement_Budget10"/>
      <sheetName val="IO_LIST10"/>
      <sheetName val="Plant_Cost10"/>
      <sheetName val="PC_Master_List10"/>
      <sheetName val="ORDER_BOOKING10"/>
      <sheetName val="except_wiring10"/>
      <sheetName val="3cd_Annexure10"/>
      <sheetName val="_10"/>
      <sheetName val="BOQ_(2)10"/>
      <sheetName val="Site_Dev_BOQ10"/>
      <sheetName val="labour_coeff10"/>
      <sheetName val="10__&amp;_11__Rate_Code_&amp;_BQ10"/>
      <sheetName val="Scope_Reconciliation10"/>
      <sheetName val="Current_Bill_MB_ref10"/>
      <sheetName val="NT_LBH10"/>
      <sheetName val="Desgn(zone_I)10"/>
      <sheetName val="1st_and_4th_flight10"/>
      <sheetName val="Cover_sheet10"/>
      <sheetName val="Site_wise_NADs10"/>
      <sheetName val="@Risk_Inputs10"/>
      <sheetName val="Depreciation_Calc10"/>
      <sheetName val="b_s_-p_l_-sch_10"/>
      <sheetName val="Tender_Summary10"/>
      <sheetName val="Project_Details__10"/>
      <sheetName val="Top_Line_-_WWW10"/>
      <sheetName val="Activity_Costing_Breakup10"/>
      <sheetName val="Unit_Rate(CIS)10"/>
      <sheetName val="Conc_Analysis10"/>
      <sheetName val="Basic_10"/>
      <sheetName val="Back-UP_IRA_(CIS)10"/>
      <sheetName val="Precast_IRA10"/>
      <sheetName val="Precast_IRA_Backup10"/>
      <sheetName val="Precast_RA10"/>
      <sheetName val="M_S_10"/>
      <sheetName val="Summary_year_Plan10"/>
      <sheetName val="Staff_Acco_10"/>
      <sheetName val="BOQ_10"/>
      <sheetName val="Fee_Rate_Summary10"/>
      <sheetName val="Rate_analysis10"/>
      <sheetName val="BOQ_Distribution10"/>
      <sheetName val="Risk_&amp;_Opportunities10"/>
      <sheetName val="Block_A_-_BOQ10"/>
      <sheetName val="CFForecast_detail10"/>
      <sheetName val="E_&amp;_R10"/>
      <sheetName val="Approved_MTD_Proj_#'s4"/>
      <sheetName val="final_abstract10"/>
      <sheetName val="SC_revtrgt10"/>
      <sheetName val="BS_Schdl-_1_&amp;_210"/>
      <sheetName val="_WORKING4"/>
      <sheetName val="Mat_&amp;_Lab_Rate10"/>
      <sheetName val="PM_Action_10"/>
      <sheetName val="PE_Status10"/>
      <sheetName val="Major_Events_10"/>
      <sheetName val="Crtitical_Issues10"/>
      <sheetName val="Fault_Statistics10"/>
      <sheetName val="Ageing_Pending__CLeared10"/>
      <sheetName val="Fault_Cleared_After_24Hrs10"/>
      <sheetName val="Intro_10"/>
      <sheetName val="Section_Catalogue6"/>
      <sheetName val="Trial_Bal10"/>
      <sheetName val="Detailed_Summary_(5)10"/>
      <sheetName val="Final_Summary10"/>
      <sheetName val="Sub-str_4"/>
      <sheetName val="Sheet_110"/>
      <sheetName val="Variation_Statement4"/>
      <sheetName val="Abstract_-_Single_Line6"/>
      <sheetName val="sq_ftg_detail10"/>
      <sheetName val="Material_Rate3"/>
      <sheetName val="rev_014"/>
      <sheetName val="M_R_List_(2)6"/>
      <sheetName val="Global_factors4"/>
      <sheetName val="Basic_Resources3"/>
      <sheetName val="Final_Bill_of_Material6"/>
      <sheetName val="Column_Bracket3"/>
      <sheetName val="Sqn_Abs__G_13"/>
      <sheetName val="Inter_unit_set_off3"/>
      <sheetName val="Equip_Codes3"/>
      <sheetName val="India_F&amp;S_Template3"/>
      <sheetName val="9__Package_split_-_Cost_3"/>
      <sheetName val="OVER_HEADS3"/>
      <sheetName val="Summary_05063"/>
      <sheetName val="Summary_0607-_31_MAR3"/>
      <sheetName val="Civil_Boq11"/>
      <sheetName val="SPT_vs_PHI11"/>
      <sheetName val="Chandrawal_-111"/>
      <sheetName val="Guide_VAT_ED_Credit11"/>
      <sheetName val="AMC_&amp;_O&amp;M11"/>
      <sheetName val="JTS_Costing11"/>
      <sheetName val="Break_up_Sheet9"/>
      <sheetName val="std_wt_11"/>
      <sheetName val="Material_11"/>
      <sheetName val="floor_slab-RS210"/>
      <sheetName val="Pile_cap11"/>
      <sheetName val="Abstract_Sheet9"/>
      <sheetName val="Legal_Risk_Analysis9"/>
      <sheetName val="BOQ_Direct_selling_cost10"/>
      <sheetName val="Staff_Forecast_spread10"/>
      <sheetName val="PIpe_Pushing10"/>
      <sheetName val="d-safe_specs11"/>
      <sheetName val="General_Summary9"/>
      <sheetName val="+X_&amp;_-X_DIR_PRE9"/>
      <sheetName val="PRECAST_lightconc-II10"/>
      <sheetName val="13__Steel_-_Ratio9"/>
      <sheetName val="Labour_productivity10"/>
      <sheetName val="CABLE_DATA10"/>
      <sheetName val="INPUT_SHEET10"/>
      <sheetName val="Extra_Item9"/>
      <sheetName val="Fill_this_out_first___9"/>
      <sheetName val="Labour_&amp;_Plant9"/>
      <sheetName val="Project_Budget_Worksheet9"/>
      <sheetName val="TASKRSRC_(2)9"/>
      <sheetName val="V_O_4_-_PCC_Qty9"/>
      <sheetName val="TBAL9697_-group_wise__sdpl9"/>
      <sheetName val="Field_Values9"/>
      <sheetName val="organi_synthesis_lab9"/>
      <sheetName val="Fin_Sum9"/>
      <sheetName val="BOQ_-II_ph_29"/>
      <sheetName val="2_1_受電設備棟9"/>
      <sheetName val="2_2_受・防火水槽9"/>
      <sheetName val="2_3_排水処理設備棟9"/>
      <sheetName val="2_4_倉庫棟9"/>
      <sheetName val="2_5_守衛棟9"/>
      <sheetName val="d-safe_DELUXE9"/>
      <sheetName val="DETAIL_SHEET9"/>
      <sheetName val="PointNo_59"/>
      <sheetName val="1_01_(a)9"/>
      <sheetName val="T1037_Entire_School9"/>
      <sheetName val="RMZ_Summary9"/>
      <sheetName val="Balance_sheet9"/>
      <sheetName val="Employee_List9"/>
      <sheetName val="RCC,Ret__Wall9"/>
      <sheetName val="BOQ_fire_proofing9"/>
      <sheetName val="STAFFSCHED_9"/>
      <sheetName val="PRECAST_lightconc_II9"/>
      <sheetName val="Basement_Budget9"/>
      <sheetName val="IO_LIST9"/>
      <sheetName val="Plant_Cost9"/>
      <sheetName val="PC_Master_List9"/>
      <sheetName val="ORDER_BOOKING9"/>
      <sheetName val="except_wiring9"/>
      <sheetName val="3cd_Annexure9"/>
      <sheetName val="_9"/>
      <sheetName val="BOQ_(2)9"/>
      <sheetName val="Site_Dev_BOQ9"/>
      <sheetName val="labour_coeff9"/>
      <sheetName val="10__&amp;_11__Rate_Code_&amp;_BQ9"/>
      <sheetName val="Scope_Reconciliation9"/>
      <sheetName val="Current_Bill_MB_ref9"/>
      <sheetName val="NT_LBH9"/>
      <sheetName val="Desgn(zone_I)9"/>
      <sheetName val="1st_and_4th_flight9"/>
      <sheetName val="Cover_sheet9"/>
      <sheetName val="Site_wise_NADs9"/>
      <sheetName val="@Risk_Inputs9"/>
      <sheetName val="Depreciation_Calc9"/>
      <sheetName val="b_s_-p_l_-sch_9"/>
      <sheetName val="Tender_Summary9"/>
      <sheetName val="Project_Details__9"/>
      <sheetName val="Top_Line_-_WWW9"/>
      <sheetName val="Activity_Costing_Breakup9"/>
      <sheetName val="Unit_Rate(CIS)9"/>
      <sheetName val="Conc_Analysis9"/>
      <sheetName val="Basic_9"/>
      <sheetName val="Back-UP_IRA_(CIS)9"/>
      <sheetName val="Precast_IRA9"/>
      <sheetName val="Precast_IRA_Backup9"/>
      <sheetName val="Precast_RA9"/>
      <sheetName val="M_S_9"/>
      <sheetName val="Summary_year_Plan9"/>
      <sheetName val="Staff_Acco_9"/>
      <sheetName val="BOQ_9"/>
      <sheetName val="Fee_Rate_Summary9"/>
      <sheetName val="Rate_analysis9"/>
      <sheetName val="BOQ_Distribution9"/>
      <sheetName val="Risk_&amp;_Opportunities9"/>
      <sheetName val="Block_A_-_BOQ9"/>
      <sheetName val="CFForecast_detail9"/>
      <sheetName val="E_&amp;_R9"/>
      <sheetName val="Approved_MTD_Proj_#'s3"/>
      <sheetName val="final_abstract9"/>
      <sheetName val="SC_revtrgt9"/>
      <sheetName val="BS_Schdl-_1_&amp;_29"/>
      <sheetName val="_WORKING3"/>
      <sheetName val="Mat_&amp;_Lab_Rate9"/>
      <sheetName val="PM_Action_9"/>
      <sheetName val="PE_Status9"/>
      <sheetName val="Major_Events_9"/>
      <sheetName val="Crtitical_Issues9"/>
      <sheetName val="Fault_Statistics9"/>
      <sheetName val="Ageing_Pending__CLeared9"/>
      <sheetName val="Fault_Cleared_After_24Hrs9"/>
      <sheetName val="Intro_9"/>
      <sheetName val="Section_Catalogue5"/>
      <sheetName val="Trial_Bal9"/>
      <sheetName val="Detailed_Summary_(5)9"/>
      <sheetName val="Final_Summary9"/>
      <sheetName val="Sub-str_3"/>
      <sheetName val="Sheet_19"/>
      <sheetName val="Variation_Statement3"/>
      <sheetName val="Abstract_-_Single_Line5"/>
      <sheetName val="sq_ftg_detail9"/>
      <sheetName val="Material_Rate2"/>
      <sheetName val="rev_013"/>
      <sheetName val="M_R_List_(2)5"/>
      <sheetName val="Global_factors3"/>
      <sheetName val="Basic_Resources2"/>
      <sheetName val="Final_Bill_of_Material5"/>
      <sheetName val="Column_Bracket2"/>
      <sheetName val="Sqn_Abs__G_12"/>
      <sheetName val="Inter_unit_set_off2"/>
      <sheetName val="Equip_Codes2"/>
      <sheetName val="India_F&amp;S_Template2"/>
      <sheetName val="9__Package_split_-_Cost_2"/>
      <sheetName val="Summary_05062"/>
      <sheetName val="intr_stool_brkup"/>
      <sheetName val="vb_9&amp;10"/>
      <sheetName val="Summary_05061"/>
      <sheetName val="Summary_0607-_31_MAR1"/>
      <sheetName val="intr_stool_brkup1"/>
      <sheetName val="vb_9&amp;101"/>
      <sheetName val="Basic_Rates1"/>
      <sheetName val="Direct_cost_shed_A-2_1"/>
      <sheetName val="OVER_HEADS2"/>
      <sheetName val="Summary_0607-_31_MAR2"/>
      <sheetName val="Performance_Report2"/>
      <sheetName val="Generic_Sum2"/>
      <sheetName val="CPIPE_12"/>
      <sheetName val="Rob__elektr_2"/>
      <sheetName val="COMP_WALL2"/>
      <sheetName val="SSR___NSSR_Market_final2"/>
      <sheetName val="Pay_Rec2"/>
      <sheetName val="Int(Ho_con_&amp;_LH)2"/>
      <sheetName val="syndicate_codes2"/>
      <sheetName val="UNIT_WT_LIST2"/>
      <sheetName val="Tie_Beams_2"/>
      <sheetName val="Builtup_Area2"/>
      <sheetName val="Linked_Lead2"/>
      <sheetName val="Lead_(Final)2"/>
      <sheetName val="R_A3"/>
      <sheetName val="Rising_Main2"/>
      <sheetName val="Form_62"/>
      <sheetName val="FITZ_MORT_942"/>
      <sheetName val="Rev__00_-_20_07_042"/>
      <sheetName val="Labor_abs-NMR2"/>
      <sheetName val="Rate_An2"/>
      <sheetName val="intr_stool_brkup2"/>
      <sheetName val="vb_9&amp;102"/>
      <sheetName val="CIF_COST_ITEM2"/>
      <sheetName val="schedule_nos2"/>
      <sheetName val="Back_Cal_for_OMC2"/>
      <sheetName val="Basic_Rates2"/>
      <sheetName val="Direct_cost_shed_A-2_2"/>
      <sheetName val="WP_Financial_Summary2"/>
      <sheetName val="BACKUP_DATA2"/>
      <sheetName val="Civil_Boq13"/>
      <sheetName val="SPT_vs_PHI13"/>
      <sheetName val="Chandrawal_-113"/>
      <sheetName val="Guide_VAT_ED_Credit13"/>
      <sheetName val="AMC_&amp;_O&amp;M13"/>
      <sheetName val="JTS_Costing13"/>
      <sheetName val="Break_up_Sheet11"/>
      <sheetName val="std_wt_13"/>
      <sheetName val="Material_13"/>
      <sheetName val="floor_slab-RS212"/>
      <sheetName val="Pile_cap13"/>
      <sheetName val="Abstract_Sheet11"/>
      <sheetName val="Legal_Risk_Analysis11"/>
      <sheetName val="BOQ_Direct_selling_cost12"/>
      <sheetName val="Staff_Forecast_spread12"/>
      <sheetName val="PIpe_Pushing12"/>
      <sheetName val="d-safe_specs13"/>
      <sheetName val="General_Summary11"/>
      <sheetName val="+X_&amp;_-X_DIR_PRE11"/>
      <sheetName val="PRECAST_lightconc-II12"/>
      <sheetName val="13__Steel_-_Ratio11"/>
      <sheetName val="Labour_productivity12"/>
      <sheetName val="CABLE_DATA12"/>
      <sheetName val="INPUT_SHEET12"/>
      <sheetName val="Extra_Item11"/>
      <sheetName val="Fill_this_out_first___11"/>
      <sheetName val="Labour_&amp;_Plant11"/>
      <sheetName val="Project_Budget_Worksheet11"/>
      <sheetName val="TASKRSRC_(2)11"/>
      <sheetName val="V_O_4_-_PCC_Qty11"/>
      <sheetName val="TBAL9697_-group_wise__sdpl11"/>
      <sheetName val="Field_Values11"/>
      <sheetName val="organi_synthesis_lab11"/>
      <sheetName val="Fin_Sum11"/>
      <sheetName val="BOQ_-II_ph_211"/>
      <sheetName val="2_1_受電設備棟11"/>
      <sheetName val="2_2_受・防火水槽11"/>
      <sheetName val="2_3_排水処理設備棟11"/>
      <sheetName val="2_4_倉庫棟11"/>
      <sheetName val="2_5_守衛棟11"/>
      <sheetName val="d-safe_DELUXE11"/>
      <sheetName val="DETAIL_SHEET11"/>
      <sheetName val="PointNo_511"/>
      <sheetName val="1_01_(a)11"/>
      <sheetName val="T1037_Entire_School11"/>
      <sheetName val="RMZ_Summary11"/>
      <sheetName val="Balance_sheet11"/>
      <sheetName val="Employee_List11"/>
      <sheetName val="RCC,Ret__Wall11"/>
      <sheetName val="BOQ_fire_proofing11"/>
      <sheetName val="STAFFSCHED_11"/>
      <sheetName val="PRECAST_lightconc_II11"/>
      <sheetName val="Basement_Budget11"/>
      <sheetName val="IO_LIST11"/>
      <sheetName val="Plant_Cost11"/>
      <sheetName val="PC_Master_List11"/>
      <sheetName val="ORDER_BOOKING11"/>
      <sheetName val="except_wiring11"/>
      <sheetName val="3cd_Annexure11"/>
      <sheetName val="_11"/>
      <sheetName val="BOQ_(2)11"/>
      <sheetName val="Site_Dev_BOQ11"/>
      <sheetName val="labour_coeff11"/>
      <sheetName val="10__&amp;_11__Rate_Code_&amp;_BQ11"/>
      <sheetName val="Scope_Reconciliation11"/>
      <sheetName val="Current_Bill_MB_ref11"/>
      <sheetName val="NT_LBH11"/>
      <sheetName val="Desgn(zone_I)11"/>
      <sheetName val="1st_and_4th_flight11"/>
      <sheetName val="Cover_sheet11"/>
      <sheetName val="Site_wise_NADs11"/>
      <sheetName val="@Risk_Inputs11"/>
      <sheetName val="Depreciation_Calc11"/>
      <sheetName val="b_s_-p_l_-sch_11"/>
      <sheetName val="Tender_Summary11"/>
      <sheetName val="Project_Details__11"/>
      <sheetName val="Top_Line_-_WWW11"/>
      <sheetName val="Activity_Costing_Breakup11"/>
      <sheetName val="Unit_Rate(CIS)11"/>
      <sheetName val="Conc_Analysis11"/>
      <sheetName val="Basic_11"/>
      <sheetName val="Back-UP_IRA_(CIS)11"/>
      <sheetName val="Precast_IRA11"/>
      <sheetName val="Precast_IRA_Backup11"/>
      <sheetName val="Precast_RA11"/>
      <sheetName val="M_S_11"/>
      <sheetName val="Summary_year_Plan11"/>
      <sheetName val="Staff_Acco_11"/>
      <sheetName val="BOQ_11"/>
      <sheetName val="Fee_Rate_Summary11"/>
      <sheetName val="Rate_analysis11"/>
      <sheetName val="BOQ_Distribution11"/>
      <sheetName val="Risk_&amp;_Opportunities11"/>
      <sheetName val="Block_A_-_BOQ11"/>
      <sheetName val="CFForecast_detail11"/>
      <sheetName val="E_&amp;_R11"/>
      <sheetName val="Approved_MTD_Proj_#'s5"/>
      <sheetName val="final_abstract11"/>
      <sheetName val="SC_revtrgt11"/>
      <sheetName val="BS_Schdl-_1_&amp;_211"/>
      <sheetName val="_WORKING5"/>
      <sheetName val="Mat_&amp;_Lab_Rate11"/>
      <sheetName val="PM_Action_11"/>
      <sheetName val="PE_Status11"/>
      <sheetName val="Major_Events_11"/>
      <sheetName val="Crtitical_Issues11"/>
      <sheetName val="Fault_Statistics11"/>
      <sheetName val="Ageing_Pending__CLeared11"/>
      <sheetName val="Fault_Cleared_After_24Hrs11"/>
      <sheetName val="Intro_11"/>
      <sheetName val="Section_Catalogue7"/>
      <sheetName val="Trial_Bal11"/>
      <sheetName val="Detailed_Summary_(5)11"/>
      <sheetName val="Final_Summary11"/>
      <sheetName val="Sub-str_5"/>
      <sheetName val="Sheet_111"/>
      <sheetName val="Variation_Statement5"/>
      <sheetName val="Abstract_-_Single_Line7"/>
      <sheetName val="sq_ftg_detail11"/>
      <sheetName val="Material_Rate4"/>
      <sheetName val="rev_015"/>
      <sheetName val="M_R_List_(2)7"/>
      <sheetName val="Global_factors5"/>
      <sheetName val="Basic_Resources4"/>
      <sheetName val="Final_Bill_of_Material7"/>
      <sheetName val="Column_Bracket4"/>
      <sheetName val="Sqn_Abs__G_14"/>
      <sheetName val="Inter_unit_set_off4"/>
      <sheetName val="Equip_Codes4"/>
      <sheetName val="India_F&amp;S_Template4"/>
      <sheetName val="9__Package_split_-_Cost_4"/>
      <sheetName val="Summary_05064"/>
      <sheetName val="Sales Report-Apr - Sept 08"/>
      <sheetName val="HOC"/>
      <sheetName val="NOPAT_VDF"/>
      <sheetName val="Invested capital_VDF"/>
      <sheetName val="Input1"/>
      <sheetName val="datas"/>
      <sheetName val="HPL"/>
      <sheetName val="section"/>
      <sheetName val="Estimation"/>
      <sheetName val="Budget-Breakup"/>
      <sheetName val="LOCAL RATES"/>
      <sheetName val="Occ, Other Rev, Exp, Dispo"/>
      <sheetName val="Name List"/>
      <sheetName val="VI Floor Beam "/>
      <sheetName val="site fab&amp;ernstr"/>
      <sheetName val="Back filling"/>
      <sheetName val="NT items summary"/>
      <sheetName val="Sheet18"/>
      <sheetName val="drg study"/>
      <sheetName val="RA"/>
      <sheetName val="block"/>
      <sheetName val="BP"/>
      <sheetName val="Technicla manpower"/>
      <sheetName val="Mixer"/>
      <sheetName val="ANALYSIS(CIVIL)"/>
      <sheetName val="GRAND SUMMARY"/>
      <sheetName val="ANa=Str"/>
      <sheetName val="Str.S &amp; Roofing"/>
      <sheetName val="6000"/>
      <sheetName val="MRATES"/>
      <sheetName val="TBM-T6+5S(Alt1)"/>
      <sheetName val="Loads"/>
      <sheetName val="DOOR-WINDOW SCHEDULE"/>
      <sheetName val="BLOCK WORK-GRD FLR"/>
      <sheetName val="SLAB SCHEDULE"/>
      <sheetName val="TF"/>
      <sheetName val="Direction projet"/>
      <sheetName val="BQ Working"/>
      <sheetName val="Curve_Detail"/>
      <sheetName val="TCS Proposed"/>
      <sheetName val="BOQ-Road"/>
      <sheetName val=" Type III"/>
      <sheetName val="MPR_PA_1"/>
      <sheetName val="P&amp;L (1a)"/>
      <sheetName val="Risks&amp;Opps (1b)"/>
      <sheetName val="Signature sheet"/>
      <sheetName val="ridgewood"/>
      <sheetName val="ancillary"/>
      <sheetName val="Price Comparison"/>
      <sheetName val="Measurements"/>
      <sheetName val="Ceilings"/>
      <sheetName val="ACAD Finishes"/>
      <sheetName val="Site Details"/>
      <sheetName val="Chair"/>
      <sheetName val="Site Area Statement"/>
      <sheetName val="Doors"/>
      <sheetName val="Area Statement_BHUB_Consultant"/>
      <sheetName val="MEP Cost- New"/>
      <sheetName val="Cost working - Building All"/>
      <sheetName val="PCC"/>
      <sheetName val="PRICE COMP"/>
      <sheetName val="Internal Budget"/>
      <sheetName val="BHUB - Phase 1 areas"/>
      <sheetName val="MEP Cost "/>
      <sheetName val="BR Adj"/>
      <sheetName val="Cement Cons"/>
      <sheetName val="TBEAM"/>
      <sheetName val="9"/>
      <sheetName val="s"/>
      <sheetName val="_x0008_匀敨瑥ㅟ਱"/>
      <sheetName val="_Recovered_SheetName_533_"/>
      <sheetName val="_Recovered_SheetName_534_"/>
      <sheetName val="_Recovered_SheetName_535_"/>
      <sheetName val="_Recovered_SheetName_536_"/>
      <sheetName val="_Recovered_SheetName_537_"/>
      <sheetName val="_Recovered_SheetName_538_"/>
      <sheetName val="_Recovered_SheetName_539_"/>
      <sheetName val="_Recovered_SheetName_540_"/>
      <sheetName val="_Recovered_SheetName_541_"/>
      <sheetName val="_Recovered_SheetName_542_"/>
      <sheetName val="_Recovered_SheetName_543_"/>
      <sheetName val="_Recovered_SheetName_544_"/>
      <sheetName val="_Recovered_SheetName_545_"/>
      <sheetName val="_Recovered_SheetName_546_"/>
      <sheetName val="_Recovered_SheetName_547_"/>
      <sheetName val="_Recovered_SheetName_548_"/>
      <sheetName val="_Recovered_SheetName_549_"/>
      <sheetName val="_Recovered_SheetName_550_"/>
      <sheetName val="_Recovered_SheetName_551_"/>
      <sheetName val="_Recovered_SheetName_552_"/>
      <sheetName val="_Recovered_SheetName_553_"/>
      <sheetName val="_Recovered_SheetName_554_"/>
      <sheetName val="_Recovered_SheetName_555_"/>
      <sheetName val="_Recovered_SheetName_556_"/>
      <sheetName val="_Recovered_SheetName_557_"/>
      <sheetName val="_Recovered_SheetName_558_"/>
      <sheetName val="_Recovered_SheetName_559_"/>
      <sheetName val="_Recovered_SheetName_560_"/>
      <sheetName val="_Recovered_SheetName_561_"/>
      <sheetName val="_Recovered_SheetName_562_"/>
      <sheetName val="_Recovered_SheetName_563_"/>
      <sheetName val="_Recovered_SheetName_564_"/>
      <sheetName val="_Recovered_SheetName_565_"/>
      <sheetName val="_Recovered_SheetName_566_"/>
      <sheetName val="_Recovered_SheetName_567_"/>
      <sheetName val="_Recovered_SheetName_568_"/>
      <sheetName val="_Recovered_SheetName_569_"/>
      <sheetName val="_Recovered_SheetName_570_"/>
      <sheetName val="_Recovered_SheetName_571_"/>
      <sheetName val="_Recovered_SheetName_572_"/>
      <sheetName val="_Recovered_SheetName_573_"/>
      <sheetName val="_Recovered_SheetName_574_"/>
      <sheetName val="_Recovered_SheetName_575_"/>
      <sheetName val="_Recovered_SheetName_576_"/>
      <sheetName val="_Recovered_SheetName_577_"/>
      <sheetName val="_Recovered_SheetName_578_"/>
      <sheetName val="_Recovered_SheetName_579_"/>
      <sheetName val="_Recovered_SheetName_580_"/>
      <sheetName val="_Recovered_SheetName_581_"/>
      <sheetName val="_Recovered_SheetName_582_"/>
      <sheetName val="_Recovered_SheetName_583_"/>
      <sheetName val="_Recovered_SheetName_584_"/>
      <sheetName val="_Recovered_SheetName_585_"/>
      <sheetName val="_Recovered_SheetName_586_"/>
      <sheetName val="_Recovered_SheetName_587_"/>
      <sheetName val="_Recovered_SheetName_588_"/>
      <sheetName val="_Recovered_SheetName_589_"/>
      <sheetName val="_Recovered_SheetName_590_"/>
      <sheetName val="_Recovered_SheetName_591_"/>
      <sheetName val="_Recovered_SheetName_592_"/>
      <sheetName val="_Recovered_SheetName_593_"/>
      <sheetName val="_Recovered_SheetName_594_"/>
      <sheetName val="_Recovered_SheetName_595_"/>
      <sheetName val="_Recovered_SheetName_596_"/>
      <sheetName val="_Recovered_SheetName_597_"/>
      <sheetName val="_Recovered_SheetName_598_"/>
      <sheetName val="_Recovered_SheetName_599_"/>
      <sheetName val="_Recovered_SheetName_600_"/>
      <sheetName val="_Recovered_SheetName_601_"/>
      <sheetName val="_Recovered_SheetName_602_"/>
      <sheetName val="_Recovered_SheetName_603_"/>
      <sheetName val="_Recovered_SheetName_604_"/>
      <sheetName val="_Recovered_SheetName_605_"/>
      <sheetName val="_Recovered_SheetName_606_"/>
      <sheetName val="_Recovered_SheetName_607_"/>
      <sheetName val="_Recovered_SheetName_608_"/>
      <sheetName val="_Recovered_SheetName_609_"/>
      <sheetName val="_Recovered_SheetName_610_"/>
      <sheetName val="_Recovered_SheetName_611_"/>
      <sheetName val="_Recovered_SheetName_612_"/>
      <sheetName val="_Recovered_SheetName_613_"/>
      <sheetName val="_Recovered_SheetName_614_"/>
      <sheetName val="_Recovered_SheetName_615_"/>
      <sheetName val="_Recovered_SheetName_616_"/>
      <sheetName val="_Recovered_SheetName_617_"/>
      <sheetName val="_Recovered_SheetName_618_"/>
      <sheetName val="_Recovered_SheetName_619_"/>
      <sheetName val="_Recovered_SheetName_620_"/>
      <sheetName val="_Recovered_SheetName_621_"/>
      <sheetName val="_Recovered_SheetName_622_"/>
      <sheetName val="_Recovered_SheetName_623_"/>
      <sheetName val="_Recovered_SheetName_624_"/>
      <sheetName val="_Recovered_SheetName_625_"/>
      <sheetName val="_Recovered_SheetName_626_"/>
      <sheetName val="_Recovered_SheetName_627_"/>
      <sheetName val="_Recovered_SheetName_628_"/>
      <sheetName val="_Recovered_SheetName_629_"/>
      <sheetName val="_Recovered_SheetName_630_"/>
      <sheetName val="_Recovered_SheetName_631_"/>
      <sheetName val="_Recovered_SheetName_632_"/>
      <sheetName val="_Recovered_SheetName_633_"/>
      <sheetName val="_Recovered_SheetName_634_"/>
      <sheetName val="_Recovered_SheetName_635_"/>
      <sheetName val="_Recovered_SheetName_636_"/>
      <sheetName val="_Recovered_SheetName_637_"/>
      <sheetName val="_Recovered_SheetName_638_"/>
      <sheetName val="_Recovered_SheetName_639_"/>
      <sheetName val="_Recovered_SheetName_640_"/>
      <sheetName val="_Recovered_SheetName_641_"/>
      <sheetName val="_Recovered_SheetName_642_"/>
      <sheetName val="_Recovered_SheetName_643_"/>
      <sheetName val="_Recovered_SheetName_644_"/>
      <sheetName val="_Recovered_SheetName_645_"/>
      <sheetName val="_Recovered_SheetName_646_"/>
      <sheetName val="_Recovered_SheetName_647_"/>
      <sheetName val="_Recovered_SheetName_648_"/>
      <sheetName val="_Recovered_SheetName_649_"/>
      <sheetName val="_Recovered_SheetName_650_"/>
      <sheetName val="_Recovered_SheetName_651_"/>
      <sheetName val="_Recovered_SheetName_652_"/>
      <sheetName val="_Recovered_SheetName_653_"/>
      <sheetName val="_Recovered_SheetName_654_"/>
      <sheetName val="_Recovered_SheetName_655_"/>
      <sheetName val="_Recovered_SheetName_656_"/>
      <sheetName val="_Recovered_SheetName_657_"/>
      <sheetName val="_Recovered_SheetName_658_"/>
      <sheetName val="_Recovered_SheetName_659_"/>
      <sheetName val="_Recovered_SheetName_660_"/>
      <sheetName val="_Recovered_SheetName_661_"/>
      <sheetName val="_Recovered_SheetName_662_"/>
      <sheetName val="_Recovered_SheetName_663_"/>
      <sheetName val="_Recovered_SheetName_664_"/>
      <sheetName val="_Recovered_SheetName_665_"/>
      <sheetName val="_Recovered_SheetName_666_"/>
      <sheetName val="_Recovered_SheetName_667_"/>
      <sheetName val="_Recovered_SheetName_668_"/>
      <sheetName val="_Recovered_SheetName_669_"/>
      <sheetName val="_Recovered_SheetName_670_"/>
      <sheetName val="_Recovered_SheetName_671_"/>
      <sheetName val="_Recovered_SheetName_672_"/>
      <sheetName val="_Recovered_SheetName_673_"/>
      <sheetName val="_Recovered_SheetName_674_"/>
      <sheetName val="_Recovered_SheetName_675_"/>
      <sheetName val="_Recovered_SheetName_676_"/>
      <sheetName val="_Recovered_SheetName_677_"/>
      <sheetName val="_Recovered_SheetName_678_"/>
      <sheetName val="_Recovered_SheetName_679_"/>
      <sheetName val="_Recovered_SheetName_680_"/>
      <sheetName val="_Recovered_SheetName_681_"/>
      <sheetName val="_Recovered_SheetName_682_"/>
      <sheetName val="_Recovered_SheetName_683_"/>
      <sheetName val="_Recovered_SheetName_684_"/>
      <sheetName val="_Recovered_SheetName_685_"/>
      <sheetName val="_Recovered_SheetName_686_"/>
      <sheetName val="_Recovered_SheetName_687_"/>
      <sheetName val="_Recovered_SheetName_688_"/>
      <sheetName val="_Recovered_SheetName_689_"/>
      <sheetName val="_Recovered_SheetName_690_"/>
      <sheetName val="_Recovered_SheetName_691_"/>
      <sheetName val="_Recovered_SheetName_692_"/>
      <sheetName val="_Recovered_SheetName_693_"/>
      <sheetName val="_Recovered_SheetName_694_"/>
      <sheetName val="_Recovered_SheetName_695_"/>
      <sheetName val="_Recovered_SheetName_696_"/>
      <sheetName val="_Recovered_SheetName_697_"/>
      <sheetName val="_Recovered_SheetName_698_"/>
      <sheetName val="_Recovered_SheetName_699_"/>
      <sheetName val="_Recovered_SheetName_700_"/>
      <sheetName val="_Recovered_SheetName_701_"/>
      <sheetName val="_Recovered_SheetName_702_"/>
      <sheetName val="_Recovered_SheetName_703_"/>
      <sheetName val="_Recovered_SheetName_704_"/>
      <sheetName val="_Recovered_SheetName_705_"/>
      <sheetName val="_Recovered_SheetName_706_"/>
      <sheetName val="_Recovered_SheetName_707_"/>
      <sheetName val="_Recovered_SheetName_708_"/>
      <sheetName val="_Recovered_SheetName_709_"/>
      <sheetName val="_Recovered_SheetName_710_"/>
      <sheetName val="_Recovered_SheetName_711_"/>
      <sheetName val="_Recovered_SheetName_712_"/>
      <sheetName val="_Recovered_SheetName_713_"/>
      <sheetName val="_Recovered_SheetName_714_"/>
      <sheetName val="_Recovered_SheetName_715_"/>
      <sheetName val="_Recovered_SheetName_716_"/>
      <sheetName val="_Recovered_SheetName_717_"/>
      <sheetName val="_Recovered_SheetName_718_"/>
      <sheetName val="_Recovered_SheetName_719_"/>
      <sheetName val="_Recovered_SheetName_720_"/>
      <sheetName val="_Recovered_SheetName_721_"/>
      <sheetName val="_Recovered_SheetName_722_"/>
      <sheetName val="_Recovered_SheetName_723_"/>
      <sheetName val="_Recovered_SheetName_724_"/>
      <sheetName val="_Recovered_SheetName_725_"/>
      <sheetName val="_Recovered_SheetName_726_"/>
      <sheetName val="_Recovered_SheetName_727_"/>
      <sheetName val="_Recovered_SheetName_728_"/>
      <sheetName val="_Recovered_SheetName_729_"/>
      <sheetName val="_Recovered_SheetName_730_"/>
      <sheetName val="_Recovered_SheetName_731_"/>
      <sheetName val="_Recovered_SheetName_732_"/>
      <sheetName val="_Recovered_SheetName_733_"/>
      <sheetName val="_Recovered_SheetName_734_"/>
      <sheetName val="_Recovered_SheetName_735_"/>
      <sheetName val="_Recovered_SheetName_736_"/>
      <sheetName val="_Recovered_SheetName_737_"/>
      <sheetName val="_Recovered_SheetName_738_"/>
      <sheetName val="_Recovered_SheetName_739_"/>
      <sheetName val="_Recovered_SheetName_740_"/>
      <sheetName val="_Recovered_SheetName_741_"/>
      <sheetName val="_Recovered_SheetName_742_"/>
      <sheetName val="_Recovered_SheetName_743_"/>
      <sheetName val="_Recovered_SheetName_744_"/>
      <sheetName val="_Recovered_SheetName_745_"/>
      <sheetName val="_Recovered_SheetName_746_"/>
      <sheetName val="_Recovered_SheetName_747_"/>
      <sheetName val="_Recovered_SheetName_748_"/>
      <sheetName val="_Recovered_SheetName_749_"/>
      <sheetName val="_Recovered_SheetName_750_"/>
      <sheetName val="_Recovered_SheetName_751_"/>
      <sheetName val="_Recovered_SheetName_752_"/>
      <sheetName val="_Recovered_SheetName_753_"/>
      <sheetName val="_Recovered_SheetName_754_"/>
      <sheetName val="_Recovered_SheetName_755_"/>
      <sheetName val="_Recovered_SheetName_756_"/>
      <sheetName val="_Recovered_SheetName_757_"/>
      <sheetName val="_Recovered_SheetName_758_"/>
      <sheetName val="_Recovered_SheetName_759_"/>
      <sheetName val="_Recovered_SheetName_760_"/>
      <sheetName val="_Recovered_SheetName_761_"/>
      <sheetName val="_Recovered_SheetName_762_"/>
      <sheetName val="_Recovered_SheetName_763_"/>
      <sheetName val="_Recovered_SheetName_764_"/>
      <sheetName val="_Recovered_SheetName_765_"/>
      <sheetName val="_Recovered_SheetName_766_"/>
      <sheetName val="_Recovered_SheetName_767_"/>
      <sheetName val="_Recovered_SheetName_768_"/>
      <sheetName val="_Recovered_SheetName_769_"/>
      <sheetName val="_Recovered_SheetName_770_"/>
      <sheetName val="_Recovered_SheetName_771_"/>
      <sheetName val="_Recovered_SheetName_772_"/>
      <sheetName val="_Recovered_SheetName_773_"/>
      <sheetName val="_Recovered_SheetName_774_"/>
      <sheetName val="_Recovered_SheetName_775_"/>
      <sheetName val="_Recovered_SheetName_776_"/>
      <sheetName val="_Recovered_SheetName_777_"/>
      <sheetName val="_Recovered_SheetName_778_"/>
      <sheetName val="_Recovered_SheetName_779_"/>
      <sheetName val="_Recovered_SheetName_780_"/>
      <sheetName val="_Recovered_SheetName_781_"/>
      <sheetName val="_Recovered_SheetName_782_"/>
      <sheetName val="_Recovered_SheetName_783_"/>
      <sheetName val="_Recovered_SheetName_784_"/>
      <sheetName val="_Recovered_SheetName_785_"/>
      <sheetName val="_Recovered_SheetName_786_"/>
      <sheetName val="_Recovered_SheetName_787_"/>
      <sheetName val="_Recovered_SheetName_788_"/>
      <sheetName val="_Recovered_SheetName_789_"/>
      <sheetName val="_Recovered_SheetName_790_"/>
      <sheetName val="_Recovered_SheetName_791_"/>
      <sheetName val="_Recovered_SheetName_792_"/>
      <sheetName val="_Recovered_SheetName_793_"/>
      <sheetName val="_Recovered_SheetName_794_"/>
      <sheetName val="_Recovered_SheetName_795_"/>
      <sheetName val="_Recovered_SheetName_796_"/>
      <sheetName val="_Recovered_SheetName_797_"/>
      <sheetName val="_Recovered_SheetName_798_"/>
      <sheetName val="_Recovered_SheetName_799_"/>
      <sheetName val="_Recovered_SheetName_800_"/>
      <sheetName val="_Recovered_SheetName_801_"/>
      <sheetName val="_Recovered_SheetName_802_"/>
      <sheetName val="_Recovered_SheetName_803_"/>
      <sheetName val="_Recovered_SheetName_804_"/>
      <sheetName val="_Recovered_SheetName_805_"/>
      <sheetName val="_Recovered_SheetName_806_"/>
      <sheetName val="_Recovered_SheetName_807_"/>
      <sheetName val="_Recovered_SheetName_808_"/>
      <sheetName val="_Recovered_SheetName_809_"/>
      <sheetName val="_Recovered_SheetName_810_"/>
      <sheetName val="_Recovered_SheetName_811_"/>
      <sheetName val="_Recovered_SheetName_812_"/>
      <sheetName val="_Recovered_SheetName_813_"/>
      <sheetName val="_Recovered_SheetName_814_"/>
      <sheetName val="_Recovered_SheetName_815_"/>
      <sheetName val="_Recovered_SheetName_816_"/>
      <sheetName val="_Recovered_SheetName_817_"/>
      <sheetName val="_Recovered_SheetName_818_"/>
      <sheetName val="_Recovered_SheetName_819_"/>
      <sheetName val="_Recovered_SheetName_820_"/>
      <sheetName val="_Recovered_SheetName_821_"/>
      <sheetName val="_Recovered_SheetName_822_"/>
      <sheetName val="_Recovered_SheetName_823_"/>
      <sheetName val="_Recovered_SheetName_824_"/>
      <sheetName val="_Recovered_SheetName_825_"/>
      <sheetName val="_Recovered_SheetName_826_"/>
      <sheetName val="_Recovered_SheetName_827_"/>
      <sheetName val="_Recovered_SheetName_828_"/>
      <sheetName val="_Recovered_SheetName_829_"/>
      <sheetName val="_Recovered_SheetName_830_"/>
      <sheetName val="_Recovered_SheetName_831_"/>
      <sheetName val="_Recovered_SheetName_832_"/>
      <sheetName val="_Recovered_SheetName_833_"/>
      <sheetName val="_Recovered_SheetName_834_"/>
      <sheetName val="_Recovered_SheetName_835_"/>
      <sheetName val="_Recovered_SheetName_836_"/>
      <sheetName val="_Recovered_SheetName_837_"/>
      <sheetName val="_Recovered_SheetName_838_"/>
      <sheetName val="_Recovered_SheetName_839_"/>
      <sheetName val="_Recovered_SheetName_840_"/>
      <sheetName val="_Recovered_SheetName_841_"/>
      <sheetName val="_Recovered_SheetName_842_"/>
      <sheetName val="_Recovered_SheetName_843_"/>
      <sheetName val="_Recovered_SheetName_844_"/>
      <sheetName val="_Recovered_SheetName_845_"/>
      <sheetName val="_Recovered_SheetName_846_"/>
      <sheetName val="_Recovered_SheetName_847_"/>
      <sheetName val="_Recovered_SheetName_848_"/>
      <sheetName val="_Recovered_SheetName_849_"/>
      <sheetName val="_Recovered_SheetName_850_"/>
      <sheetName val="_Recovered_SheetName_851_"/>
      <sheetName val="_Recovered_SheetName_852_"/>
      <sheetName val="_Recovered_SheetName_853_"/>
      <sheetName val="_Recovered_SheetName_854_"/>
      <sheetName val="_Recovered_SheetName_855_"/>
      <sheetName val="_Recovered_SheetName_856_"/>
      <sheetName val="_Recovered_SheetName_857_"/>
      <sheetName val="_Recovered_SheetName_858_"/>
      <sheetName val="_Recovered_SheetName_859_"/>
      <sheetName val="_Recovered_SheetName_860_"/>
      <sheetName val="_Recovered_SheetName_861_"/>
      <sheetName val="_Recovered_SheetName_862_"/>
      <sheetName val="_Recovered_SheetName_863_"/>
      <sheetName val="_Recovered_SheetName_864_"/>
      <sheetName val="_Recovered_SheetName_865_"/>
      <sheetName val="_Recovered_SheetName_866_"/>
      <sheetName val="_Recovered_SheetName_867_"/>
      <sheetName val="_Recovered_SheetName_868_"/>
      <sheetName val="_Recovered_SheetName_869_"/>
      <sheetName val="_Recovered_SheetName_870_"/>
      <sheetName val="_Recovered_SheetName_871_"/>
      <sheetName val="_Recovered_SheetName_872_"/>
      <sheetName val="_Recovered_SheetName_873_"/>
      <sheetName val="_Recovered_SheetName_874_"/>
      <sheetName val="_Recovered_SheetName_875_"/>
      <sheetName val="_Recovered_SheetName_876_"/>
      <sheetName val="_Recovered_SheetName_877_"/>
      <sheetName val="_Recovered_SheetName_878_"/>
      <sheetName val="_Recovered_SheetName_879_"/>
      <sheetName val="_Recovered_SheetName_880_"/>
      <sheetName val="_Recovered_SheetName_881_"/>
      <sheetName val="_Recovered_SheetName_882_"/>
      <sheetName val="_Recovered_SheetName_883_"/>
      <sheetName val="_Recovered_SheetName_884_"/>
      <sheetName val="_Recovered_SheetName_885_"/>
      <sheetName val="_Recovered_SheetName_886_"/>
      <sheetName val="_Recovered_SheetName_887_"/>
      <sheetName val="_Recovered_SheetName_888_"/>
      <sheetName val="_Recovered_SheetName_889_"/>
      <sheetName val="_Recovered_SheetName_890_"/>
      <sheetName val="_Recovered_SheetName_891_"/>
      <sheetName val="_Recovered_SheetName_892_"/>
      <sheetName val="_Recovered_SheetName_893_"/>
      <sheetName val="_Recovered_SheetName_894_"/>
      <sheetName val="_Recovered_SheetName_895_"/>
      <sheetName val="_Recovered_SheetName_896_"/>
      <sheetName val="_Recovered_SheetName_897_"/>
      <sheetName val="_Recovered_SheetName_898_"/>
      <sheetName val="_Recovered_SheetName_899_"/>
      <sheetName val="_Recovered_SheetName_900_"/>
      <sheetName val="_Recovered_SheetName_901_"/>
      <sheetName val="_Recovered_SheetName_902_"/>
      <sheetName val="_Recovered_SheetName_903_"/>
      <sheetName val="_Recovered_SheetName_904_"/>
      <sheetName val="_Recovered_SheetName_905_"/>
      <sheetName val="_Recovered_SheetName_906_"/>
      <sheetName val="_Recovered_SheetName_907_"/>
      <sheetName val="_Recovered_SheetName_908_"/>
      <sheetName val="_Recovered_SheetName_909_"/>
      <sheetName val="_Recovered_SheetName_910_"/>
      <sheetName val="_Recovered_SheetName_911_"/>
      <sheetName val="_Recovered_SheetName_912_"/>
      <sheetName val="_Recovered_SheetName_913_"/>
      <sheetName val="_Recovered_SheetName_914_"/>
      <sheetName val="_Recovered_SheetName_915_"/>
      <sheetName val="_Recovered_SheetName_916_"/>
      <sheetName val="_Recovered_SheetName_917_"/>
      <sheetName val="_Recovered_SheetName_918_"/>
      <sheetName val="_Recovered_SheetName_919_"/>
      <sheetName val="_Recovered_SheetName_920_"/>
      <sheetName val="_Recovered_SheetName_921_"/>
      <sheetName val="_Recovered_SheetName_922_"/>
      <sheetName val="_Recovered_SheetName_923_"/>
      <sheetName val="_Recovered_SheetName_924_"/>
      <sheetName val="_Recovered_SheetName_925_"/>
      <sheetName val="_Recovered_SheetName_926_"/>
      <sheetName val="_Recovered_SheetName_927_"/>
      <sheetName val="_Recovered_SheetName_928_"/>
      <sheetName val="_Recovered_SheetName_929_"/>
      <sheetName val="_Recovered_SheetName_930_"/>
      <sheetName val="_Recovered_SheetName_931_"/>
      <sheetName val="_Recovered_SheetName_932_"/>
      <sheetName val="_Recovered_SheetName_933_"/>
      <sheetName val="_Recovered_SheetName_934_"/>
      <sheetName val="_Recovered_SheetName_935_"/>
      <sheetName val="_Recovered_SheetName_936_"/>
      <sheetName val="_Recovered_SheetName_937_"/>
      <sheetName val="_Recovered_SheetName_938_"/>
      <sheetName val="_Recovered_SheetName_939_"/>
      <sheetName val="_Recovered_SheetName_940_"/>
      <sheetName val="_Recovered_SheetName_941_"/>
      <sheetName val="_Recovered_SheetName_942_"/>
      <sheetName val="_Recovered_SheetName_943_"/>
      <sheetName val="_Recovered_SheetName_944_"/>
      <sheetName val="_Recovered_SheetName_945_"/>
      <sheetName val="_Recovered_SheetName_946_"/>
      <sheetName val="_Recovered_SheetName_947_"/>
      <sheetName val="_Recovered_SheetName_948_"/>
      <sheetName val="_Recovered_SheetName_949_"/>
      <sheetName val="_Recovered_SheetName_950_"/>
      <sheetName val="_Recovered_SheetName_951_"/>
      <sheetName val="_Recovered_SheetName_952_"/>
      <sheetName val="_Recovered_SheetName_953_"/>
      <sheetName val="_Recovered_SheetName_954_"/>
      <sheetName val="_Recovered_SheetName_955_"/>
      <sheetName val="_Recovered_SheetName_956_"/>
      <sheetName val="_Recovered_SheetName_957_"/>
      <sheetName val="_Recovered_SheetName_958_"/>
      <sheetName val="_Recovered_SheetName_959_"/>
      <sheetName val="_Recovered_SheetName_960_"/>
      <sheetName val="_Recovered_SheetName_961_"/>
      <sheetName val="_Recovered_SheetName_962_"/>
      <sheetName val="_Recovered_SheetName_963_"/>
      <sheetName val="_Recovered_SheetName_964_"/>
      <sheetName val="_Recovered_SheetName_965_"/>
      <sheetName val="_Recovered_SheetName_966_"/>
      <sheetName val="_Recovered_SheetName_967_"/>
      <sheetName val="_Recovered_SheetName_968_"/>
      <sheetName val="_Recovered_SheetName_969_"/>
      <sheetName val="_Recovered_SheetName_970_"/>
      <sheetName val="_Recovered_SheetName_971_"/>
      <sheetName val="_Recovered_SheetName_972_"/>
      <sheetName val="_Recovered_SheetName_973_"/>
      <sheetName val="_Recovered_SheetName_974_"/>
      <sheetName val="_Recovered_SheetName_975_"/>
      <sheetName val="_Recovered_SheetName_976_"/>
      <sheetName val="_Recovered_SheetName_977_"/>
      <sheetName val="_Recovered_SheetName_978_"/>
      <sheetName val="_Recovered_SheetName_979_"/>
      <sheetName val="_Recovered_SheetName_980_"/>
      <sheetName val="_Recovered_SheetName_981_"/>
      <sheetName val="_Recovered_SheetName_982_"/>
      <sheetName val="_Recovered_SheetName_983_"/>
      <sheetName val="_Recovered_SheetName_984_"/>
      <sheetName val="_Recovered_SheetName_985_"/>
      <sheetName val="_Recovered_SheetName_986_"/>
      <sheetName val="_Recovered_SheetName_987_"/>
      <sheetName val="_Recovered_SheetName_988_"/>
      <sheetName val="_Recovered_SheetName_989_"/>
      <sheetName val="_Recovered_SheetName_990_"/>
      <sheetName val="_Recovered_SheetName_991_"/>
      <sheetName val="_Recovered_SheetName_992_"/>
      <sheetName val="_Recovered_SheetName_993_"/>
      <sheetName val="_Recovered_SheetName_994_"/>
      <sheetName val="_Recovered_SheetName_995_"/>
      <sheetName val="_Recovered_SheetName_996_"/>
      <sheetName val="_Recovered_SheetName_997_"/>
      <sheetName val="_Recovered_SheetName_998_"/>
      <sheetName val="_Recovered_SheetName_999_"/>
      <sheetName val="_Recovered_SheetName_1000_"/>
      <sheetName val="_Recovered_SheetName_1001_"/>
      <sheetName val="_Recovered_SheetName_1002_"/>
      <sheetName val="_Recovered_SheetName_1003_"/>
      <sheetName val="_Recovered_SheetName_1004_"/>
      <sheetName val="_Recovered_SheetName_1005_"/>
      <sheetName val="_Recovered_SheetName_1006_"/>
      <sheetName val="_Recovered_SheetName_1007_"/>
      <sheetName val="_Recovered_SheetName_1008_"/>
      <sheetName val="_Recovered_SheetName_1009_"/>
      <sheetName val="_Recovered_SheetName_1010_"/>
      <sheetName val="_Recovered_SheetName_1011_"/>
      <sheetName val="_Recovered_SheetName_1012_"/>
      <sheetName val="_Recovered_SheetName_1013_"/>
      <sheetName val="_Recovered_SheetName_1014_"/>
      <sheetName val="_Recovered_SheetName_1015_"/>
      <sheetName val="_Recovered_SheetName_1016_"/>
      <sheetName val="_Recovered_SheetName_1017_"/>
      <sheetName val="_Recovered_SheetName_1018_"/>
      <sheetName val="_Recovered_SheetName_1019_"/>
      <sheetName val="_Recovered_SheetName_1020_"/>
      <sheetName val="_Recovered_SheetName_1021_"/>
      <sheetName val="_Recovered_SheetName_1022_"/>
      <sheetName val="_Recovered_SheetName_1023_"/>
      <sheetName val="_Recovered_SheetName_1024_"/>
      <sheetName val="_Recovered_SheetName_1025_"/>
      <sheetName val="_Recovered_SheetName_1026_"/>
      <sheetName val="_Recovered_SheetName_1027_"/>
      <sheetName val="_Recovered_SheetName_1028_"/>
      <sheetName val="_Recovered_SheetName_1029_"/>
      <sheetName val="_Recovered_SheetName_1030_"/>
      <sheetName val="_Recovered_SheetName_1031_"/>
      <sheetName val="_Recovered_SheetName_1032_"/>
      <sheetName val="_Recovered_SheetName_1033_"/>
      <sheetName val="_Recovered_SheetName_1034_"/>
      <sheetName val="_Recovered_SheetName_1035_"/>
      <sheetName val="_Recovered_SheetName_1036_"/>
      <sheetName val="_Recovered_SheetName_1037_"/>
      <sheetName val="_Recovered_SheetName_1038_"/>
      <sheetName val="_Recovered_SheetName_1039_"/>
      <sheetName val="_Recovered_SheetName_1040_"/>
      <sheetName val="_Recovered_SheetName_1041_"/>
      <sheetName val="_Recovered_SheetName_1042_"/>
      <sheetName val="_Recovered_SheetName_1043_"/>
      <sheetName val="_Recovered_SheetName_1044_"/>
      <sheetName val="_Recovered_SheetName_1045_"/>
      <sheetName val="_Recovered_SheetName_1046_"/>
      <sheetName val="_Recovered_SheetName_1047_"/>
      <sheetName val="_Recovered_SheetName_1048_"/>
      <sheetName val="_Recovered_SheetName_1049_"/>
      <sheetName val="_Recovered_SheetName_1050_"/>
      <sheetName val="_Recovered_SheetName_1051_"/>
      <sheetName val="_Recovered_SheetName_1052_"/>
      <sheetName val="_Recovered_SheetName_1053_"/>
      <sheetName val="_Recovered_SheetName_1054_"/>
      <sheetName val="_Recovered_SheetName_1055_"/>
      <sheetName val="_Recovered_SheetName_1056_"/>
      <sheetName val="_Recovered_SheetName_1057_"/>
      <sheetName val="_Recovered_SheetName_1058_"/>
      <sheetName val="_Recovered_SheetName_1059_"/>
      <sheetName val="_Recovered_SheetName_1060_"/>
      <sheetName val="_Recovered_SheetName_1061_"/>
      <sheetName val="_Recovered_SheetName_1062_"/>
      <sheetName val="_Recovered_SheetName_1063_"/>
      <sheetName val="_Recovered_SheetName_1064_"/>
      <sheetName val="_Recovered_SheetName_1065_"/>
      <sheetName val="_Recovered_SheetName_1066_"/>
      <sheetName val="_Recovered_SheetName_1067_"/>
      <sheetName val="_Recovered_SheetName_1068_"/>
      <sheetName val="_Recovered_SheetName_1069_"/>
      <sheetName val="_Recovered_SheetName_1070_"/>
      <sheetName val="_Recovered_SheetName_1071_"/>
      <sheetName val="_Recovered_SheetName_1072_"/>
      <sheetName val="_Recovered_SheetName_1073_"/>
      <sheetName val="_Recovered_SheetName_1074_"/>
      <sheetName val="_Recovered_SheetName_1075_"/>
      <sheetName val="_Recovered_SheetName_1076_"/>
      <sheetName val="_Recovered_SheetName_1077_"/>
      <sheetName val="_Recovered_SheetName_1078_"/>
      <sheetName val="_Recovered_SheetName_1079_"/>
      <sheetName val="_Recovered_SheetName_1080_"/>
      <sheetName val="_Recovered_SheetName_1081_"/>
      <sheetName val="_Recovered_SheetName_1082_"/>
      <sheetName val="_Recovered_SheetName_1083_"/>
      <sheetName val="_Recovered_SheetName_1084_"/>
      <sheetName val="_Recovered_SheetName_1085_"/>
      <sheetName val="_Recovered_SheetName_1086_"/>
      <sheetName val="_Recovered_SheetName_1087_"/>
      <sheetName val="_Recovered_SheetName_1088_"/>
      <sheetName val="_Recovered_SheetName_1089_"/>
      <sheetName val="_Recovered_SheetName_1090_"/>
      <sheetName val="_Recovered_SheetName_1091_"/>
      <sheetName val="_Recovered_SheetName_1092_"/>
      <sheetName val="_Recovered_SheetName_1093_"/>
      <sheetName val="_Recovered_SheetName_1094_"/>
      <sheetName val="_Recovered_SheetName_1095_"/>
      <sheetName val="_Recovered_SheetName_1096_"/>
      <sheetName val="_Recovered_SheetName_1097_"/>
      <sheetName val="_Recovered_SheetName_1098_"/>
      <sheetName val="_Recovered_SheetName_1099_"/>
      <sheetName val="_Recovered_SheetName_1100_"/>
      <sheetName val="_Recovered_SheetName_1101_"/>
      <sheetName val="_Recovered_SheetName_1102_"/>
      <sheetName val="_Recovered_SheetName_1103_"/>
      <sheetName val="_Recovered_SheetName_1104_"/>
      <sheetName val="_Recovered_SheetName_1105_"/>
      <sheetName val="_Recovered_SheetName_1106_"/>
      <sheetName val="_Recovered_SheetName_1107_"/>
      <sheetName val="_Recovered_SheetName_1108_"/>
      <sheetName val="_Recovered_SheetName_1109_"/>
      <sheetName val="_Recovered_SheetName_1110_"/>
      <sheetName val="_Recovered_SheetName_1111_"/>
      <sheetName val="_Recovered_SheetName_1112_"/>
      <sheetName val="_Recovered_SheetName_1113_"/>
      <sheetName val="_Recovered_SheetName_1114_"/>
      <sheetName val="_Recovered_SheetName_1115_"/>
      <sheetName val="_Recovered_SheetName_1116_"/>
      <sheetName val="_Recovered_SheetName_1117_"/>
      <sheetName val="_Recovered_SheetName_1118_"/>
      <sheetName val="_Recovered_SheetName_1119_"/>
      <sheetName val="_Recovered_SheetName_1120_"/>
      <sheetName val="_Recovered_SheetName_1121_"/>
      <sheetName val="_Recovered_SheetName_1122_"/>
      <sheetName val="_Recovered_SheetName_1123_"/>
      <sheetName val="_Recovered_SheetName_1124_"/>
      <sheetName val="_Recovered_SheetName_1125_"/>
      <sheetName val="_Recovered_SheetName_1126_"/>
      <sheetName val="_Recovered_SheetName_1127_"/>
      <sheetName val="_Recovered_SheetName_1128_"/>
      <sheetName val="_Recovered_SheetName_1129_"/>
      <sheetName val="_Recovered_SheetName_1130_"/>
      <sheetName val="_Recovered_SheetName_1131_"/>
      <sheetName val="_Recovered_SheetName_1132_"/>
      <sheetName val="_Recovered_SheetName_1133_"/>
      <sheetName val="_Recovered_SheetName_1134_"/>
      <sheetName val="_Recovered_SheetName_1135_"/>
      <sheetName val="_Recovered_SheetName_1136_"/>
      <sheetName val="_Recovered_SheetName_1137_"/>
      <sheetName val="_Recovered_SheetName_1138_"/>
      <sheetName val="_Recovered_SheetName_1139_"/>
      <sheetName val="_Recovered_SheetName_1140_"/>
      <sheetName val="_Recovered_SheetName_1141_"/>
      <sheetName val="_Recovered_SheetName_1142_"/>
      <sheetName val="_Recovered_SheetName_1143_"/>
      <sheetName val="_Recovered_SheetName_1144_"/>
      <sheetName val="_Recovered_SheetName_1145_"/>
      <sheetName val="_Recovered_SheetName_1146_"/>
      <sheetName val="_Recovered_SheetName_1147_"/>
      <sheetName val="_Recovered_SheetName_1148_"/>
      <sheetName val="_Recovered_SheetName_1149_"/>
      <sheetName val="_Recovered_SheetName_1150_"/>
      <sheetName val="_Recovered_SheetName_1151_"/>
      <sheetName val="_Recovered_SheetName_1152_"/>
      <sheetName val="_Recovered_SheetName_1153_"/>
      <sheetName val="_Recovered_SheetName_1154_"/>
      <sheetName val="_Recovered_SheetName_1155_"/>
      <sheetName val="_Recovered_SheetName_1156_"/>
      <sheetName val="_Recovered_SheetName_1157_"/>
      <sheetName val="_Recovered_SheetName_1158_"/>
      <sheetName val="_Recovered_SheetName_1159_"/>
      <sheetName val="_Recovered_SheetName_1160_"/>
      <sheetName val="_Recovered_SheetName_1161_"/>
      <sheetName val="_Recovered_SheetName_1162_"/>
      <sheetName val="_Recovered_SheetName_1163_"/>
      <sheetName val="_Recovered_SheetName_1164_"/>
      <sheetName val="_Recovered_SheetName_1165_"/>
      <sheetName val="_Recovered_SheetName_1166_"/>
      <sheetName val="_Recovered_SheetName_1167_"/>
      <sheetName val="_Recovered_SheetName_1168_"/>
      <sheetName val="_Recovered_SheetName_1169_"/>
      <sheetName val="_Recovered_SheetName_1170_"/>
      <sheetName val="_Recovered_SheetName_1171_"/>
      <sheetName val="_Recovered_SheetName_1172_"/>
      <sheetName val="_Recovered_SheetName_1173_"/>
      <sheetName val="_Recovered_SheetName_1174_"/>
      <sheetName val="_Recovered_SheetName_1175_"/>
      <sheetName val="_Recovered_SheetName_1176_"/>
      <sheetName val="_Recovered_SheetName_1177_"/>
      <sheetName val="_Recovered_SheetName_1178_"/>
      <sheetName val="_Recovered_SheetName_1179_"/>
      <sheetName val="_Recovered_SheetName_1180_"/>
      <sheetName val="_Recovered_SheetName_1181_"/>
      <sheetName val="_Recovered_SheetName_1182_"/>
      <sheetName val="_Recovered_SheetName_1183_"/>
      <sheetName val="_Recovered_SheetName_1184_"/>
      <sheetName val="_Recovered_SheetName_1185_"/>
      <sheetName val="_Recovered_SheetName_1186_"/>
      <sheetName val="_Recovered_SheetName_1187_"/>
      <sheetName val="_Recovered_SheetName_1188_"/>
      <sheetName val="_Recovered_SheetName_1189_"/>
      <sheetName val="_Recovered_SheetName_1190_"/>
      <sheetName val="_Recovered_SheetName_1191_"/>
      <sheetName val="_Recovered_SheetName_1192_"/>
      <sheetName val="_Recovered_SheetName_1193_"/>
      <sheetName val="_Recovered_SheetName_1194_"/>
      <sheetName val="_Recovered_SheetName_1195_"/>
      <sheetName val="_Recovered_SheetName_1196_"/>
      <sheetName val="_Recovered_SheetName_1197_"/>
      <sheetName val="_Recovered_SheetName_1198_"/>
      <sheetName val="_Recovered_SheetName_1199_"/>
      <sheetName val="_Recovered_SheetName_1200_"/>
      <sheetName val="_Recovered_SheetName_1201_"/>
      <sheetName val="_Recovered_SheetName_1202_"/>
      <sheetName val="_Recovered_SheetName_1203_"/>
      <sheetName val="_Recovered_SheetName_1204_"/>
      <sheetName val="_Recovered_SheetName_1205_"/>
      <sheetName val="_Recovered_SheetName_1206_"/>
      <sheetName val="_Recovered_SheetName_1207_"/>
      <sheetName val="_Recovered_SheetName_1208_"/>
      <sheetName val="_Recovered_SheetName_1209_"/>
      <sheetName val="_Recovered_SheetName_1210_"/>
      <sheetName val="enums"/>
      <sheetName val="Name Manager"/>
      <sheetName val="PPAP LOG"/>
      <sheetName val="DETAILED__BOQ"/>
      <sheetName val="Leg_1-1"/>
      <sheetName val="SSR_&amp;_NSSR_Market_final"/>
      <sheetName val="Lookup_definitions"/>
      <sheetName val="WORK_TABLE"/>
      <sheetName val="QS Name"/>
      <sheetName val="PRI-LS"/>
      <sheetName val=""/>
      <sheetName val="Schedule"/>
      <sheetName val="BLOCK WORK B2"/>
      <sheetName val="fitoutconfcentre"/>
      <sheetName val="DOOR-WIND"/>
      <sheetName val="A.O.R."/>
      <sheetName val="std_wt__x0010_"/>
      <sheetName val="M- Rate"/>
      <sheetName val="Subhead_IV"/>
      <sheetName val="Trial Balance"/>
      <sheetName val="auto"/>
      <sheetName val="TABLE2"/>
      <sheetName val="Drop Down List"/>
      <sheetName val="경제지표"/>
      <sheetName val="세금자료"/>
      <sheetName val="Table"/>
      <sheetName val="11-hsd"/>
      <sheetName val="13-septic"/>
      <sheetName val="7-ug"/>
      <sheetName val="2-utility"/>
      <sheetName val="18-misc"/>
      <sheetName val="5-pip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row r="3">
          <cell r="D3" t="str">
            <v>Gujarat rehabilitation work of Mathak village for TWRI</v>
          </cell>
        </row>
      </sheetData>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ow r="3">
          <cell r="D3" t="str">
            <v>Gujarat rehabilitation work of Mathak village for TWRI</v>
          </cell>
        </row>
      </sheetData>
      <sheetData sheetId="284">
        <row r="3">
          <cell r="D3" t="str">
            <v>Gujarat rehabilitation work of Mathak village for TWRI</v>
          </cell>
        </row>
      </sheetData>
      <sheetData sheetId="285">
        <row r="3">
          <cell r="D3" t="str">
            <v>Gujarat rehabilitation work of Mathak village for TWRI</v>
          </cell>
        </row>
      </sheetData>
      <sheetData sheetId="286">
        <row r="3">
          <cell r="D3" t="str">
            <v>Gujarat rehabilitation work of Mathak village for TWRI</v>
          </cell>
        </row>
      </sheetData>
      <sheetData sheetId="287">
        <row r="3">
          <cell r="D3" t="str">
            <v>Gujarat rehabilitation work of Mathak village for TWRI</v>
          </cell>
        </row>
      </sheetData>
      <sheetData sheetId="288">
        <row r="3">
          <cell r="D3" t="str">
            <v>Gujarat rehabilitation work of Mathak village for TWRI</v>
          </cell>
        </row>
      </sheetData>
      <sheetData sheetId="289">
        <row r="3">
          <cell r="D3" t="str">
            <v>Gujarat rehabilitation work of Mathak village for TWRI</v>
          </cell>
        </row>
      </sheetData>
      <sheetData sheetId="290">
        <row r="3">
          <cell r="D3" t="str">
            <v>Gujarat rehabilitation work of Mathak village for TWRI</v>
          </cell>
        </row>
      </sheetData>
      <sheetData sheetId="291">
        <row r="3">
          <cell r="D3" t="str">
            <v>Gujarat rehabilitation work of Mathak village for TWRI</v>
          </cell>
        </row>
      </sheetData>
      <sheetData sheetId="292">
        <row r="3">
          <cell r="D3" t="str">
            <v>Gujarat rehabilitation work of Mathak village for TWRI</v>
          </cell>
        </row>
      </sheetData>
      <sheetData sheetId="293"/>
      <sheetData sheetId="294">
        <row r="3">
          <cell r="D3" t="str">
            <v>Gujarat rehabilitation work of Mathak village for TWRI</v>
          </cell>
        </row>
      </sheetData>
      <sheetData sheetId="295">
        <row r="3">
          <cell r="D3" t="str">
            <v>Gujarat rehabilitation work of Mathak village for TWRI</v>
          </cell>
        </row>
      </sheetData>
      <sheetData sheetId="296">
        <row r="3">
          <cell r="D3" t="str">
            <v>Gujarat rehabilitation work of Mathak village for TWRI</v>
          </cell>
        </row>
      </sheetData>
      <sheetData sheetId="297">
        <row r="3">
          <cell r="D3" t="str">
            <v>Gujarat rehabilitation work of Mathak village for TWRI</v>
          </cell>
        </row>
      </sheetData>
      <sheetData sheetId="298">
        <row r="3">
          <cell r="D3" t="str">
            <v>Gujarat rehabilitation work of Mathak village for TWRI</v>
          </cell>
        </row>
      </sheetData>
      <sheetData sheetId="299">
        <row r="3">
          <cell r="D3" t="str">
            <v>Gujarat rehabilitation work of Mathak village for TWRI</v>
          </cell>
        </row>
      </sheetData>
      <sheetData sheetId="300">
        <row r="3">
          <cell r="D3" t="str">
            <v>Gujarat rehabilitation work of Mathak village for TWRI</v>
          </cell>
        </row>
      </sheetData>
      <sheetData sheetId="301">
        <row r="3">
          <cell r="D3" t="str">
            <v>Gujarat rehabilitation work of Mathak village for TWRI</v>
          </cell>
        </row>
      </sheetData>
      <sheetData sheetId="302">
        <row r="3">
          <cell r="D3" t="str">
            <v>Gujarat rehabilitation work of Mathak village for TWRI</v>
          </cell>
        </row>
      </sheetData>
      <sheetData sheetId="303">
        <row r="3">
          <cell r="D3" t="str">
            <v>Gujarat rehabilitation work of Mathak village for TWRI</v>
          </cell>
        </row>
      </sheetData>
      <sheetData sheetId="304">
        <row r="3">
          <cell r="D3" t="str">
            <v>Gujarat rehabilitation work of Mathak village for TWRI</v>
          </cell>
        </row>
      </sheetData>
      <sheetData sheetId="305">
        <row r="3">
          <cell r="D3" t="str">
            <v>Gujarat rehabilitation work of Mathak village for TWRI</v>
          </cell>
        </row>
      </sheetData>
      <sheetData sheetId="306">
        <row r="3">
          <cell r="D3" t="str">
            <v>Gujarat rehabilitation work of Mathak village for TWRI</v>
          </cell>
        </row>
      </sheetData>
      <sheetData sheetId="307">
        <row r="3">
          <cell r="D3" t="str">
            <v>Gujarat rehabilitation work of Mathak village for TWRI</v>
          </cell>
        </row>
      </sheetData>
      <sheetData sheetId="308">
        <row r="3">
          <cell r="D3" t="str">
            <v>Gujarat rehabilitation work of Mathak village for TWRI</v>
          </cell>
        </row>
      </sheetData>
      <sheetData sheetId="309">
        <row r="3">
          <cell r="D3" t="str">
            <v>Gujarat rehabilitation work of Mathak village for TWRI</v>
          </cell>
        </row>
      </sheetData>
      <sheetData sheetId="310">
        <row r="3">
          <cell r="D3" t="str">
            <v>Gujarat rehabilitation work of Mathak village for TWRI</v>
          </cell>
        </row>
      </sheetData>
      <sheetData sheetId="311">
        <row r="3">
          <cell r="D3" t="str">
            <v>Gujarat rehabilitation work of Mathak village for TWRI</v>
          </cell>
        </row>
      </sheetData>
      <sheetData sheetId="312">
        <row r="3">
          <cell r="D3" t="str">
            <v>Gujarat rehabilitation work of Mathak village for TWRI</v>
          </cell>
        </row>
      </sheetData>
      <sheetData sheetId="313">
        <row r="3">
          <cell r="D3" t="str">
            <v>Gujarat rehabilitation work of Mathak village for TWRI</v>
          </cell>
        </row>
      </sheetData>
      <sheetData sheetId="314">
        <row r="3">
          <cell r="D3" t="str">
            <v>Gujarat rehabilitation work of Mathak village for TWRI</v>
          </cell>
        </row>
      </sheetData>
      <sheetData sheetId="315">
        <row r="3">
          <cell r="D3" t="str">
            <v>Gujarat rehabilitation work of Mathak village for TWRI</v>
          </cell>
        </row>
      </sheetData>
      <sheetData sheetId="316">
        <row r="3">
          <cell r="D3" t="str">
            <v>Gujarat rehabilitation work of Mathak village for TWRI</v>
          </cell>
        </row>
      </sheetData>
      <sheetData sheetId="317">
        <row r="3">
          <cell r="D3" t="str">
            <v>Gujarat rehabilitation work of Mathak village for TWRI</v>
          </cell>
        </row>
      </sheetData>
      <sheetData sheetId="318">
        <row r="3">
          <cell r="D3" t="str">
            <v>Gujarat rehabilitation work of Mathak village for TWRI</v>
          </cell>
        </row>
      </sheetData>
      <sheetData sheetId="319">
        <row r="3">
          <cell r="D3" t="str">
            <v>Gujarat rehabilitation work of Mathak village for TWRI</v>
          </cell>
        </row>
      </sheetData>
      <sheetData sheetId="320">
        <row r="3">
          <cell r="D3" t="str">
            <v>Gujarat rehabilitation work of Mathak village for TWRI</v>
          </cell>
        </row>
      </sheetData>
      <sheetData sheetId="321"/>
      <sheetData sheetId="322">
        <row r="3">
          <cell r="D3" t="str">
            <v>Gujarat rehabilitation work of Mathak village for TWRI</v>
          </cell>
        </row>
      </sheetData>
      <sheetData sheetId="323">
        <row r="3">
          <cell r="D3" t="str">
            <v>Gujarat rehabilitation work of Mathak village for TWRI</v>
          </cell>
        </row>
      </sheetData>
      <sheetData sheetId="324">
        <row r="3">
          <cell r="D3" t="str">
            <v>Gujarat rehabilitation work of Mathak village for TWRI</v>
          </cell>
        </row>
      </sheetData>
      <sheetData sheetId="325">
        <row r="3">
          <cell r="D3" t="str">
            <v>Gujarat rehabilitation work of Mathak village for TWRI</v>
          </cell>
        </row>
      </sheetData>
      <sheetData sheetId="326">
        <row r="3">
          <cell r="D3" t="str">
            <v>Gujarat rehabilitation work of Mathak village for TWRI</v>
          </cell>
        </row>
      </sheetData>
      <sheetData sheetId="327">
        <row r="3">
          <cell r="D3" t="str">
            <v>Gujarat rehabilitation work of Mathak village for TWRI</v>
          </cell>
        </row>
      </sheetData>
      <sheetData sheetId="328">
        <row r="3">
          <cell r="D3" t="str">
            <v>Gujarat rehabilitation work of Mathak village for TWRI</v>
          </cell>
        </row>
      </sheetData>
      <sheetData sheetId="329">
        <row r="3">
          <cell r="D3" t="str">
            <v>Gujarat rehabilitation work of Mathak village for TWRI</v>
          </cell>
        </row>
      </sheetData>
      <sheetData sheetId="330">
        <row r="3">
          <cell r="D3" t="str">
            <v>Gujarat rehabilitation work of Mathak village for TWRI</v>
          </cell>
        </row>
      </sheetData>
      <sheetData sheetId="331">
        <row r="3">
          <cell r="D3" t="str">
            <v>Gujarat rehabilitation work of Mathak village for TWRI</v>
          </cell>
        </row>
      </sheetData>
      <sheetData sheetId="332">
        <row r="3">
          <cell r="D3" t="str">
            <v>Gujarat rehabilitation work of Mathak village for TWRI</v>
          </cell>
        </row>
      </sheetData>
      <sheetData sheetId="333">
        <row r="3">
          <cell r="D3" t="str">
            <v>Gujarat rehabilitation work of Mathak village for TWRI</v>
          </cell>
        </row>
      </sheetData>
      <sheetData sheetId="334">
        <row r="3">
          <cell r="D3" t="str">
            <v>Gujarat rehabilitation work of Mathak village for TWRI</v>
          </cell>
        </row>
      </sheetData>
      <sheetData sheetId="335">
        <row r="3">
          <cell r="D3" t="str">
            <v>Gujarat rehabilitation work of Mathak village for TWRI</v>
          </cell>
        </row>
      </sheetData>
      <sheetData sheetId="336">
        <row r="3">
          <cell r="D3" t="str">
            <v>Gujarat rehabilitation work of Mathak village for TWRI</v>
          </cell>
        </row>
      </sheetData>
      <sheetData sheetId="337">
        <row r="3">
          <cell r="D3" t="str">
            <v>Gujarat rehabilitation work of Mathak village for TWRI</v>
          </cell>
        </row>
      </sheetData>
      <sheetData sheetId="338">
        <row r="3">
          <cell r="D3" t="str">
            <v>Gujarat rehabilitation work of Mathak village for TWRI</v>
          </cell>
        </row>
      </sheetData>
      <sheetData sheetId="339"/>
      <sheetData sheetId="340"/>
      <sheetData sheetId="341">
        <row r="3">
          <cell r="D3" t="str">
            <v>Gujarat rehabilitation work of Mathak village for TWRI</v>
          </cell>
        </row>
      </sheetData>
      <sheetData sheetId="342">
        <row r="3">
          <cell r="D3" t="str">
            <v>Gujarat rehabilitation work of Mathak village for TWRI</v>
          </cell>
        </row>
      </sheetData>
      <sheetData sheetId="343">
        <row r="3">
          <cell r="D3" t="str">
            <v>Gujarat rehabilitation work of Mathak village for TWRI</v>
          </cell>
        </row>
      </sheetData>
      <sheetData sheetId="344">
        <row r="3">
          <cell r="D3" t="str">
            <v>Gujarat rehabilitation work of Mathak village for TWRI</v>
          </cell>
        </row>
      </sheetData>
      <sheetData sheetId="345">
        <row r="3">
          <cell r="D3" t="str">
            <v>Gujarat rehabilitation work of Mathak village for TWRI</v>
          </cell>
        </row>
      </sheetData>
      <sheetData sheetId="346">
        <row r="3">
          <cell r="D3" t="str">
            <v>Gujarat rehabilitation work of Mathak village for TWRI</v>
          </cell>
        </row>
      </sheetData>
      <sheetData sheetId="347">
        <row r="3">
          <cell r="D3" t="str">
            <v>Gujarat rehabilitation work of Mathak village for TWRI</v>
          </cell>
        </row>
      </sheetData>
      <sheetData sheetId="348">
        <row r="3">
          <cell r="D3" t="str">
            <v>Gujarat rehabilitation work of Mathak village for TWRI</v>
          </cell>
        </row>
      </sheetData>
      <sheetData sheetId="349">
        <row r="3">
          <cell r="D3" t="str">
            <v>Gujarat rehabilitation work of Mathak village for TWRI</v>
          </cell>
        </row>
      </sheetData>
      <sheetData sheetId="350">
        <row r="3">
          <cell r="D3" t="str">
            <v>Gujarat rehabilitation work of Mathak village for TWRI</v>
          </cell>
        </row>
      </sheetData>
      <sheetData sheetId="351">
        <row r="3">
          <cell r="D3" t="str">
            <v>Gujarat rehabilitation work of Mathak village for TWRI</v>
          </cell>
        </row>
      </sheetData>
      <sheetData sheetId="352">
        <row r="3">
          <cell r="D3" t="str">
            <v>Gujarat rehabilitation work of Mathak village for TWRI</v>
          </cell>
        </row>
      </sheetData>
      <sheetData sheetId="353">
        <row r="3">
          <cell r="D3" t="str">
            <v>Gujarat rehabilitation work of Mathak village for TWRI</v>
          </cell>
        </row>
      </sheetData>
      <sheetData sheetId="354"/>
      <sheetData sheetId="355">
        <row r="3">
          <cell r="D3" t="str">
            <v>Gujarat rehabilitation work of Mathak village for TWRI</v>
          </cell>
        </row>
      </sheetData>
      <sheetData sheetId="356">
        <row r="3">
          <cell r="D3" t="str">
            <v>Gujarat rehabilitation work of Mathak village for TWRI</v>
          </cell>
        </row>
      </sheetData>
      <sheetData sheetId="357">
        <row r="3">
          <cell r="D3" t="str">
            <v>Gujarat rehabilitation work of Mathak village for TWRI</v>
          </cell>
        </row>
      </sheetData>
      <sheetData sheetId="358">
        <row r="3">
          <cell r="D3" t="str">
            <v>Gujarat rehabilitation work of Mathak village for TWRI</v>
          </cell>
        </row>
      </sheetData>
      <sheetData sheetId="359"/>
      <sheetData sheetId="360"/>
      <sheetData sheetId="361"/>
      <sheetData sheetId="362"/>
      <sheetData sheetId="363"/>
      <sheetData sheetId="364"/>
      <sheetData sheetId="365"/>
      <sheetData sheetId="366">
        <row r="3">
          <cell r="D3" t="str">
            <v>Gujarat rehabilitation work of Mathak village for TWRI</v>
          </cell>
        </row>
      </sheetData>
      <sheetData sheetId="367">
        <row r="3">
          <cell r="D3" t="str">
            <v>Gujarat rehabilitation work of Mathak village for TWRI</v>
          </cell>
        </row>
      </sheetData>
      <sheetData sheetId="368">
        <row r="3">
          <cell r="D3" t="str">
            <v>Gujarat rehabilitation work of Mathak village for TWRI</v>
          </cell>
        </row>
      </sheetData>
      <sheetData sheetId="369">
        <row r="3">
          <cell r="D3" t="str">
            <v>Gujarat rehabilitation work of Mathak village for TWRI</v>
          </cell>
        </row>
      </sheetData>
      <sheetData sheetId="370">
        <row r="3">
          <cell r="D3" t="str">
            <v>Gujarat rehabilitation work of Mathak village for TWRI</v>
          </cell>
        </row>
      </sheetData>
      <sheetData sheetId="371">
        <row r="3">
          <cell r="D3" t="str">
            <v>Gujarat rehabilitation work of Mathak village for TWRI</v>
          </cell>
        </row>
      </sheetData>
      <sheetData sheetId="372">
        <row r="3">
          <cell r="D3" t="str">
            <v>Gujarat rehabilitation work of Mathak village for TWRI</v>
          </cell>
        </row>
      </sheetData>
      <sheetData sheetId="373">
        <row r="3">
          <cell r="D3" t="str">
            <v>Gujarat rehabilitation work of Mathak village for TWRI</v>
          </cell>
        </row>
      </sheetData>
      <sheetData sheetId="374">
        <row r="3">
          <cell r="D3" t="str">
            <v>Gujarat rehabilitation work of Mathak village for TWRI</v>
          </cell>
        </row>
      </sheetData>
      <sheetData sheetId="375">
        <row r="3">
          <cell r="D3" t="str">
            <v>Gujarat rehabilitation work of Mathak village for TWRI</v>
          </cell>
        </row>
      </sheetData>
      <sheetData sheetId="376">
        <row r="3">
          <cell r="D3" t="str">
            <v>Gujarat rehabilitation work of Mathak village for TWRI</v>
          </cell>
        </row>
      </sheetData>
      <sheetData sheetId="377">
        <row r="3">
          <cell r="D3" t="str">
            <v>Gujarat rehabilitation work of Mathak village for TWRI</v>
          </cell>
        </row>
      </sheetData>
      <sheetData sheetId="378">
        <row r="3">
          <cell r="D3" t="str">
            <v>Gujarat rehabilitation work of Mathak village for TWRI</v>
          </cell>
        </row>
      </sheetData>
      <sheetData sheetId="379">
        <row r="3">
          <cell r="D3" t="str">
            <v>Gujarat rehabilitation work of Mathak village for TWRI</v>
          </cell>
        </row>
      </sheetData>
      <sheetData sheetId="380">
        <row r="3">
          <cell r="D3" t="str">
            <v>Gujarat rehabilitation work of Mathak village for TWRI</v>
          </cell>
        </row>
      </sheetData>
      <sheetData sheetId="381">
        <row r="3">
          <cell r="D3" t="str">
            <v>Gujarat rehabilitation work of Mathak village for TWRI</v>
          </cell>
        </row>
      </sheetData>
      <sheetData sheetId="382">
        <row r="3">
          <cell r="D3" t="str">
            <v>Gujarat rehabilitation work of Mathak village for TWRI</v>
          </cell>
        </row>
      </sheetData>
      <sheetData sheetId="383">
        <row r="3">
          <cell r="D3" t="str">
            <v>Gujarat rehabilitation work of Mathak village for TWRI</v>
          </cell>
        </row>
      </sheetData>
      <sheetData sheetId="384">
        <row r="3">
          <cell r="D3" t="str">
            <v>Gujarat rehabilitation work of Mathak village for TWRI</v>
          </cell>
        </row>
      </sheetData>
      <sheetData sheetId="385">
        <row r="3">
          <cell r="D3" t="str">
            <v>Gujarat rehabilitation work of Mathak village for TWRI</v>
          </cell>
        </row>
      </sheetData>
      <sheetData sheetId="386">
        <row r="3">
          <cell r="D3" t="str">
            <v>Gujarat rehabilitation work of Mathak village for TWRI</v>
          </cell>
        </row>
      </sheetData>
      <sheetData sheetId="387">
        <row r="3">
          <cell r="D3" t="str">
            <v>Gujarat rehabilitation work of Mathak village for TWRI</v>
          </cell>
        </row>
      </sheetData>
      <sheetData sheetId="388">
        <row r="3">
          <cell r="D3" t="str">
            <v>Gujarat rehabilitation work of Mathak village for TWRI</v>
          </cell>
        </row>
      </sheetData>
      <sheetData sheetId="389">
        <row r="3">
          <cell r="D3" t="str">
            <v>Gujarat rehabilitation work of Mathak village for TWRI</v>
          </cell>
        </row>
      </sheetData>
      <sheetData sheetId="390">
        <row r="3">
          <cell r="D3" t="str">
            <v>Gujarat rehabilitation work of Mathak village for TWRI</v>
          </cell>
        </row>
      </sheetData>
      <sheetData sheetId="391">
        <row r="3">
          <cell r="D3" t="str">
            <v>Gujarat rehabilitation work of Mathak village for TWRI</v>
          </cell>
        </row>
      </sheetData>
      <sheetData sheetId="392">
        <row r="3">
          <cell r="D3" t="str">
            <v>Gujarat rehabilitation work of Mathak village for TWRI</v>
          </cell>
        </row>
      </sheetData>
      <sheetData sheetId="393">
        <row r="3">
          <cell r="D3" t="str">
            <v>Gujarat rehabilitation work of Mathak village for TWRI</v>
          </cell>
        </row>
      </sheetData>
      <sheetData sheetId="394">
        <row r="3">
          <cell r="D3" t="str">
            <v>Gujarat rehabilitation work of Mathak village for TWRI</v>
          </cell>
        </row>
      </sheetData>
      <sheetData sheetId="395">
        <row r="3">
          <cell r="D3" t="str">
            <v>Gujarat rehabilitation work of Mathak village for TWRI</v>
          </cell>
        </row>
      </sheetData>
      <sheetData sheetId="396">
        <row r="3">
          <cell r="D3" t="str">
            <v>Gujarat rehabilitation work of Mathak village for TWRI</v>
          </cell>
        </row>
      </sheetData>
      <sheetData sheetId="397">
        <row r="3">
          <cell r="D3" t="str">
            <v>Gujarat rehabilitation work of Mathak village for TWRI</v>
          </cell>
        </row>
      </sheetData>
      <sheetData sheetId="398">
        <row r="3">
          <cell r="D3" t="str">
            <v>Gujarat rehabilitation work of Mathak village for TWRI</v>
          </cell>
        </row>
      </sheetData>
      <sheetData sheetId="399">
        <row r="3">
          <cell r="D3" t="str">
            <v>Gujarat rehabilitation work of Mathak village for TWRI</v>
          </cell>
        </row>
      </sheetData>
      <sheetData sheetId="400">
        <row r="3">
          <cell r="D3" t="str">
            <v>Gujarat rehabilitation work of Mathak village for TWRI</v>
          </cell>
        </row>
      </sheetData>
      <sheetData sheetId="401">
        <row r="3">
          <cell r="D3" t="str">
            <v>Gujarat rehabilitation work of Mathak village for TWRI</v>
          </cell>
        </row>
      </sheetData>
      <sheetData sheetId="402">
        <row r="3">
          <cell r="D3" t="str">
            <v>Gujarat rehabilitation work of Mathak village for TWRI</v>
          </cell>
        </row>
      </sheetData>
      <sheetData sheetId="403">
        <row r="3">
          <cell r="D3" t="str">
            <v>Gujarat rehabilitation work of Mathak village for TWRI</v>
          </cell>
        </row>
      </sheetData>
      <sheetData sheetId="404">
        <row r="3">
          <cell r="D3" t="str">
            <v>Gujarat rehabilitation work of Mathak village for TWRI</v>
          </cell>
        </row>
      </sheetData>
      <sheetData sheetId="405">
        <row r="3">
          <cell r="D3" t="str">
            <v>Gujarat rehabilitation work of Mathak village for TWRI</v>
          </cell>
        </row>
      </sheetData>
      <sheetData sheetId="406">
        <row r="3">
          <cell r="D3" t="str">
            <v>Gujarat rehabilitation work of Mathak village for TWRI</v>
          </cell>
        </row>
      </sheetData>
      <sheetData sheetId="407">
        <row r="3">
          <cell r="D3" t="str">
            <v>Gujarat rehabilitation work of Mathak village for TWRI</v>
          </cell>
        </row>
      </sheetData>
      <sheetData sheetId="408">
        <row r="3">
          <cell r="D3" t="str">
            <v>Gujarat rehabilitation work of Mathak village for TWRI</v>
          </cell>
        </row>
      </sheetData>
      <sheetData sheetId="409">
        <row r="3">
          <cell r="D3" t="str">
            <v>Gujarat rehabilitation work of Mathak village for TWRI</v>
          </cell>
        </row>
      </sheetData>
      <sheetData sheetId="410">
        <row r="3">
          <cell r="D3" t="str">
            <v>Gujarat rehabilitation work of Mathak village for TWRI</v>
          </cell>
        </row>
      </sheetData>
      <sheetData sheetId="411">
        <row r="3">
          <cell r="D3" t="str">
            <v>Gujarat rehabilitation work of Mathak village for TWRI</v>
          </cell>
        </row>
      </sheetData>
      <sheetData sheetId="412">
        <row r="3">
          <cell r="D3" t="str">
            <v>Gujarat rehabilitation work of Mathak village for TWRI</v>
          </cell>
        </row>
      </sheetData>
      <sheetData sheetId="413">
        <row r="3">
          <cell r="D3" t="str">
            <v>Gujarat rehabilitation work of Mathak village for TWRI</v>
          </cell>
        </row>
      </sheetData>
      <sheetData sheetId="414">
        <row r="3">
          <cell r="D3" t="str">
            <v>Gujarat rehabilitation work of Mathak village for TWRI</v>
          </cell>
        </row>
      </sheetData>
      <sheetData sheetId="415">
        <row r="3">
          <cell r="D3" t="str">
            <v>Gujarat rehabilitation work of Mathak village for TWRI</v>
          </cell>
        </row>
      </sheetData>
      <sheetData sheetId="416">
        <row r="3">
          <cell r="D3" t="str">
            <v>Gujarat rehabilitation work of Mathak village for TWRI</v>
          </cell>
        </row>
      </sheetData>
      <sheetData sheetId="417">
        <row r="3">
          <cell r="D3" t="str">
            <v>Gujarat rehabilitation work of Mathak village for TWRI</v>
          </cell>
        </row>
      </sheetData>
      <sheetData sheetId="418">
        <row r="3">
          <cell r="D3" t="str">
            <v>Gujarat rehabilitation work of Mathak village for TWRI</v>
          </cell>
        </row>
      </sheetData>
      <sheetData sheetId="419">
        <row r="3">
          <cell r="D3" t="str">
            <v>Gujarat rehabilitation work of Mathak village for TWRI</v>
          </cell>
        </row>
      </sheetData>
      <sheetData sheetId="420">
        <row r="3">
          <cell r="D3" t="str">
            <v>Gujarat rehabilitation work of Mathak village for TWRI</v>
          </cell>
        </row>
      </sheetData>
      <sheetData sheetId="421">
        <row r="3">
          <cell r="D3" t="str">
            <v>Gujarat rehabilitation work of Mathak village for TWRI</v>
          </cell>
        </row>
      </sheetData>
      <sheetData sheetId="422">
        <row r="3">
          <cell r="D3" t="str">
            <v>Gujarat rehabilitation work of Mathak village for TWRI</v>
          </cell>
        </row>
      </sheetData>
      <sheetData sheetId="423">
        <row r="3">
          <cell r="D3" t="str">
            <v>Gujarat rehabilitation work of Mathak village for TWRI</v>
          </cell>
        </row>
      </sheetData>
      <sheetData sheetId="424">
        <row r="3">
          <cell r="D3" t="str">
            <v>Gujarat rehabilitation work of Mathak village for TWRI</v>
          </cell>
        </row>
      </sheetData>
      <sheetData sheetId="425">
        <row r="3">
          <cell r="D3" t="str">
            <v>Gujarat rehabilitation work of Mathak village for TWRI</v>
          </cell>
        </row>
      </sheetData>
      <sheetData sheetId="426">
        <row r="3">
          <cell r="D3" t="str">
            <v>Gujarat rehabilitation work of Mathak village for TWRI</v>
          </cell>
        </row>
      </sheetData>
      <sheetData sheetId="427">
        <row r="3">
          <cell r="D3" t="str">
            <v>Gujarat rehabilitation work of Mathak village for TWRI</v>
          </cell>
        </row>
      </sheetData>
      <sheetData sheetId="428">
        <row r="3">
          <cell r="D3" t="str">
            <v>Gujarat rehabilitation work of Mathak village for TWRI</v>
          </cell>
        </row>
      </sheetData>
      <sheetData sheetId="429">
        <row r="3">
          <cell r="D3" t="str">
            <v>Gujarat rehabilitation work of Mathak village for TWRI</v>
          </cell>
        </row>
      </sheetData>
      <sheetData sheetId="430">
        <row r="3">
          <cell r="D3" t="str">
            <v>Gujarat rehabilitation work of Mathak village for TWRI</v>
          </cell>
        </row>
      </sheetData>
      <sheetData sheetId="431">
        <row r="3">
          <cell r="D3" t="str">
            <v>Gujarat rehabilitation work of Mathak village for TWRI</v>
          </cell>
        </row>
      </sheetData>
      <sheetData sheetId="432">
        <row r="3">
          <cell r="D3" t="str">
            <v>Gujarat rehabilitation work of Mathak village for TWRI</v>
          </cell>
        </row>
      </sheetData>
      <sheetData sheetId="433">
        <row r="3">
          <cell r="D3" t="str">
            <v>Gujarat rehabilitation work of Mathak village for TWRI</v>
          </cell>
        </row>
      </sheetData>
      <sheetData sheetId="434">
        <row r="3">
          <cell r="D3" t="str">
            <v>Gujarat rehabilitation work of Mathak village for TWRI</v>
          </cell>
        </row>
      </sheetData>
      <sheetData sheetId="435">
        <row r="3">
          <cell r="D3" t="str">
            <v>Gujarat rehabilitation work of Mathak village for TWRI</v>
          </cell>
        </row>
      </sheetData>
      <sheetData sheetId="436">
        <row r="3">
          <cell r="D3" t="str">
            <v>Gujarat rehabilitation work of Mathak village for TWRI</v>
          </cell>
        </row>
      </sheetData>
      <sheetData sheetId="437">
        <row r="3">
          <cell r="D3" t="str">
            <v>Gujarat rehabilitation work of Mathak village for TWRI</v>
          </cell>
        </row>
      </sheetData>
      <sheetData sheetId="438">
        <row r="3">
          <cell r="D3" t="str">
            <v>Gujarat rehabilitation work of Mathak village for TWRI</v>
          </cell>
        </row>
      </sheetData>
      <sheetData sheetId="439">
        <row r="3">
          <cell r="D3" t="str">
            <v>Gujarat rehabilitation work of Mathak village for TWRI</v>
          </cell>
        </row>
      </sheetData>
      <sheetData sheetId="440">
        <row r="3">
          <cell r="D3" t="str">
            <v>Gujarat rehabilitation work of Mathak village for TWRI</v>
          </cell>
        </row>
      </sheetData>
      <sheetData sheetId="441">
        <row r="3">
          <cell r="D3" t="str">
            <v>Gujarat rehabilitation work of Mathak village for TWRI</v>
          </cell>
        </row>
      </sheetData>
      <sheetData sheetId="442">
        <row r="3">
          <cell r="D3" t="str">
            <v>Gujarat rehabilitation work of Mathak village for TWRI</v>
          </cell>
        </row>
      </sheetData>
      <sheetData sheetId="443">
        <row r="3">
          <cell r="D3" t="str">
            <v>Gujarat rehabilitation work of Mathak village for TWRI</v>
          </cell>
        </row>
      </sheetData>
      <sheetData sheetId="444">
        <row r="3">
          <cell r="D3" t="str">
            <v>Gujarat rehabilitation work of Mathak village for TWRI</v>
          </cell>
        </row>
      </sheetData>
      <sheetData sheetId="445">
        <row r="3">
          <cell r="D3" t="str">
            <v>Gujarat rehabilitation work of Mathak village for TWRI</v>
          </cell>
        </row>
      </sheetData>
      <sheetData sheetId="446">
        <row r="3">
          <cell r="D3" t="str">
            <v>Gujarat rehabilitation work of Mathak village for TWRI</v>
          </cell>
        </row>
      </sheetData>
      <sheetData sheetId="447">
        <row r="3">
          <cell r="D3" t="str">
            <v>Gujarat rehabilitation work of Mathak village for TWRI</v>
          </cell>
        </row>
      </sheetData>
      <sheetData sheetId="448">
        <row r="3">
          <cell r="D3" t="str">
            <v>Gujarat rehabilitation work of Mathak village for TWRI</v>
          </cell>
        </row>
      </sheetData>
      <sheetData sheetId="449">
        <row r="3">
          <cell r="D3" t="str">
            <v>Gujarat rehabilitation work of Mathak village for TWRI</v>
          </cell>
        </row>
      </sheetData>
      <sheetData sheetId="450">
        <row r="3">
          <cell r="D3" t="str">
            <v>Gujarat rehabilitation work of Mathak village for TWRI</v>
          </cell>
        </row>
      </sheetData>
      <sheetData sheetId="451">
        <row r="3">
          <cell r="D3" t="str">
            <v>Gujarat rehabilitation work of Mathak village for TWRI</v>
          </cell>
        </row>
      </sheetData>
      <sheetData sheetId="452">
        <row r="3">
          <cell r="D3" t="str">
            <v>Gujarat rehabilitation work of Mathak village for TWRI</v>
          </cell>
        </row>
      </sheetData>
      <sheetData sheetId="453"/>
      <sheetData sheetId="454"/>
      <sheetData sheetId="455"/>
      <sheetData sheetId="456">
        <row r="3">
          <cell r="D3" t="str">
            <v>Gujarat rehabilitation work of Mathak village for TWRI</v>
          </cell>
        </row>
      </sheetData>
      <sheetData sheetId="457"/>
      <sheetData sheetId="458">
        <row r="3">
          <cell r="D3" t="str">
            <v>Gujarat rehabilitation work of Mathak village for TWRI</v>
          </cell>
        </row>
      </sheetData>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row r="3">
          <cell r="D3" t="str">
            <v>Gujarat rehabilitation work of Mathak village for TWRI</v>
          </cell>
        </row>
      </sheetData>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ow r="3">
          <cell r="D3" t="str">
            <v>Gujarat rehabilitation work of Mathak village for TWRI</v>
          </cell>
        </row>
      </sheetData>
      <sheetData sheetId="510">
        <row r="3">
          <cell r="D3" t="str">
            <v>Gujarat rehabilitation work of Mathak village for TWRI</v>
          </cell>
        </row>
      </sheetData>
      <sheetData sheetId="511">
        <row r="3">
          <cell r="D3" t="str">
            <v>Gujarat rehabilitation work of Mathak village for TWRI</v>
          </cell>
        </row>
      </sheetData>
      <sheetData sheetId="512">
        <row r="3">
          <cell r="D3" t="str">
            <v>Gujarat rehabilitation work of Mathak village for TWRI</v>
          </cell>
        </row>
      </sheetData>
      <sheetData sheetId="513">
        <row r="3">
          <cell r="D3" t="str">
            <v>Gujarat rehabilitation work of Mathak village for TWRI</v>
          </cell>
        </row>
      </sheetData>
      <sheetData sheetId="514">
        <row r="3">
          <cell r="D3" t="str">
            <v>Gujarat rehabilitation work of Mathak village for TWRI</v>
          </cell>
        </row>
      </sheetData>
      <sheetData sheetId="515">
        <row r="3">
          <cell r="D3" t="str">
            <v>Gujarat rehabilitation work of Mathak village for TWRI</v>
          </cell>
        </row>
      </sheetData>
      <sheetData sheetId="516">
        <row r="3">
          <cell r="D3" t="str">
            <v>Gujarat rehabilitation work of Mathak village for TWRI</v>
          </cell>
        </row>
      </sheetData>
      <sheetData sheetId="517">
        <row r="3">
          <cell r="D3" t="str">
            <v>Gujarat rehabilitation work of Mathak village for TWRI</v>
          </cell>
        </row>
      </sheetData>
      <sheetData sheetId="518">
        <row r="3">
          <cell r="D3" t="str">
            <v>Gujarat rehabilitation work of Mathak village for TWRI</v>
          </cell>
        </row>
      </sheetData>
      <sheetData sheetId="519">
        <row r="3">
          <cell r="D3" t="str">
            <v>Gujarat rehabilitation work of Mathak village for TWRI</v>
          </cell>
        </row>
      </sheetData>
      <sheetData sheetId="520">
        <row r="3">
          <cell r="D3" t="str">
            <v>Gujarat rehabilitation work of Mathak village for TWRI</v>
          </cell>
        </row>
      </sheetData>
      <sheetData sheetId="521">
        <row r="3">
          <cell r="D3" t="str">
            <v>Gujarat rehabilitation work of Mathak village for TWRI</v>
          </cell>
        </row>
      </sheetData>
      <sheetData sheetId="522">
        <row r="3">
          <cell r="D3" t="str">
            <v>Gujarat rehabilitation work of Mathak village for TWRI</v>
          </cell>
        </row>
      </sheetData>
      <sheetData sheetId="523">
        <row r="3">
          <cell r="D3" t="str">
            <v>Gujarat rehabilitation work of Mathak village for TWRI</v>
          </cell>
        </row>
      </sheetData>
      <sheetData sheetId="524">
        <row r="3">
          <cell r="D3" t="str">
            <v>Gujarat rehabilitation work of Mathak village for TWRI</v>
          </cell>
        </row>
      </sheetData>
      <sheetData sheetId="525">
        <row r="3">
          <cell r="D3" t="str">
            <v>Gujarat rehabilitation work of Mathak village for TWRI</v>
          </cell>
        </row>
      </sheetData>
      <sheetData sheetId="526">
        <row r="3">
          <cell r="D3" t="str">
            <v>Gujarat rehabilitation work of Mathak village for TWRI</v>
          </cell>
        </row>
      </sheetData>
      <sheetData sheetId="527">
        <row r="3">
          <cell r="D3" t="str">
            <v>Gujarat rehabilitation work of Mathak village for TWRI</v>
          </cell>
        </row>
      </sheetData>
      <sheetData sheetId="528">
        <row r="3">
          <cell r="D3" t="str">
            <v>Gujarat rehabilitation work of Mathak village for TWRI</v>
          </cell>
        </row>
      </sheetData>
      <sheetData sheetId="529"/>
      <sheetData sheetId="530">
        <row r="3">
          <cell r="D3" t="str">
            <v>Gujarat rehabilitation work of Mathak village for TWRI</v>
          </cell>
        </row>
      </sheetData>
      <sheetData sheetId="531">
        <row r="3">
          <cell r="D3" t="str">
            <v>Gujarat rehabilitation work of Mathak village for TWRI</v>
          </cell>
        </row>
      </sheetData>
      <sheetData sheetId="532">
        <row r="3">
          <cell r="D3" t="str">
            <v>Gujarat rehabilitation work of Mathak village for TWRI</v>
          </cell>
        </row>
      </sheetData>
      <sheetData sheetId="533">
        <row r="3">
          <cell r="D3" t="str">
            <v>Gujarat rehabilitation work of Mathak village for TWRI</v>
          </cell>
        </row>
      </sheetData>
      <sheetData sheetId="534">
        <row r="3">
          <cell r="D3" t="str">
            <v>Gujarat rehabilitation work of Mathak village for TWRI</v>
          </cell>
        </row>
      </sheetData>
      <sheetData sheetId="535">
        <row r="3">
          <cell r="D3" t="str">
            <v>Gujarat rehabilitation work of Mathak village for TWRI</v>
          </cell>
        </row>
      </sheetData>
      <sheetData sheetId="536">
        <row r="3">
          <cell r="D3" t="str">
            <v>Gujarat rehabilitation work of Mathak village for TWRI</v>
          </cell>
        </row>
      </sheetData>
      <sheetData sheetId="537">
        <row r="3">
          <cell r="D3" t="str">
            <v>Gujarat rehabilitation work of Mathak village for TWRI</v>
          </cell>
        </row>
      </sheetData>
      <sheetData sheetId="538"/>
      <sheetData sheetId="539">
        <row r="3">
          <cell r="D3" t="str">
            <v>Gujarat rehabilitation work of Mathak village for TWRI</v>
          </cell>
        </row>
      </sheetData>
      <sheetData sheetId="540">
        <row r="3">
          <cell r="D3" t="str">
            <v>Gujarat rehabilitation work of Mathak village for TWRI</v>
          </cell>
        </row>
      </sheetData>
      <sheetData sheetId="541"/>
      <sheetData sheetId="542"/>
      <sheetData sheetId="543"/>
      <sheetData sheetId="544"/>
      <sheetData sheetId="545">
        <row r="3">
          <cell r="D3" t="str">
            <v>Gujarat rehabilitation work of Mathak village for TWRI</v>
          </cell>
        </row>
      </sheetData>
      <sheetData sheetId="546">
        <row r="3">
          <cell r="D3" t="str">
            <v>Gujarat rehabilitation work of Mathak village for TWRI</v>
          </cell>
        </row>
      </sheetData>
      <sheetData sheetId="547"/>
      <sheetData sheetId="548"/>
      <sheetData sheetId="549"/>
      <sheetData sheetId="550"/>
      <sheetData sheetId="551"/>
      <sheetData sheetId="552"/>
      <sheetData sheetId="553"/>
      <sheetData sheetId="554"/>
      <sheetData sheetId="555">
        <row r="3">
          <cell r="D3" t="str">
            <v>Gujarat rehabilitation work of Mathak village for TWRI</v>
          </cell>
        </row>
      </sheetData>
      <sheetData sheetId="556">
        <row r="3">
          <cell r="D3" t="str">
            <v>Gujarat rehabilitation work of Mathak village for TWRI</v>
          </cell>
        </row>
      </sheetData>
      <sheetData sheetId="557">
        <row r="3">
          <cell r="D3" t="str">
            <v>Gujarat rehabilitation work of Mathak village for TWRI</v>
          </cell>
        </row>
      </sheetData>
      <sheetData sheetId="558">
        <row r="3">
          <cell r="D3" t="str">
            <v>Gujarat rehabilitation work of Mathak village for TWRI</v>
          </cell>
        </row>
      </sheetData>
      <sheetData sheetId="559">
        <row r="3">
          <cell r="D3" t="str">
            <v>Gujarat rehabilitation work of Mathak village for TWRI</v>
          </cell>
        </row>
      </sheetData>
      <sheetData sheetId="560">
        <row r="3">
          <cell r="D3" t="str">
            <v>Gujarat rehabilitation work of Mathak village for TWRI</v>
          </cell>
        </row>
      </sheetData>
      <sheetData sheetId="561">
        <row r="3">
          <cell r="D3" t="str">
            <v>Gujarat rehabilitation work of Mathak village for TWRI</v>
          </cell>
        </row>
      </sheetData>
      <sheetData sheetId="562">
        <row r="3">
          <cell r="D3" t="str">
            <v>Gujarat rehabilitation work of Mathak village for TWRI</v>
          </cell>
        </row>
      </sheetData>
      <sheetData sheetId="563">
        <row r="3">
          <cell r="D3" t="str">
            <v>Gujarat rehabilitation work of Mathak village for TWRI</v>
          </cell>
        </row>
      </sheetData>
      <sheetData sheetId="564">
        <row r="3">
          <cell r="D3" t="str">
            <v>Gujarat rehabilitation work of Mathak village for TWRI</v>
          </cell>
        </row>
      </sheetData>
      <sheetData sheetId="565">
        <row r="3">
          <cell r="D3" t="str">
            <v>Gujarat rehabilitation work of Mathak village for TWRI</v>
          </cell>
        </row>
      </sheetData>
      <sheetData sheetId="566">
        <row r="3">
          <cell r="D3" t="str">
            <v>Gujarat rehabilitation work of Mathak village for TWRI</v>
          </cell>
        </row>
      </sheetData>
      <sheetData sheetId="567">
        <row r="3">
          <cell r="D3" t="str">
            <v>Gujarat rehabilitation work of Mathak village for TWRI</v>
          </cell>
        </row>
      </sheetData>
      <sheetData sheetId="568">
        <row r="3">
          <cell r="D3" t="str">
            <v>Gujarat rehabilitation work of Mathak village for TWRI</v>
          </cell>
        </row>
      </sheetData>
      <sheetData sheetId="569">
        <row r="3">
          <cell r="D3" t="str">
            <v>Gujarat rehabilitation work of Mathak village for TWRI</v>
          </cell>
        </row>
      </sheetData>
      <sheetData sheetId="570">
        <row r="3">
          <cell r="D3" t="str">
            <v>Gujarat rehabilitation work of Mathak village for TWRI</v>
          </cell>
        </row>
      </sheetData>
      <sheetData sheetId="571">
        <row r="3">
          <cell r="D3" t="str">
            <v>Gujarat rehabilitation work of Mathak village for TWRI</v>
          </cell>
        </row>
      </sheetData>
      <sheetData sheetId="572">
        <row r="3">
          <cell r="D3" t="str">
            <v>Gujarat rehabilitation work of Mathak village for TWRI</v>
          </cell>
        </row>
      </sheetData>
      <sheetData sheetId="573">
        <row r="3">
          <cell r="D3" t="str">
            <v>Gujarat rehabilitation work of Mathak village for TWRI</v>
          </cell>
        </row>
      </sheetData>
      <sheetData sheetId="574">
        <row r="3">
          <cell r="D3" t="str">
            <v>Gujarat rehabilitation work of Mathak village for TWRI</v>
          </cell>
        </row>
      </sheetData>
      <sheetData sheetId="575">
        <row r="3">
          <cell r="D3" t="str">
            <v>Gujarat rehabilitation work of Mathak village for TWRI</v>
          </cell>
        </row>
      </sheetData>
      <sheetData sheetId="576">
        <row r="3">
          <cell r="D3" t="str">
            <v>Gujarat rehabilitation work of Mathak village for TWRI</v>
          </cell>
        </row>
      </sheetData>
      <sheetData sheetId="577">
        <row r="3">
          <cell r="D3" t="str">
            <v>Gujarat rehabilitation work of Mathak village for TWRI</v>
          </cell>
        </row>
      </sheetData>
      <sheetData sheetId="578">
        <row r="3">
          <cell r="D3" t="str">
            <v>Gujarat rehabilitation work of Mathak village for TWRI</v>
          </cell>
        </row>
      </sheetData>
      <sheetData sheetId="579">
        <row r="3">
          <cell r="D3" t="str">
            <v>Gujarat rehabilitation work of Mathak village for TWRI</v>
          </cell>
        </row>
      </sheetData>
      <sheetData sheetId="580">
        <row r="3">
          <cell r="D3" t="str">
            <v>Gujarat rehabilitation work of Mathak village for TWRI</v>
          </cell>
        </row>
      </sheetData>
      <sheetData sheetId="581">
        <row r="3">
          <cell r="D3" t="str">
            <v>Gujarat rehabilitation work of Mathak village for TWRI</v>
          </cell>
        </row>
      </sheetData>
      <sheetData sheetId="582">
        <row r="3">
          <cell r="D3" t="str">
            <v>Gujarat rehabilitation work of Mathak village for TWRI</v>
          </cell>
        </row>
      </sheetData>
      <sheetData sheetId="583">
        <row r="3">
          <cell r="D3" t="str">
            <v>Gujarat rehabilitation work of Mathak village for TWRI</v>
          </cell>
        </row>
      </sheetData>
      <sheetData sheetId="584">
        <row r="3">
          <cell r="D3" t="str">
            <v>Gujarat rehabilitation work of Mathak village for TWRI</v>
          </cell>
        </row>
      </sheetData>
      <sheetData sheetId="585">
        <row r="3">
          <cell r="D3" t="str">
            <v>Gujarat rehabilitation work of Mathak village for TWRI</v>
          </cell>
        </row>
      </sheetData>
      <sheetData sheetId="586">
        <row r="3">
          <cell r="D3" t="str">
            <v>Gujarat rehabilitation work of Mathak village for TWRI</v>
          </cell>
        </row>
      </sheetData>
      <sheetData sheetId="587">
        <row r="3">
          <cell r="D3" t="str">
            <v>Gujarat rehabilitation work of Mathak village for TWRI</v>
          </cell>
        </row>
      </sheetData>
      <sheetData sheetId="588">
        <row r="3">
          <cell r="D3" t="str">
            <v>Gujarat rehabilitation work of Mathak village for TWRI</v>
          </cell>
        </row>
      </sheetData>
      <sheetData sheetId="589">
        <row r="3">
          <cell r="D3" t="str">
            <v>Gujarat rehabilitation work of Mathak village for TWRI</v>
          </cell>
        </row>
      </sheetData>
      <sheetData sheetId="590">
        <row r="3">
          <cell r="D3" t="str">
            <v>Gujarat rehabilitation work of Mathak village for TWRI</v>
          </cell>
        </row>
      </sheetData>
      <sheetData sheetId="591">
        <row r="3">
          <cell r="D3" t="str">
            <v>Gujarat rehabilitation work of Mathak village for TWRI</v>
          </cell>
        </row>
      </sheetData>
      <sheetData sheetId="592">
        <row r="3">
          <cell r="D3" t="str">
            <v>Gujarat rehabilitation work of Mathak village for TWRI</v>
          </cell>
        </row>
      </sheetData>
      <sheetData sheetId="593">
        <row r="3">
          <cell r="D3" t="str">
            <v>Gujarat rehabilitation work of Mathak village for TWRI</v>
          </cell>
        </row>
      </sheetData>
      <sheetData sheetId="594">
        <row r="3">
          <cell r="D3" t="str">
            <v>Gujarat rehabilitation work of Mathak village for TWRI</v>
          </cell>
        </row>
      </sheetData>
      <sheetData sheetId="595">
        <row r="3">
          <cell r="D3" t="str">
            <v>Gujarat rehabilitation work of Mathak village for TWRI</v>
          </cell>
        </row>
      </sheetData>
      <sheetData sheetId="596">
        <row r="3">
          <cell r="D3" t="str">
            <v>Gujarat rehabilitation work of Mathak village for TWRI</v>
          </cell>
        </row>
      </sheetData>
      <sheetData sheetId="597">
        <row r="3">
          <cell r="D3" t="str">
            <v>Gujarat rehabilitation work of Mathak village for TWRI</v>
          </cell>
        </row>
      </sheetData>
      <sheetData sheetId="598">
        <row r="3">
          <cell r="D3" t="str">
            <v>Gujarat rehabilitation work of Mathak village for TWRI</v>
          </cell>
        </row>
      </sheetData>
      <sheetData sheetId="599">
        <row r="3">
          <cell r="D3" t="str">
            <v>Gujarat rehabilitation work of Mathak village for TWRI</v>
          </cell>
        </row>
      </sheetData>
      <sheetData sheetId="600">
        <row r="3">
          <cell r="D3" t="str">
            <v>Gujarat rehabilitation work of Mathak village for TWRI</v>
          </cell>
        </row>
      </sheetData>
      <sheetData sheetId="601">
        <row r="3">
          <cell r="D3" t="str">
            <v>Gujarat rehabilitation work of Mathak village for TWRI</v>
          </cell>
        </row>
      </sheetData>
      <sheetData sheetId="602">
        <row r="3">
          <cell r="D3" t="str">
            <v>Gujarat rehabilitation work of Mathak village for TWRI</v>
          </cell>
        </row>
      </sheetData>
      <sheetData sheetId="603">
        <row r="3">
          <cell r="D3" t="str">
            <v>Gujarat rehabilitation work of Mathak village for TWRI</v>
          </cell>
        </row>
      </sheetData>
      <sheetData sheetId="604">
        <row r="3">
          <cell r="D3" t="str">
            <v>Gujarat rehabilitation work of Mathak village for TWRI</v>
          </cell>
        </row>
      </sheetData>
      <sheetData sheetId="605">
        <row r="3">
          <cell r="D3" t="str">
            <v>Gujarat rehabilitation work of Mathak village for TWRI</v>
          </cell>
        </row>
      </sheetData>
      <sheetData sheetId="606">
        <row r="3">
          <cell r="D3" t="str">
            <v>Gujarat rehabilitation work of Mathak village for TWRI</v>
          </cell>
        </row>
      </sheetData>
      <sheetData sheetId="607">
        <row r="3">
          <cell r="D3" t="str">
            <v>Gujarat rehabilitation work of Mathak village for TWRI</v>
          </cell>
        </row>
      </sheetData>
      <sheetData sheetId="608">
        <row r="3">
          <cell r="D3" t="str">
            <v>Gujarat rehabilitation work of Mathak village for TWRI</v>
          </cell>
        </row>
      </sheetData>
      <sheetData sheetId="609">
        <row r="3">
          <cell r="D3" t="str">
            <v>Gujarat rehabilitation work of Mathak village for TWRI</v>
          </cell>
        </row>
      </sheetData>
      <sheetData sheetId="610">
        <row r="3">
          <cell r="D3" t="str">
            <v>Gujarat rehabilitation work of Mathak village for TWRI</v>
          </cell>
        </row>
      </sheetData>
      <sheetData sheetId="611">
        <row r="3">
          <cell r="D3" t="str">
            <v>Gujarat rehabilitation work of Mathak village for TWRI</v>
          </cell>
        </row>
      </sheetData>
      <sheetData sheetId="612">
        <row r="3">
          <cell r="D3" t="str">
            <v>Gujarat rehabilitation work of Mathak village for TWRI</v>
          </cell>
        </row>
      </sheetData>
      <sheetData sheetId="613">
        <row r="3">
          <cell r="D3" t="str">
            <v>Gujarat rehabilitation work of Mathak village for TWRI</v>
          </cell>
        </row>
      </sheetData>
      <sheetData sheetId="614">
        <row r="3">
          <cell r="D3" t="str">
            <v>Gujarat rehabilitation work of Mathak village for TWRI</v>
          </cell>
        </row>
      </sheetData>
      <sheetData sheetId="615">
        <row r="3">
          <cell r="D3" t="str">
            <v>Gujarat rehabilitation work of Mathak village for TWRI</v>
          </cell>
        </row>
      </sheetData>
      <sheetData sheetId="616">
        <row r="3">
          <cell r="D3" t="str">
            <v>Gujarat rehabilitation work of Mathak village for TWRI</v>
          </cell>
        </row>
      </sheetData>
      <sheetData sheetId="617">
        <row r="3">
          <cell r="D3" t="str">
            <v>Gujarat rehabilitation work of Mathak village for TWRI</v>
          </cell>
        </row>
      </sheetData>
      <sheetData sheetId="618">
        <row r="3">
          <cell r="D3" t="str">
            <v>Gujarat rehabilitation work of Mathak village for TWRI</v>
          </cell>
        </row>
      </sheetData>
      <sheetData sheetId="619">
        <row r="3">
          <cell r="D3" t="str">
            <v>Gujarat rehabilitation work of Mathak village for TWRI</v>
          </cell>
        </row>
      </sheetData>
      <sheetData sheetId="620">
        <row r="3">
          <cell r="D3" t="str">
            <v>Gujarat rehabilitation work of Mathak village for TWRI</v>
          </cell>
        </row>
      </sheetData>
      <sheetData sheetId="621">
        <row r="3">
          <cell r="D3" t="str">
            <v>Gujarat rehabilitation work of Mathak village for TWRI</v>
          </cell>
        </row>
      </sheetData>
      <sheetData sheetId="622">
        <row r="3">
          <cell r="D3" t="str">
            <v>Gujarat rehabilitation work of Mathak village for TWRI</v>
          </cell>
        </row>
      </sheetData>
      <sheetData sheetId="623">
        <row r="3">
          <cell r="D3" t="str">
            <v>Gujarat rehabilitation work of Mathak village for TWRI</v>
          </cell>
        </row>
      </sheetData>
      <sheetData sheetId="624">
        <row r="3">
          <cell r="D3" t="str">
            <v>Gujarat rehabilitation work of Mathak village for TWRI</v>
          </cell>
        </row>
      </sheetData>
      <sheetData sheetId="625">
        <row r="3">
          <cell r="D3" t="str">
            <v>Gujarat rehabilitation work of Mathak village for TWRI</v>
          </cell>
        </row>
      </sheetData>
      <sheetData sheetId="626">
        <row r="3">
          <cell r="D3" t="str">
            <v>Gujarat rehabilitation work of Mathak village for TWRI</v>
          </cell>
        </row>
      </sheetData>
      <sheetData sheetId="627">
        <row r="3">
          <cell r="D3" t="str">
            <v>Gujarat rehabilitation work of Mathak village for TWRI</v>
          </cell>
        </row>
      </sheetData>
      <sheetData sheetId="628">
        <row r="3">
          <cell r="D3" t="str">
            <v>Gujarat rehabilitation work of Mathak village for TWRI</v>
          </cell>
        </row>
      </sheetData>
      <sheetData sheetId="629">
        <row r="3">
          <cell r="D3" t="str">
            <v>Gujarat rehabilitation work of Mathak village for TWRI</v>
          </cell>
        </row>
      </sheetData>
      <sheetData sheetId="630"/>
      <sheetData sheetId="631"/>
      <sheetData sheetId="632"/>
      <sheetData sheetId="633"/>
      <sheetData sheetId="634"/>
      <sheetData sheetId="635"/>
      <sheetData sheetId="636"/>
      <sheetData sheetId="637"/>
      <sheetData sheetId="638"/>
      <sheetData sheetId="639"/>
      <sheetData sheetId="640"/>
      <sheetData sheetId="641">
        <row r="3">
          <cell r="D3" t="str">
            <v>Gujarat rehabilitation work of Mathak village for TWRI</v>
          </cell>
        </row>
      </sheetData>
      <sheetData sheetId="642">
        <row r="3">
          <cell r="D3" t="str">
            <v>Gujarat rehabilitation work of Mathak village for TWRI</v>
          </cell>
        </row>
      </sheetData>
      <sheetData sheetId="643">
        <row r="3">
          <cell r="D3" t="str">
            <v>Gujarat rehabilitation work of Mathak village for TWRI</v>
          </cell>
        </row>
      </sheetData>
      <sheetData sheetId="644">
        <row r="3">
          <cell r="D3" t="str">
            <v>Gujarat rehabilitation work of Mathak village for TWRI</v>
          </cell>
        </row>
      </sheetData>
      <sheetData sheetId="645">
        <row r="3">
          <cell r="D3" t="str">
            <v>Gujarat rehabilitation work of Mathak village for TWRI</v>
          </cell>
        </row>
      </sheetData>
      <sheetData sheetId="646">
        <row r="3">
          <cell r="D3" t="str">
            <v>Gujarat rehabilitation work of Mathak village for TWRI</v>
          </cell>
        </row>
      </sheetData>
      <sheetData sheetId="647">
        <row r="3">
          <cell r="D3" t="str">
            <v>Gujarat rehabilitation work of Mathak village for TWRI</v>
          </cell>
        </row>
      </sheetData>
      <sheetData sheetId="648">
        <row r="3">
          <cell r="D3" t="str">
            <v>Gujarat rehabilitation work of Mathak village for TWRI</v>
          </cell>
        </row>
      </sheetData>
      <sheetData sheetId="649">
        <row r="3">
          <cell r="D3" t="str">
            <v>Gujarat rehabilitation work of Mathak village for TWRI</v>
          </cell>
        </row>
      </sheetData>
      <sheetData sheetId="650">
        <row r="3">
          <cell r="D3" t="str">
            <v>Gujarat rehabilitation work of Mathak village for TWRI</v>
          </cell>
        </row>
      </sheetData>
      <sheetData sheetId="651">
        <row r="3">
          <cell r="D3" t="str">
            <v>Gujarat rehabilitation work of Mathak village for TWRI</v>
          </cell>
        </row>
      </sheetData>
      <sheetData sheetId="652">
        <row r="3">
          <cell r="D3" t="str">
            <v>Gujarat rehabilitation work of Mathak village for TWRI</v>
          </cell>
        </row>
      </sheetData>
      <sheetData sheetId="653">
        <row r="3">
          <cell r="D3" t="str">
            <v>Gujarat rehabilitation work of Mathak village for TWRI</v>
          </cell>
        </row>
      </sheetData>
      <sheetData sheetId="654">
        <row r="3">
          <cell r="D3" t="str">
            <v>Gujarat rehabilitation work of Mathak village for TWRI</v>
          </cell>
        </row>
      </sheetData>
      <sheetData sheetId="655">
        <row r="3">
          <cell r="D3" t="str">
            <v>Gujarat rehabilitation work of Mathak village for TWRI</v>
          </cell>
        </row>
      </sheetData>
      <sheetData sheetId="656">
        <row r="3">
          <cell r="D3" t="str">
            <v>Gujarat rehabilitation work of Mathak village for TWRI</v>
          </cell>
        </row>
      </sheetData>
      <sheetData sheetId="657">
        <row r="3">
          <cell r="D3" t="str">
            <v>Gujarat rehabilitation work of Mathak village for TWRI</v>
          </cell>
        </row>
      </sheetData>
      <sheetData sheetId="658">
        <row r="3">
          <cell r="D3" t="str">
            <v>Gujarat rehabilitation work of Mathak village for TWRI</v>
          </cell>
        </row>
      </sheetData>
      <sheetData sheetId="659">
        <row r="3">
          <cell r="D3" t="str">
            <v>Gujarat rehabilitation work of Mathak village for TWRI</v>
          </cell>
        </row>
      </sheetData>
      <sheetData sheetId="660">
        <row r="3">
          <cell r="D3" t="str">
            <v>Gujarat rehabilitation work of Mathak village for TWRI</v>
          </cell>
        </row>
      </sheetData>
      <sheetData sheetId="661">
        <row r="3">
          <cell r="D3" t="str">
            <v>Gujarat rehabilitation work of Mathak village for TWRI</v>
          </cell>
        </row>
      </sheetData>
      <sheetData sheetId="662">
        <row r="3">
          <cell r="D3" t="str">
            <v>Gujarat rehabilitation work of Mathak village for TWRI</v>
          </cell>
        </row>
      </sheetData>
      <sheetData sheetId="663">
        <row r="3">
          <cell r="D3" t="str">
            <v>Gujarat rehabilitation work of Mathak village for TWRI</v>
          </cell>
        </row>
      </sheetData>
      <sheetData sheetId="664">
        <row r="3">
          <cell r="D3" t="str">
            <v>Gujarat rehabilitation work of Mathak village for TWRI</v>
          </cell>
        </row>
      </sheetData>
      <sheetData sheetId="665">
        <row r="3">
          <cell r="D3" t="str">
            <v>Gujarat rehabilitation work of Mathak village for TWRI</v>
          </cell>
        </row>
      </sheetData>
      <sheetData sheetId="666">
        <row r="3">
          <cell r="D3" t="str">
            <v>Gujarat rehabilitation work of Mathak village for TWRI</v>
          </cell>
        </row>
      </sheetData>
      <sheetData sheetId="667">
        <row r="3">
          <cell r="D3" t="str">
            <v>Gujarat rehabilitation work of Mathak village for TWRI</v>
          </cell>
        </row>
      </sheetData>
      <sheetData sheetId="668">
        <row r="3">
          <cell r="D3" t="str">
            <v>Gujarat rehabilitation work of Mathak village for TWRI</v>
          </cell>
        </row>
      </sheetData>
      <sheetData sheetId="669">
        <row r="3">
          <cell r="D3" t="str">
            <v>Gujarat rehabilitation work of Mathak village for TWRI</v>
          </cell>
        </row>
      </sheetData>
      <sheetData sheetId="670">
        <row r="3">
          <cell r="D3" t="str">
            <v>Gujarat rehabilitation work of Mathak village for TWRI</v>
          </cell>
        </row>
      </sheetData>
      <sheetData sheetId="671">
        <row r="3">
          <cell r="D3" t="str">
            <v>Gujarat rehabilitation work of Mathak village for TWRI</v>
          </cell>
        </row>
      </sheetData>
      <sheetData sheetId="672">
        <row r="3">
          <cell r="D3" t="str">
            <v>Gujarat rehabilitation work of Mathak village for TWRI</v>
          </cell>
        </row>
      </sheetData>
      <sheetData sheetId="673">
        <row r="3">
          <cell r="D3" t="str">
            <v>Gujarat rehabilitation work of Mathak village for TWRI</v>
          </cell>
        </row>
      </sheetData>
      <sheetData sheetId="674">
        <row r="3">
          <cell r="D3" t="str">
            <v>Gujarat rehabilitation work of Mathak village for TWRI</v>
          </cell>
        </row>
      </sheetData>
      <sheetData sheetId="675">
        <row r="3">
          <cell r="D3" t="str">
            <v>Gujarat rehabilitation work of Mathak village for TWRI</v>
          </cell>
        </row>
      </sheetData>
      <sheetData sheetId="676">
        <row r="3">
          <cell r="D3" t="str">
            <v>Gujarat rehabilitation work of Mathak village for TWRI</v>
          </cell>
        </row>
      </sheetData>
      <sheetData sheetId="677">
        <row r="3">
          <cell r="D3" t="str">
            <v>Gujarat rehabilitation work of Mathak village for TWRI</v>
          </cell>
        </row>
      </sheetData>
      <sheetData sheetId="678">
        <row r="3">
          <cell r="D3" t="str">
            <v>Gujarat rehabilitation work of Mathak village for TWRI</v>
          </cell>
        </row>
      </sheetData>
      <sheetData sheetId="679">
        <row r="3">
          <cell r="D3" t="str">
            <v>Gujarat rehabilitation work of Mathak village for TWRI</v>
          </cell>
        </row>
      </sheetData>
      <sheetData sheetId="680">
        <row r="3">
          <cell r="D3" t="str">
            <v>Gujarat rehabilitation work of Mathak village for TWRI</v>
          </cell>
        </row>
      </sheetData>
      <sheetData sheetId="681">
        <row r="3">
          <cell r="D3" t="str">
            <v>Gujarat rehabilitation work of Mathak village for TWRI</v>
          </cell>
        </row>
      </sheetData>
      <sheetData sheetId="682">
        <row r="3">
          <cell r="D3" t="str">
            <v>Gujarat rehabilitation work of Mathak village for TWRI</v>
          </cell>
        </row>
      </sheetData>
      <sheetData sheetId="683">
        <row r="3">
          <cell r="D3" t="str">
            <v>Gujarat rehabilitation work of Mathak village for TWRI</v>
          </cell>
        </row>
      </sheetData>
      <sheetData sheetId="684">
        <row r="3">
          <cell r="D3" t="str">
            <v>Gujarat rehabilitation work of Mathak village for TWRI</v>
          </cell>
        </row>
      </sheetData>
      <sheetData sheetId="685">
        <row r="3">
          <cell r="D3" t="str">
            <v>Gujarat rehabilitation work of Mathak village for TWRI</v>
          </cell>
        </row>
      </sheetData>
      <sheetData sheetId="686">
        <row r="3">
          <cell r="D3" t="str">
            <v>Gujarat rehabilitation work of Mathak village for TWRI</v>
          </cell>
        </row>
      </sheetData>
      <sheetData sheetId="687">
        <row r="3">
          <cell r="D3" t="str">
            <v>Gujarat rehabilitation work of Mathak village for TWRI</v>
          </cell>
        </row>
      </sheetData>
      <sheetData sheetId="688">
        <row r="3">
          <cell r="D3" t="str">
            <v>Gujarat rehabilitation work of Mathak village for TWRI</v>
          </cell>
        </row>
      </sheetData>
      <sheetData sheetId="689">
        <row r="3">
          <cell r="D3" t="str">
            <v>Gujarat rehabilitation work of Mathak village for TWRI</v>
          </cell>
        </row>
      </sheetData>
      <sheetData sheetId="690">
        <row r="3">
          <cell r="D3" t="str">
            <v>Gujarat rehabilitation work of Mathak village for TWRI</v>
          </cell>
        </row>
      </sheetData>
      <sheetData sheetId="691">
        <row r="3">
          <cell r="D3" t="str">
            <v>Gujarat rehabilitation work of Mathak village for TWRI</v>
          </cell>
        </row>
      </sheetData>
      <sheetData sheetId="692">
        <row r="3">
          <cell r="D3" t="str">
            <v>Gujarat rehabilitation work of Mathak village for TWRI</v>
          </cell>
        </row>
      </sheetData>
      <sheetData sheetId="693">
        <row r="3">
          <cell r="D3" t="str">
            <v>Gujarat rehabilitation work of Mathak village for TWRI</v>
          </cell>
        </row>
      </sheetData>
      <sheetData sheetId="694">
        <row r="3">
          <cell r="D3" t="str">
            <v>Gujarat rehabilitation work of Mathak village for TWRI</v>
          </cell>
        </row>
      </sheetData>
      <sheetData sheetId="695">
        <row r="3">
          <cell r="D3" t="str">
            <v>Gujarat rehabilitation work of Mathak village for TWRI</v>
          </cell>
        </row>
      </sheetData>
      <sheetData sheetId="696">
        <row r="3">
          <cell r="D3" t="str">
            <v>Gujarat rehabilitation work of Mathak village for TWRI</v>
          </cell>
        </row>
      </sheetData>
      <sheetData sheetId="697">
        <row r="3">
          <cell r="D3" t="str">
            <v>Gujarat rehabilitation work of Mathak village for TWRI</v>
          </cell>
        </row>
      </sheetData>
      <sheetData sheetId="698">
        <row r="3">
          <cell r="D3" t="str">
            <v>Gujarat rehabilitation work of Mathak village for TWRI</v>
          </cell>
        </row>
      </sheetData>
      <sheetData sheetId="699">
        <row r="3">
          <cell r="D3" t="str">
            <v>Gujarat rehabilitation work of Mathak village for TWRI</v>
          </cell>
        </row>
      </sheetData>
      <sheetData sheetId="700">
        <row r="3">
          <cell r="D3" t="str">
            <v>Gujarat rehabilitation work of Mathak village for TWRI</v>
          </cell>
        </row>
      </sheetData>
      <sheetData sheetId="701">
        <row r="3">
          <cell r="D3" t="str">
            <v>Gujarat rehabilitation work of Mathak village for TWRI</v>
          </cell>
        </row>
      </sheetData>
      <sheetData sheetId="702">
        <row r="3">
          <cell r="D3" t="str">
            <v>Gujarat rehabilitation work of Mathak village for TWRI</v>
          </cell>
        </row>
      </sheetData>
      <sheetData sheetId="703">
        <row r="3">
          <cell r="D3" t="str">
            <v>Gujarat rehabilitation work of Mathak village for TWRI</v>
          </cell>
        </row>
      </sheetData>
      <sheetData sheetId="704">
        <row r="3">
          <cell r="D3" t="str">
            <v>Gujarat rehabilitation work of Mathak village for TWRI</v>
          </cell>
        </row>
      </sheetData>
      <sheetData sheetId="705">
        <row r="3">
          <cell r="D3" t="str">
            <v>Gujarat rehabilitation work of Mathak village for TWRI</v>
          </cell>
        </row>
      </sheetData>
      <sheetData sheetId="706">
        <row r="3">
          <cell r="D3" t="str">
            <v>Gujarat rehabilitation work of Mathak village for TWRI</v>
          </cell>
        </row>
      </sheetData>
      <sheetData sheetId="707">
        <row r="3">
          <cell r="D3" t="str">
            <v>Gujarat rehabilitation work of Mathak village for TWRI</v>
          </cell>
        </row>
      </sheetData>
      <sheetData sheetId="708">
        <row r="3">
          <cell r="D3" t="str">
            <v>Gujarat rehabilitation work of Mathak village for TWRI</v>
          </cell>
        </row>
      </sheetData>
      <sheetData sheetId="709">
        <row r="3">
          <cell r="D3" t="str">
            <v>Gujarat rehabilitation work of Mathak village for TWRI</v>
          </cell>
        </row>
      </sheetData>
      <sheetData sheetId="710">
        <row r="3">
          <cell r="D3" t="str">
            <v>Gujarat rehabilitation work of Mathak village for TWRI</v>
          </cell>
        </row>
      </sheetData>
      <sheetData sheetId="711">
        <row r="3">
          <cell r="D3" t="str">
            <v>Gujarat rehabilitation work of Mathak village for TWRI</v>
          </cell>
        </row>
      </sheetData>
      <sheetData sheetId="712">
        <row r="3">
          <cell r="D3" t="str">
            <v>Gujarat rehabilitation work of Mathak village for TWRI</v>
          </cell>
        </row>
      </sheetData>
      <sheetData sheetId="713">
        <row r="3">
          <cell r="D3" t="str">
            <v>Gujarat rehabilitation work of Mathak village for TWRI</v>
          </cell>
        </row>
      </sheetData>
      <sheetData sheetId="714">
        <row r="3">
          <cell r="D3" t="str">
            <v>Gujarat rehabilitation work of Mathak village for TWRI</v>
          </cell>
        </row>
      </sheetData>
      <sheetData sheetId="715">
        <row r="3">
          <cell r="D3" t="str">
            <v>Gujarat rehabilitation work of Mathak village for TWRI</v>
          </cell>
        </row>
      </sheetData>
      <sheetData sheetId="716">
        <row r="3">
          <cell r="D3" t="str">
            <v>Gujarat rehabilitation work of Mathak village for TWRI</v>
          </cell>
        </row>
      </sheetData>
      <sheetData sheetId="717">
        <row r="3">
          <cell r="D3" t="str">
            <v>Gujarat rehabilitation work of Mathak village for TWRI</v>
          </cell>
        </row>
      </sheetData>
      <sheetData sheetId="718">
        <row r="3">
          <cell r="D3" t="str">
            <v>Gujarat rehabilitation work of Mathak village for TWRI</v>
          </cell>
        </row>
      </sheetData>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row r="3">
          <cell r="D3" t="str">
            <v>Gujarat rehabilitation work of Mathak village for TWRI</v>
          </cell>
        </row>
      </sheetData>
      <sheetData sheetId="774">
        <row r="3">
          <cell r="D3" t="str">
            <v>Gujarat rehabilitation work of Mathak village for TWRI</v>
          </cell>
        </row>
      </sheetData>
      <sheetData sheetId="775">
        <row r="3">
          <cell r="D3" t="str">
            <v>Gujarat rehabilitation work of Mathak village for TWRI</v>
          </cell>
        </row>
      </sheetData>
      <sheetData sheetId="776">
        <row r="3">
          <cell r="D3" t="str">
            <v>Gujarat rehabilitation work of Mathak village for TWRI</v>
          </cell>
        </row>
      </sheetData>
      <sheetData sheetId="777">
        <row r="3">
          <cell r="D3" t="str">
            <v>Gujarat rehabilitation work of Mathak village for TWRI</v>
          </cell>
        </row>
      </sheetData>
      <sheetData sheetId="778">
        <row r="3">
          <cell r="D3" t="str">
            <v>Gujarat rehabilitation work of Mathak village for TWRI</v>
          </cell>
        </row>
      </sheetData>
      <sheetData sheetId="779">
        <row r="3">
          <cell r="D3" t="str">
            <v>Gujarat rehabilitation work of Mathak village for TWRI</v>
          </cell>
        </row>
      </sheetData>
      <sheetData sheetId="780">
        <row r="3">
          <cell r="D3" t="str">
            <v>Gujarat rehabilitation work of Mathak village for TWRI</v>
          </cell>
        </row>
      </sheetData>
      <sheetData sheetId="781">
        <row r="3">
          <cell r="D3" t="str">
            <v>Gujarat rehabilitation work of Mathak village for TWRI</v>
          </cell>
        </row>
      </sheetData>
      <sheetData sheetId="782">
        <row r="3">
          <cell r="D3" t="str">
            <v>Gujarat rehabilitation work of Mathak village for TWRI</v>
          </cell>
        </row>
      </sheetData>
      <sheetData sheetId="783">
        <row r="3">
          <cell r="D3" t="str">
            <v>Gujarat rehabilitation work of Mathak village for TWRI</v>
          </cell>
        </row>
      </sheetData>
      <sheetData sheetId="784">
        <row r="3">
          <cell r="D3" t="str">
            <v>Gujarat rehabilitation work of Mathak village for TWRI</v>
          </cell>
        </row>
      </sheetData>
      <sheetData sheetId="785">
        <row r="3">
          <cell r="D3" t="str">
            <v>Gujarat rehabilitation work of Mathak village for TWRI</v>
          </cell>
        </row>
      </sheetData>
      <sheetData sheetId="786">
        <row r="3">
          <cell r="D3" t="str">
            <v>Gujarat rehabilitation work of Mathak village for TWRI</v>
          </cell>
        </row>
      </sheetData>
      <sheetData sheetId="787">
        <row r="3">
          <cell r="D3" t="str">
            <v>Gujarat rehabilitation work of Mathak village for TWRI</v>
          </cell>
        </row>
      </sheetData>
      <sheetData sheetId="788">
        <row r="3">
          <cell r="D3" t="str">
            <v>Gujarat rehabilitation work of Mathak village for TWRI</v>
          </cell>
        </row>
      </sheetData>
      <sheetData sheetId="789">
        <row r="3">
          <cell r="D3" t="str">
            <v>Gujarat rehabilitation work of Mathak village for TWRI</v>
          </cell>
        </row>
      </sheetData>
      <sheetData sheetId="790">
        <row r="3">
          <cell r="D3" t="str">
            <v>Gujarat rehabilitation work of Mathak village for TWRI</v>
          </cell>
        </row>
      </sheetData>
      <sheetData sheetId="791">
        <row r="3">
          <cell r="D3" t="str">
            <v>Gujarat rehabilitation work of Mathak village for TWRI</v>
          </cell>
        </row>
      </sheetData>
      <sheetData sheetId="792">
        <row r="3">
          <cell r="D3" t="str">
            <v>Gujarat rehabilitation work of Mathak village for TWRI</v>
          </cell>
        </row>
      </sheetData>
      <sheetData sheetId="793">
        <row r="3">
          <cell r="D3" t="str">
            <v>Gujarat rehabilitation work of Mathak village for TWRI</v>
          </cell>
        </row>
      </sheetData>
      <sheetData sheetId="794">
        <row r="3">
          <cell r="D3" t="str">
            <v>Gujarat rehabilitation work of Mathak village for TWRI</v>
          </cell>
        </row>
      </sheetData>
      <sheetData sheetId="795">
        <row r="3">
          <cell r="D3" t="str">
            <v>Gujarat rehabilitation work of Mathak village for TWRI</v>
          </cell>
        </row>
      </sheetData>
      <sheetData sheetId="796">
        <row r="3">
          <cell r="D3" t="str">
            <v>Gujarat rehabilitation work of Mathak village for TWRI</v>
          </cell>
        </row>
      </sheetData>
      <sheetData sheetId="797">
        <row r="3">
          <cell r="D3" t="str">
            <v>Gujarat rehabilitation work of Mathak village for TWRI</v>
          </cell>
        </row>
      </sheetData>
      <sheetData sheetId="798">
        <row r="3">
          <cell r="D3" t="str">
            <v>Gujarat rehabilitation work of Mathak village for TWRI</v>
          </cell>
        </row>
      </sheetData>
      <sheetData sheetId="799">
        <row r="3">
          <cell r="D3" t="str">
            <v>Gujarat rehabilitation work of Mathak village for TWRI</v>
          </cell>
        </row>
      </sheetData>
      <sheetData sheetId="800">
        <row r="3">
          <cell r="D3" t="str">
            <v>Gujarat rehabilitation work of Mathak village for TWRI</v>
          </cell>
        </row>
      </sheetData>
      <sheetData sheetId="801">
        <row r="3">
          <cell r="D3" t="str">
            <v>Gujarat rehabilitation work of Mathak village for TWRI</v>
          </cell>
        </row>
      </sheetData>
      <sheetData sheetId="802">
        <row r="3">
          <cell r="D3" t="str">
            <v>Gujarat rehabilitation work of Mathak village for TWRI</v>
          </cell>
        </row>
      </sheetData>
      <sheetData sheetId="803">
        <row r="3">
          <cell r="D3" t="str">
            <v>Gujarat rehabilitation work of Mathak village for TWRI</v>
          </cell>
        </row>
      </sheetData>
      <sheetData sheetId="804">
        <row r="3">
          <cell r="D3" t="str">
            <v>Gujarat rehabilitation work of Mathak village for TWRI</v>
          </cell>
        </row>
      </sheetData>
      <sheetData sheetId="805">
        <row r="3">
          <cell r="D3" t="str">
            <v>Gujarat rehabilitation work of Mathak village for TWRI</v>
          </cell>
        </row>
      </sheetData>
      <sheetData sheetId="806">
        <row r="3">
          <cell r="D3" t="str">
            <v>Gujarat rehabilitation work of Mathak village for TWRI</v>
          </cell>
        </row>
      </sheetData>
      <sheetData sheetId="807">
        <row r="3">
          <cell r="D3" t="str">
            <v>Gujarat rehabilitation work of Mathak village for TWRI</v>
          </cell>
        </row>
      </sheetData>
      <sheetData sheetId="808">
        <row r="3">
          <cell r="D3" t="str">
            <v>Gujarat rehabilitation work of Mathak village for TWRI</v>
          </cell>
        </row>
      </sheetData>
      <sheetData sheetId="809">
        <row r="3">
          <cell r="D3" t="str">
            <v>Gujarat rehabilitation work of Mathak village for TWRI</v>
          </cell>
        </row>
      </sheetData>
      <sheetData sheetId="810">
        <row r="3">
          <cell r="D3" t="str">
            <v>Gujarat rehabilitation work of Mathak village for TWRI</v>
          </cell>
        </row>
      </sheetData>
      <sheetData sheetId="811">
        <row r="3">
          <cell r="D3" t="str">
            <v>Gujarat rehabilitation work of Mathak village for TWRI</v>
          </cell>
        </row>
      </sheetData>
      <sheetData sheetId="812">
        <row r="3">
          <cell r="D3" t="str">
            <v>Gujarat rehabilitation work of Mathak village for TWRI</v>
          </cell>
        </row>
      </sheetData>
      <sheetData sheetId="813">
        <row r="3">
          <cell r="D3" t="str">
            <v>Gujarat rehabilitation work of Mathak village for TWRI</v>
          </cell>
        </row>
      </sheetData>
      <sheetData sheetId="814">
        <row r="3">
          <cell r="D3" t="str">
            <v>Gujarat rehabilitation work of Mathak village for TWRI</v>
          </cell>
        </row>
      </sheetData>
      <sheetData sheetId="815">
        <row r="3">
          <cell r="D3" t="str">
            <v>Gujarat rehabilitation work of Mathak village for TWRI</v>
          </cell>
        </row>
      </sheetData>
      <sheetData sheetId="816">
        <row r="3">
          <cell r="D3" t="str">
            <v>Gujarat rehabilitation work of Mathak village for TWRI</v>
          </cell>
        </row>
      </sheetData>
      <sheetData sheetId="817">
        <row r="3">
          <cell r="D3" t="str">
            <v>Gujarat rehabilitation work of Mathak village for TWRI</v>
          </cell>
        </row>
      </sheetData>
      <sheetData sheetId="818">
        <row r="3">
          <cell r="D3" t="str">
            <v>Gujarat rehabilitation work of Mathak village for TWRI</v>
          </cell>
        </row>
      </sheetData>
      <sheetData sheetId="819">
        <row r="3">
          <cell r="D3" t="str">
            <v>Gujarat rehabilitation work of Mathak village for TWRI</v>
          </cell>
        </row>
      </sheetData>
      <sheetData sheetId="820">
        <row r="3">
          <cell r="D3" t="str">
            <v>Gujarat rehabilitation work of Mathak village for TWRI</v>
          </cell>
        </row>
      </sheetData>
      <sheetData sheetId="821">
        <row r="3">
          <cell r="D3" t="str">
            <v>Gujarat rehabilitation work of Mathak village for TWRI</v>
          </cell>
        </row>
      </sheetData>
      <sheetData sheetId="822">
        <row r="3">
          <cell r="D3" t="str">
            <v>Gujarat rehabilitation work of Mathak village for TWRI</v>
          </cell>
        </row>
      </sheetData>
      <sheetData sheetId="823">
        <row r="3">
          <cell r="D3" t="str">
            <v>Gujarat rehabilitation work of Mathak village for TWRI</v>
          </cell>
        </row>
      </sheetData>
      <sheetData sheetId="824">
        <row r="3">
          <cell r="D3" t="str">
            <v>Gujarat rehabilitation work of Mathak village for TWRI</v>
          </cell>
        </row>
      </sheetData>
      <sheetData sheetId="825">
        <row r="3">
          <cell r="D3" t="str">
            <v>Gujarat rehabilitation work of Mathak village for TWRI</v>
          </cell>
        </row>
      </sheetData>
      <sheetData sheetId="826">
        <row r="3">
          <cell r="D3" t="str">
            <v>Gujarat rehabilitation work of Mathak village for TWRI</v>
          </cell>
        </row>
      </sheetData>
      <sheetData sheetId="827">
        <row r="3">
          <cell r="D3" t="str">
            <v>Gujarat rehabilitation work of Mathak village for TWRI</v>
          </cell>
        </row>
      </sheetData>
      <sheetData sheetId="828">
        <row r="3">
          <cell r="D3" t="str">
            <v>Gujarat rehabilitation work of Mathak village for TWRI</v>
          </cell>
        </row>
      </sheetData>
      <sheetData sheetId="829">
        <row r="3">
          <cell r="D3" t="str">
            <v>Gujarat rehabilitation work of Mathak village for TWRI</v>
          </cell>
        </row>
      </sheetData>
      <sheetData sheetId="830">
        <row r="3">
          <cell r="D3" t="str">
            <v>Gujarat rehabilitation work of Mathak village for TWRI</v>
          </cell>
        </row>
      </sheetData>
      <sheetData sheetId="831">
        <row r="3">
          <cell r="D3" t="str">
            <v>Gujarat rehabilitation work of Mathak village for TWRI</v>
          </cell>
        </row>
      </sheetData>
      <sheetData sheetId="832">
        <row r="3">
          <cell r="D3" t="str">
            <v>Gujarat rehabilitation work of Mathak village for TWRI</v>
          </cell>
        </row>
      </sheetData>
      <sheetData sheetId="833">
        <row r="3">
          <cell r="D3" t="str">
            <v>Gujarat rehabilitation work of Mathak village for TWRI</v>
          </cell>
        </row>
      </sheetData>
      <sheetData sheetId="834">
        <row r="3">
          <cell r="D3" t="str">
            <v>Gujarat rehabilitation work of Mathak village for TWRI</v>
          </cell>
        </row>
      </sheetData>
      <sheetData sheetId="835">
        <row r="3">
          <cell r="D3" t="str">
            <v>Gujarat rehabilitation work of Mathak village for TWRI</v>
          </cell>
        </row>
      </sheetData>
      <sheetData sheetId="836">
        <row r="3">
          <cell r="D3" t="str">
            <v>Gujarat rehabilitation work of Mathak village for TWRI</v>
          </cell>
        </row>
      </sheetData>
      <sheetData sheetId="837">
        <row r="3">
          <cell r="D3" t="str">
            <v>Gujarat rehabilitation work of Mathak village for TWRI</v>
          </cell>
        </row>
      </sheetData>
      <sheetData sheetId="838">
        <row r="3">
          <cell r="D3" t="str">
            <v>Gujarat rehabilitation work of Mathak village for TWRI</v>
          </cell>
        </row>
      </sheetData>
      <sheetData sheetId="839">
        <row r="3">
          <cell r="D3" t="str">
            <v>Gujarat rehabilitation work of Mathak village for TWRI</v>
          </cell>
        </row>
      </sheetData>
      <sheetData sheetId="840">
        <row r="3">
          <cell r="D3" t="str">
            <v>Gujarat rehabilitation work of Mathak village for TWRI</v>
          </cell>
        </row>
      </sheetData>
      <sheetData sheetId="841">
        <row r="3">
          <cell r="D3" t="str">
            <v>Gujarat rehabilitation work of Mathak village for TWRI</v>
          </cell>
        </row>
      </sheetData>
      <sheetData sheetId="842">
        <row r="3">
          <cell r="D3" t="str">
            <v>Gujarat rehabilitation work of Mathak village for TWRI</v>
          </cell>
        </row>
      </sheetData>
      <sheetData sheetId="843">
        <row r="3">
          <cell r="D3" t="str">
            <v>Gujarat rehabilitation work of Mathak village for TWRI</v>
          </cell>
        </row>
      </sheetData>
      <sheetData sheetId="844">
        <row r="3">
          <cell r="D3" t="str">
            <v>Gujarat rehabilitation work of Mathak village for TWRI</v>
          </cell>
        </row>
      </sheetData>
      <sheetData sheetId="845">
        <row r="3">
          <cell r="D3" t="str">
            <v>Gujarat rehabilitation work of Mathak village for TWRI</v>
          </cell>
        </row>
      </sheetData>
      <sheetData sheetId="846">
        <row r="3">
          <cell r="D3" t="str">
            <v>Gujarat rehabilitation work of Mathak village for TWRI</v>
          </cell>
        </row>
      </sheetData>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row r="3">
          <cell r="D3" t="str">
            <v>Gujarat rehabilitation work of Mathak village for TWRI</v>
          </cell>
        </row>
      </sheetData>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row r="3">
          <cell r="D3" t="str">
            <v>Gujarat rehabilitation work of Mathak village for TWRI</v>
          </cell>
        </row>
      </sheetData>
      <sheetData sheetId="1240">
        <row r="3">
          <cell r="D3" t="str">
            <v>Gujarat rehabilitation work of Mathak village for TWRI</v>
          </cell>
        </row>
      </sheetData>
      <sheetData sheetId="1241">
        <row r="3">
          <cell r="D3" t="str">
            <v>Gujarat rehabilitation work of Mathak village for TWRI</v>
          </cell>
        </row>
      </sheetData>
      <sheetData sheetId="1242">
        <row r="3">
          <cell r="D3" t="str">
            <v>Gujarat rehabilitation work of Mathak village for TWRI</v>
          </cell>
        </row>
      </sheetData>
      <sheetData sheetId="1243">
        <row r="3">
          <cell r="D3" t="str">
            <v>Gujarat rehabilitation work of Mathak village for TWRI</v>
          </cell>
        </row>
      </sheetData>
      <sheetData sheetId="1244">
        <row r="3">
          <cell r="D3" t="str">
            <v>Gujarat rehabilitation work of Mathak village for TWRI</v>
          </cell>
        </row>
      </sheetData>
      <sheetData sheetId="1245">
        <row r="3">
          <cell r="D3" t="str">
            <v>Gujarat rehabilitation work of Mathak village for TWRI</v>
          </cell>
        </row>
      </sheetData>
      <sheetData sheetId="1246">
        <row r="3">
          <cell r="D3" t="str">
            <v>Gujarat rehabilitation work of Mathak village for TWRI</v>
          </cell>
        </row>
      </sheetData>
      <sheetData sheetId="1247">
        <row r="3">
          <cell r="D3" t="str">
            <v>Gujarat rehabilitation work of Mathak village for TWRI</v>
          </cell>
        </row>
      </sheetData>
      <sheetData sheetId="1248">
        <row r="3">
          <cell r="D3" t="str">
            <v>Gujarat rehabilitation work of Mathak village for TWRI</v>
          </cell>
        </row>
      </sheetData>
      <sheetData sheetId="1249">
        <row r="3">
          <cell r="D3" t="str">
            <v>Gujarat rehabilitation work of Mathak village for TWRI</v>
          </cell>
        </row>
      </sheetData>
      <sheetData sheetId="1250">
        <row r="3">
          <cell r="D3" t="str">
            <v>Gujarat rehabilitation work of Mathak village for TWRI</v>
          </cell>
        </row>
      </sheetData>
      <sheetData sheetId="1251">
        <row r="3">
          <cell r="D3" t="str">
            <v>Gujarat rehabilitation work of Mathak village for TWRI</v>
          </cell>
        </row>
      </sheetData>
      <sheetData sheetId="1252">
        <row r="3">
          <cell r="D3" t="str">
            <v>Gujarat rehabilitation work of Mathak village for TWRI</v>
          </cell>
        </row>
      </sheetData>
      <sheetData sheetId="1253">
        <row r="3">
          <cell r="D3" t="str">
            <v>Gujarat rehabilitation work of Mathak village for TWRI</v>
          </cell>
        </row>
      </sheetData>
      <sheetData sheetId="1254">
        <row r="3">
          <cell r="D3" t="str">
            <v>Gujarat rehabilitation work of Mathak village for TWRI</v>
          </cell>
        </row>
      </sheetData>
      <sheetData sheetId="1255">
        <row r="3">
          <cell r="D3" t="str">
            <v>Gujarat rehabilitation work of Mathak village for TWRI</v>
          </cell>
        </row>
      </sheetData>
      <sheetData sheetId="1256">
        <row r="3">
          <cell r="D3" t="str">
            <v>Gujarat rehabilitation work of Mathak village for TWRI</v>
          </cell>
        </row>
      </sheetData>
      <sheetData sheetId="1257">
        <row r="3">
          <cell r="D3" t="str">
            <v>Gujarat rehabilitation work of Mathak village for TWRI</v>
          </cell>
        </row>
      </sheetData>
      <sheetData sheetId="1258">
        <row r="3">
          <cell r="D3" t="str">
            <v>Gujarat rehabilitation work of Mathak village for TWRI</v>
          </cell>
        </row>
      </sheetData>
      <sheetData sheetId="1259">
        <row r="3">
          <cell r="D3" t="str">
            <v>Gujarat rehabilitation work of Mathak village for TWRI</v>
          </cell>
        </row>
      </sheetData>
      <sheetData sheetId="1260">
        <row r="3">
          <cell r="D3" t="str">
            <v>Gujarat rehabilitation work of Mathak village for TWRI</v>
          </cell>
        </row>
      </sheetData>
      <sheetData sheetId="1261">
        <row r="3">
          <cell r="D3" t="str">
            <v>Gujarat rehabilitation work of Mathak village for TWRI</v>
          </cell>
        </row>
      </sheetData>
      <sheetData sheetId="1262">
        <row r="3">
          <cell r="D3" t="str">
            <v>Gujarat rehabilitation work of Mathak village for TWRI</v>
          </cell>
        </row>
      </sheetData>
      <sheetData sheetId="1263">
        <row r="3">
          <cell r="D3" t="str">
            <v>Gujarat rehabilitation work of Mathak village for TWRI</v>
          </cell>
        </row>
      </sheetData>
      <sheetData sheetId="1264">
        <row r="3">
          <cell r="D3" t="str">
            <v>Gujarat rehabilitation work of Mathak village for TWRI</v>
          </cell>
        </row>
      </sheetData>
      <sheetData sheetId="1265">
        <row r="3">
          <cell r="D3" t="str">
            <v>Gujarat rehabilitation work of Mathak village for TWRI</v>
          </cell>
        </row>
      </sheetData>
      <sheetData sheetId="1266">
        <row r="3">
          <cell r="D3" t="str">
            <v>Gujarat rehabilitation work of Mathak village for TWRI</v>
          </cell>
        </row>
      </sheetData>
      <sheetData sheetId="1267">
        <row r="3">
          <cell r="D3" t="str">
            <v>Gujarat rehabilitation work of Mathak village for TWRI</v>
          </cell>
        </row>
      </sheetData>
      <sheetData sheetId="1268">
        <row r="3">
          <cell r="D3" t="str">
            <v>Gujarat rehabilitation work of Mathak village for TWRI</v>
          </cell>
        </row>
      </sheetData>
      <sheetData sheetId="1269">
        <row r="3">
          <cell r="D3" t="str">
            <v>Gujarat rehabilitation work of Mathak village for TWRI</v>
          </cell>
        </row>
      </sheetData>
      <sheetData sheetId="1270">
        <row r="3">
          <cell r="D3" t="str">
            <v>Gujarat rehabilitation work of Mathak village for TWRI</v>
          </cell>
        </row>
      </sheetData>
      <sheetData sheetId="1271">
        <row r="3">
          <cell r="D3" t="str">
            <v>Gujarat rehabilitation work of Mathak village for TWRI</v>
          </cell>
        </row>
      </sheetData>
      <sheetData sheetId="1272">
        <row r="3">
          <cell r="D3" t="str">
            <v>Gujarat rehabilitation work of Mathak village for TWRI</v>
          </cell>
        </row>
      </sheetData>
      <sheetData sheetId="1273">
        <row r="3">
          <cell r="D3" t="str">
            <v>Gujarat rehabilitation work of Mathak village for TWRI</v>
          </cell>
        </row>
      </sheetData>
      <sheetData sheetId="1274">
        <row r="3">
          <cell r="D3" t="str">
            <v>Gujarat rehabilitation work of Mathak village for TWRI</v>
          </cell>
        </row>
      </sheetData>
      <sheetData sheetId="1275">
        <row r="3">
          <cell r="D3" t="str">
            <v>Gujarat rehabilitation work of Mathak village for TWRI</v>
          </cell>
        </row>
      </sheetData>
      <sheetData sheetId="1276">
        <row r="3">
          <cell r="D3" t="str">
            <v>Gujarat rehabilitation work of Mathak village for TWRI</v>
          </cell>
        </row>
      </sheetData>
      <sheetData sheetId="1277">
        <row r="3">
          <cell r="D3" t="str">
            <v>Gujarat rehabilitation work of Mathak village for TWRI</v>
          </cell>
        </row>
      </sheetData>
      <sheetData sheetId="1278">
        <row r="3">
          <cell r="D3" t="str">
            <v>Gujarat rehabilitation work of Mathak village for TWRI</v>
          </cell>
        </row>
      </sheetData>
      <sheetData sheetId="1279">
        <row r="3">
          <cell r="D3" t="str">
            <v>Gujarat rehabilitation work of Mathak village for TWRI</v>
          </cell>
        </row>
      </sheetData>
      <sheetData sheetId="1280">
        <row r="3">
          <cell r="D3" t="str">
            <v>Gujarat rehabilitation work of Mathak village for TWRI</v>
          </cell>
        </row>
      </sheetData>
      <sheetData sheetId="1281">
        <row r="3">
          <cell r="D3" t="str">
            <v>Gujarat rehabilitation work of Mathak village for TWRI</v>
          </cell>
        </row>
      </sheetData>
      <sheetData sheetId="1282">
        <row r="3">
          <cell r="D3" t="str">
            <v>Gujarat rehabilitation work of Mathak village for TWRI</v>
          </cell>
        </row>
      </sheetData>
      <sheetData sheetId="1283">
        <row r="3">
          <cell r="D3" t="str">
            <v>Gujarat rehabilitation work of Mathak village for TWRI</v>
          </cell>
        </row>
      </sheetData>
      <sheetData sheetId="1284">
        <row r="3">
          <cell r="D3" t="str">
            <v>Gujarat rehabilitation work of Mathak village for TWRI</v>
          </cell>
        </row>
      </sheetData>
      <sheetData sheetId="1285">
        <row r="3">
          <cell r="D3" t="str">
            <v>Gujarat rehabilitation work of Mathak village for TWRI</v>
          </cell>
        </row>
      </sheetData>
      <sheetData sheetId="1286">
        <row r="3">
          <cell r="D3" t="str">
            <v>Gujarat rehabilitation work of Mathak village for TWRI</v>
          </cell>
        </row>
      </sheetData>
      <sheetData sheetId="1287">
        <row r="3">
          <cell r="D3" t="str">
            <v>Gujarat rehabilitation work of Mathak village for TWRI</v>
          </cell>
        </row>
      </sheetData>
      <sheetData sheetId="1288">
        <row r="3">
          <cell r="D3" t="str">
            <v>Gujarat rehabilitation work of Mathak village for TWRI</v>
          </cell>
        </row>
      </sheetData>
      <sheetData sheetId="1289">
        <row r="3">
          <cell r="D3" t="str">
            <v>Gujarat rehabilitation work of Mathak village for TWRI</v>
          </cell>
        </row>
      </sheetData>
      <sheetData sheetId="1290">
        <row r="3">
          <cell r="D3" t="str">
            <v>Gujarat rehabilitation work of Mathak village for TWRI</v>
          </cell>
        </row>
      </sheetData>
      <sheetData sheetId="1291">
        <row r="3">
          <cell r="D3" t="str">
            <v>Gujarat rehabilitation work of Mathak village for TWRI</v>
          </cell>
        </row>
      </sheetData>
      <sheetData sheetId="1292">
        <row r="3">
          <cell r="D3" t="str">
            <v>Gujarat rehabilitation work of Mathak village for TWRI</v>
          </cell>
        </row>
      </sheetData>
      <sheetData sheetId="1293">
        <row r="3">
          <cell r="D3" t="str">
            <v>Gujarat rehabilitation work of Mathak village for TWRI</v>
          </cell>
        </row>
      </sheetData>
      <sheetData sheetId="1294">
        <row r="3">
          <cell r="D3" t="str">
            <v>Gujarat rehabilitation work of Mathak village for TWRI</v>
          </cell>
        </row>
      </sheetData>
      <sheetData sheetId="1295">
        <row r="3">
          <cell r="D3" t="str">
            <v>Gujarat rehabilitation work of Mathak village for TWRI</v>
          </cell>
        </row>
      </sheetData>
      <sheetData sheetId="1296">
        <row r="3">
          <cell r="D3" t="str">
            <v>Gujarat rehabilitation work of Mathak village for TWRI</v>
          </cell>
        </row>
      </sheetData>
      <sheetData sheetId="1297">
        <row r="3">
          <cell r="D3" t="str">
            <v>Gujarat rehabilitation work of Mathak village for TWRI</v>
          </cell>
        </row>
      </sheetData>
      <sheetData sheetId="1298">
        <row r="3">
          <cell r="D3" t="str">
            <v>Gujarat rehabilitation work of Mathak village for TWRI</v>
          </cell>
        </row>
      </sheetData>
      <sheetData sheetId="1299">
        <row r="3">
          <cell r="D3" t="str">
            <v>Gujarat rehabilitation work of Mathak village for TWRI</v>
          </cell>
        </row>
      </sheetData>
      <sheetData sheetId="1300">
        <row r="3">
          <cell r="D3" t="str">
            <v>Gujarat rehabilitation work of Mathak village for TWRI</v>
          </cell>
        </row>
      </sheetData>
      <sheetData sheetId="1301">
        <row r="3">
          <cell r="D3" t="str">
            <v>Gujarat rehabilitation work of Mathak village for TWRI</v>
          </cell>
        </row>
      </sheetData>
      <sheetData sheetId="1302">
        <row r="3">
          <cell r="D3" t="str">
            <v>Gujarat rehabilitation work of Mathak village for TWRI</v>
          </cell>
        </row>
      </sheetData>
      <sheetData sheetId="1303">
        <row r="3">
          <cell r="D3" t="str">
            <v>Gujarat rehabilitation work of Mathak village for TWRI</v>
          </cell>
        </row>
      </sheetData>
      <sheetData sheetId="1304"/>
      <sheetData sheetId="1305">
        <row r="3">
          <cell r="D3" t="str">
            <v>Gujarat rehabilitation work of Mathak village for TWRI</v>
          </cell>
        </row>
      </sheetData>
      <sheetData sheetId="1306">
        <row r="3">
          <cell r="D3" t="str">
            <v>Gujarat rehabilitation work of Mathak village for TWRI</v>
          </cell>
        </row>
      </sheetData>
      <sheetData sheetId="1307">
        <row r="3">
          <cell r="D3" t="str">
            <v>Gujarat rehabilitation work of Mathak village for TWRI</v>
          </cell>
        </row>
      </sheetData>
      <sheetData sheetId="1308">
        <row r="3">
          <cell r="D3" t="str">
            <v>Gujarat rehabilitation work of Mathak village for TWRI</v>
          </cell>
        </row>
      </sheetData>
      <sheetData sheetId="1309">
        <row r="3">
          <cell r="D3" t="str">
            <v>Gujarat rehabilitation work of Mathak village for TWRI</v>
          </cell>
        </row>
      </sheetData>
      <sheetData sheetId="1310">
        <row r="3">
          <cell r="D3" t="str">
            <v>Gujarat rehabilitation work of Mathak village for TWRI</v>
          </cell>
        </row>
      </sheetData>
      <sheetData sheetId="1311"/>
      <sheetData sheetId="1312">
        <row r="3">
          <cell r="D3" t="str">
            <v>Gujarat rehabilitation work of Mathak village for TWRI</v>
          </cell>
        </row>
      </sheetData>
      <sheetData sheetId="1313">
        <row r="3">
          <cell r="D3" t="str">
            <v>Gujarat rehabilitation work of Mathak village for TWRI</v>
          </cell>
        </row>
      </sheetData>
      <sheetData sheetId="1314"/>
      <sheetData sheetId="1315">
        <row r="3">
          <cell r="D3" t="str">
            <v>Gujarat rehabilitation work of Mathak village for TWRI</v>
          </cell>
        </row>
      </sheetData>
      <sheetData sheetId="1316">
        <row r="3">
          <cell r="D3" t="str">
            <v>Gujarat rehabilitation work of Mathak village for TWRI</v>
          </cell>
        </row>
      </sheetData>
      <sheetData sheetId="1317">
        <row r="3">
          <cell r="D3" t="str">
            <v>Gujarat rehabilitation work of Mathak village for TWRI</v>
          </cell>
        </row>
      </sheetData>
      <sheetData sheetId="1318"/>
      <sheetData sheetId="1319"/>
      <sheetData sheetId="1320"/>
      <sheetData sheetId="1321"/>
      <sheetData sheetId="1322">
        <row r="3">
          <cell r="D3" t="str">
            <v>Gujarat rehabilitation work of Mathak village for TWRI</v>
          </cell>
        </row>
      </sheetData>
      <sheetData sheetId="1323">
        <row r="3">
          <cell r="D3" t="str">
            <v>Gujarat rehabilitation work of Mathak village for TWRI</v>
          </cell>
        </row>
      </sheetData>
      <sheetData sheetId="1324">
        <row r="3">
          <cell r="D3" t="str">
            <v>Gujarat rehabilitation work of Mathak village for TWRI</v>
          </cell>
        </row>
      </sheetData>
      <sheetData sheetId="1325">
        <row r="3">
          <cell r="D3" t="str">
            <v>Gujarat rehabilitation work of Mathak village for TWRI</v>
          </cell>
        </row>
      </sheetData>
      <sheetData sheetId="1326">
        <row r="3">
          <cell r="D3" t="str">
            <v>Gujarat rehabilitation work of Mathak village for TWRI</v>
          </cell>
        </row>
      </sheetData>
      <sheetData sheetId="1327">
        <row r="3">
          <cell r="D3" t="str">
            <v>Gujarat rehabilitation work of Mathak village for TWRI</v>
          </cell>
        </row>
      </sheetData>
      <sheetData sheetId="1328"/>
      <sheetData sheetId="1329">
        <row r="3">
          <cell r="D3" t="str">
            <v>Gujarat rehabilitation work of Mathak village for TWRI</v>
          </cell>
        </row>
      </sheetData>
      <sheetData sheetId="1330">
        <row r="3">
          <cell r="D3" t="str">
            <v>Gujarat rehabilitation work of Mathak village for TWRI</v>
          </cell>
        </row>
      </sheetData>
      <sheetData sheetId="1331">
        <row r="3">
          <cell r="D3" t="str">
            <v>Gujarat rehabilitation work of Mathak village for TWRI</v>
          </cell>
        </row>
      </sheetData>
      <sheetData sheetId="1332">
        <row r="3">
          <cell r="D3" t="str">
            <v>Gujarat rehabilitation work of Mathak village for TWRI</v>
          </cell>
        </row>
      </sheetData>
      <sheetData sheetId="1333">
        <row r="3">
          <cell r="D3" t="str">
            <v>Gujarat rehabilitation work of Mathak village for TWRI</v>
          </cell>
        </row>
      </sheetData>
      <sheetData sheetId="1334">
        <row r="3">
          <cell r="D3" t="str">
            <v>Gujarat rehabilitation work of Mathak village for TWRI</v>
          </cell>
        </row>
      </sheetData>
      <sheetData sheetId="1335"/>
      <sheetData sheetId="1336">
        <row r="3">
          <cell r="D3" t="str">
            <v>Gujarat rehabilitation work of Mathak village for TWRI</v>
          </cell>
        </row>
      </sheetData>
      <sheetData sheetId="1337">
        <row r="3">
          <cell r="D3" t="str">
            <v>Gujarat rehabilitation work of Mathak village for TWRI</v>
          </cell>
        </row>
      </sheetData>
      <sheetData sheetId="1338">
        <row r="3">
          <cell r="D3" t="str">
            <v>Gujarat rehabilitation work of Mathak village for TWRI</v>
          </cell>
        </row>
      </sheetData>
      <sheetData sheetId="1339">
        <row r="3">
          <cell r="D3" t="str">
            <v>Gujarat rehabilitation work of Mathak village for TWRI</v>
          </cell>
        </row>
      </sheetData>
      <sheetData sheetId="1340">
        <row r="3">
          <cell r="D3" t="str">
            <v>Gujarat rehabilitation work of Mathak village for TWRI</v>
          </cell>
        </row>
      </sheetData>
      <sheetData sheetId="1341">
        <row r="3">
          <cell r="D3" t="str">
            <v>Gujarat rehabilitation work of Mathak village for TWRI</v>
          </cell>
        </row>
      </sheetData>
      <sheetData sheetId="1342"/>
      <sheetData sheetId="1343"/>
      <sheetData sheetId="1344"/>
      <sheetData sheetId="1345"/>
      <sheetData sheetId="1346">
        <row r="3">
          <cell r="D3" t="str">
            <v>Gujarat rehabilitation work of Mathak village for TWRI</v>
          </cell>
        </row>
      </sheetData>
      <sheetData sheetId="1347">
        <row r="3">
          <cell r="D3" t="str">
            <v>Gujarat rehabilitation work of Mathak village for TWRI</v>
          </cell>
        </row>
      </sheetData>
      <sheetData sheetId="1348">
        <row r="3">
          <cell r="D3" t="str">
            <v>Gujarat rehabilitation work of Mathak village for TWRI</v>
          </cell>
        </row>
      </sheetData>
      <sheetData sheetId="1349">
        <row r="3">
          <cell r="D3" t="str">
            <v>Gujarat rehabilitation work of Mathak village for TWRI</v>
          </cell>
        </row>
      </sheetData>
      <sheetData sheetId="1350">
        <row r="3">
          <cell r="D3" t="str">
            <v>Gujarat rehabilitation work of Mathak village for TWRI</v>
          </cell>
        </row>
      </sheetData>
      <sheetData sheetId="1351">
        <row r="3">
          <cell r="D3" t="str">
            <v>Gujarat rehabilitation work of Mathak village for TWRI</v>
          </cell>
        </row>
      </sheetData>
      <sheetData sheetId="1352"/>
      <sheetData sheetId="1353"/>
      <sheetData sheetId="1354"/>
      <sheetData sheetId="1355"/>
      <sheetData sheetId="1356"/>
      <sheetData sheetId="1357"/>
      <sheetData sheetId="1358"/>
      <sheetData sheetId="1359">
        <row r="3">
          <cell r="D3" t="str">
            <v>Gujarat rehabilitation work of Mathak village for TWRI</v>
          </cell>
        </row>
      </sheetData>
      <sheetData sheetId="1360">
        <row r="3">
          <cell r="D3" t="str">
            <v>Gujarat rehabilitation work of Mathak village for TWRI</v>
          </cell>
        </row>
      </sheetData>
      <sheetData sheetId="1361">
        <row r="3">
          <cell r="D3" t="str">
            <v>Gujarat rehabilitation work of Mathak village for TWRI</v>
          </cell>
        </row>
      </sheetData>
      <sheetData sheetId="1362">
        <row r="3">
          <cell r="D3" t="str">
            <v>Gujarat rehabilitation work of Mathak village for TWRI</v>
          </cell>
        </row>
      </sheetData>
      <sheetData sheetId="1363">
        <row r="3">
          <cell r="D3" t="str">
            <v>Gujarat rehabilitation work of Mathak village for TWRI</v>
          </cell>
        </row>
      </sheetData>
      <sheetData sheetId="1364">
        <row r="3">
          <cell r="D3" t="str">
            <v>Gujarat rehabilitation work of Mathak village for TWRI</v>
          </cell>
        </row>
      </sheetData>
      <sheetData sheetId="1365">
        <row r="3">
          <cell r="D3" t="str">
            <v>Gujarat rehabilitation work of Mathak village for TWRI</v>
          </cell>
        </row>
      </sheetData>
      <sheetData sheetId="1366">
        <row r="3">
          <cell r="D3" t="str">
            <v>Gujarat rehabilitation work of Mathak village for TWRI</v>
          </cell>
        </row>
      </sheetData>
      <sheetData sheetId="1367">
        <row r="3">
          <cell r="D3" t="str">
            <v>Gujarat rehabilitation work of Mathak village for TWRI</v>
          </cell>
        </row>
      </sheetData>
      <sheetData sheetId="1368">
        <row r="3">
          <cell r="D3" t="str">
            <v>Gujarat rehabilitation work of Mathak village for TWRI</v>
          </cell>
        </row>
      </sheetData>
      <sheetData sheetId="1369">
        <row r="3">
          <cell r="D3" t="str">
            <v>Gujarat rehabilitation work of Mathak village for TWRI</v>
          </cell>
        </row>
      </sheetData>
      <sheetData sheetId="1370">
        <row r="3">
          <cell r="D3" t="str">
            <v>Gujarat rehabilitation work of Mathak village for TWRI</v>
          </cell>
        </row>
      </sheetData>
      <sheetData sheetId="1371">
        <row r="3">
          <cell r="D3" t="str">
            <v>Gujarat rehabilitation work of Mathak village for TWRI</v>
          </cell>
        </row>
      </sheetData>
      <sheetData sheetId="1372">
        <row r="3">
          <cell r="D3" t="str">
            <v>Gujarat rehabilitation work of Mathak village for TWRI</v>
          </cell>
        </row>
      </sheetData>
      <sheetData sheetId="1373">
        <row r="3">
          <cell r="D3" t="str">
            <v>Gujarat rehabilitation work of Mathak village for TWRI</v>
          </cell>
        </row>
      </sheetData>
      <sheetData sheetId="1374">
        <row r="3">
          <cell r="D3" t="str">
            <v>Gujarat rehabilitation work of Mathak village for TWRI</v>
          </cell>
        </row>
      </sheetData>
      <sheetData sheetId="1375">
        <row r="3">
          <cell r="D3" t="str">
            <v>Gujarat rehabilitation work of Mathak village for TWRI</v>
          </cell>
        </row>
      </sheetData>
      <sheetData sheetId="1376">
        <row r="3">
          <cell r="D3" t="str">
            <v>Gujarat rehabilitation work of Mathak village for TWRI</v>
          </cell>
        </row>
      </sheetData>
      <sheetData sheetId="1377">
        <row r="3">
          <cell r="D3" t="str">
            <v>Gujarat rehabilitation work of Mathak village for TWRI</v>
          </cell>
        </row>
      </sheetData>
      <sheetData sheetId="1378">
        <row r="3">
          <cell r="D3" t="str">
            <v>Gujarat rehabilitation work of Mathak village for TWRI</v>
          </cell>
        </row>
      </sheetData>
      <sheetData sheetId="1379">
        <row r="3">
          <cell r="D3" t="str">
            <v>Gujarat rehabilitation work of Mathak village for TWRI</v>
          </cell>
        </row>
      </sheetData>
      <sheetData sheetId="1380">
        <row r="3">
          <cell r="D3" t="str">
            <v>Gujarat rehabilitation work of Mathak village for TWRI</v>
          </cell>
        </row>
      </sheetData>
      <sheetData sheetId="1381">
        <row r="3">
          <cell r="D3" t="str">
            <v>Gujarat rehabilitation work of Mathak village for TWRI</v>
          </cell>
        </row>
      </sheetData>
      <sheetData sheetId="1382">
        <row r="3">
          <cell r="D3" t="str">
            <v>Gujarat rehabilitation work of Mathak village for TWRI</v>
          </cell>
        </row>
      </sheetData>
      <sheetData sheetId="1383">
        <row r="3">
          <cell r="D3" t="str">
            <v>Gujarat rehabilitation work of Mathak village for TWRI</v>
          </cell>
        </row>
      </sheetData>
      <sheetData sheetId="1384">
        <row r="3">
          <cell r="D3" t="str">
            <v>Gujarat rehabilitation work of Mathak village for TWRI</v>
          </cell>
        </row>
      </sheetData>
      <sheetData sheetId="1385">
        <row r="3">
          <cell r="D3" t="str">
            <v>Gujarat rehabilitation work of Mathak village for TWRI</v>
          </cell>
        </row>
      </sheetData>
      <sheetData sheetId="1386">
        <row r="3">
          <cell r="D3" t="str">
            <v>Gujarat rehabilitation work of Mathak village for TWRI</v>
          </cell>
        </row>
      </sheetData>
      <sheetData sheetId="1387">
        <row r="3">
          <cell r="D3" t="str">
            <v>Gujarat rehabilitation work of Mathak village for TWRI</v>
          </cell>
        </row>
      </sheetData>
      <sheetData sheetId="1388">
        <row r="3">
          <cell r="D3" t="str">
            <v>Gujarat rehabilitation work of Mathak village for TWRI</v>
          </cell>
        </row>
      </sheetData>
      <sheetData sheetId="1389">
        <row r="3">
          <cell r="D3" t="str">
            <v>Gujarat rehabilitation work of Mathak village for TWRI</v>
          </cell>
        </row>
      </sheetData>
      <sheetData sheetId="1390">
        <row r="3">
          <cell r="D3" t="str">
            <v>Gujarat rehabilitation work of Mathak village for TWRI</v>
          </cell>
        </row>
      </sheetData>
      <sheetData sheetId="1391">
        <row r="3">
          <cell r="D3" t="str">
            <v>Gujarat rehabilitation work of Mathak village for TWRI</v>
          </cell>
        </row>
      </sheetData>
      <sheetData sheetId="1392">
        <row r="3">
          <cell r="D3" t="str">
            <v>Gujarat rehabilitation work of Mathak village for TWRI</v>
          </cell>
        </row>
      </sheetData>
      <sheetData sheetId="1393">
        <row r="3">
          <cell r="D3" t="str">
            <v>Gujarat rehabilitation work of Mathak village for TWRI</v>
          </cell>
        </row>
      </sheetData>
      <sheetData sheetId="1394">
        <row r="3">
          <cell r="D3" t="str">
            <v>Gujarat rehabilitation work of Mathak village for TWRI</v>
          </cell>
        </row>
      </sheetData>
      <sheetData sheetId="1395">
        <row r="3">
          <cell r="D3" t="str">
            <v>Gujarat rehabilitation work of Mathak village for TWRI</v>
          </cell>
        </row>
      </sheetData>
      <sheetData sheetId="1396">
        <row r="3">
          <cell r="D3" t="str">
            <v>Gujarat rehabilitation work of Mathak village for TWRI</v>
          </cell>
        </row>
      </sheetData>
      <sheetData sheetId="1397">
        <row r="3">
          <cell r="D3" t="str">
            <v>Gujarat rehabilitation work of Mathak village for TWRI</v>
          </cell>
        </row>
      </sheetData>
      <sheetData sheetId="1398">
        <row r="3">
          <cell r="D3" t="str">
            <v>Gujarat rehabilitation work of Mathak village for TWRI</v>
          </cell>
        </row>
      </sheetData>
      <sheetData sheetId="1399">
        <row r="3">
          <cell r="D3" t="str">
            <v>Gujarat rehabilitation work of Mathak village for TWRI</v>
          </cell>
        </row>
      </sheetData>
      <sheetData sheetId="1400">
        <row r="3">
          <cell r="D3" t="str">
            <v>Gujarat rehabilitation work of Mathak village for TWRI</v>
          </cell>
        </row>
      </sheetData>
      <sheetData sheetId="1401">
        <row r="3">
          <cell r="D3" t="str">
            <v>Gujarat rehabilitation work of Mathak village for TWRI</v>
          </cell>
        </row>
      </sheetData>
      <sheetData sheetId="1402">
        <row r="3">
          <cell r="D3" t="str">
            <v>Gujarat rehabilitation work of Mathak village for TWRI</v>
          </cell>
        </row>
      </sheetData>
      <sheetData sheetId="1403">
        <row r="3">
          <cell r="D3" t="str">
            <v>Gujarat rehabilitation work of Mathak village for TWRI</v>
          </cell>
        </row>
      </sheetData>
      <sheetData sheetId="1404">
        <row r="3">
          <cell r="D3" t="str">
            <v>Gujarat rehabilitation work of Mathak village for TWRI</v>
          </cell>
        </row>
      </sheetData>
      <sheetData sheetId="1405">
        <row r="3">
          <cell r="D3" t="str">
            <v>Gujarat rehabilitation work of Mathak village for TWRI</v>
          </cell>
        </row>
      </sheetData>
      <sheetData sheetId="1406">
        <row r="3">
          <cell r="D3" t="str">
            <v>Gujarat rehabilitation work of Mathak village for TWRI</v>
          </cell>
        </row>
      </sheetData>
      <sheetData sheetId="1407">
        <row r="3">
          <cell r="D3" t="str">
            <v>Gujarat rehabilitation work of Mathak village for TWRI</v>
          </cell>
        </row>
      </sheetData>
      <sheetData sheetId="1408">
        <row r="3">
          <cell r="D3" t="str">
            <v>Gujarat rehabilitation work of Mathak village for TWRI</v>
          </cell>
        </row>
      </sheetData>
      <sheetData sheetId="1409">
        <row r="3">
          <cell r="D3" t="str">
            <v>Gujarat rehabilitation work of Mathak village for TWRI</v>
          </cell>
        </row>
      </sheetData>
      <sheetData sheetId="1410">
        <row r="3">
          <cell r="D3" t="str">
            <v>Gujarat rehabilitation work of Mathak village for TWRI</v>
          </cell>
        </row>
      </sheetData>
      <sheetData sheetId="1411">
        <row r="3">
          <cell r="D3" t="str">
            <v>Gujarat rehabilitation work of Mathak village for TWRI</v>
          </cell>
        </row>
      </sheetData>
      <sheetData sheetId="1412">
        <row r="3">
          <cell r="D3" t="str">
            <v>Gujarat rehabilitation work of Mathak village for TWRI</v>
          </cell>
        </row>
      </sheetData>
      <sheetData sheetId="1413">
        <row r="3">
          <cell r="D3" t="str">
            <v>Gujarat rehabilitation work of Mathak village for TWRI</v>
          </cell>
        </row>
      </sheetData>
      <sheetData sheetId="1414">
        <row r="3">
          <cell r="D3" t="str">
            <v>Gujarat rehabilitation work of Mathak village for TWRI</v>
          </cell>
        </row>
      </sheetData>
      <sheetData sheetId="1415">
        <row r="3">
          <cell r="D3" t="str">
            <v>Gujarat rehabilitation work of Mathak village for TWRI</v>
          </cell>
        </row>
      </sheetData>
      <sheetData sheetId="1416">
        <row r="3">
          <cell r="D3" t="str">
            <v>Gujarat rehabilitation work of Mathak village for TWRI</v>
          </cell>
        </row>
      </sheetData>
      <sheetData sheetId="1417">
        <row r="3">
          <cell r="D3" t="str">
            <v>Gujarat rehabilitation work of Mathak village for TWRI</v>
          </cell>
        </row>
      </sheetData>
      <sheetData sheetId="1418">
        <row r="3">
          <cell r="D3" t="str">
            <v>Gujarat rehabilitation work of Mathak village for TWRI</v>
          </cell>
        </row>
      </sheetData>
      <sheetData sheetId="1419">
        <row r="3">
          <cell r="D3" t="str">
            <v>Gujarat rehabilitation work of Mathak village for TWRI</v>
          </cell>
        </row>
      </sheetData>
      <sheetData sheetId="1420">
        <row r="3">
          <cell r="D3" t="str">
            <v>Gujarat rehabilitation work of Mathak village for TWRI</v>
          </cell>
        </row>
      </sheetData>
      <sheetData sheetId="1421">
        <row r="3">
          <cell r="D3" t="str">
            <v>Gujarat rehabilitation work of Mathak village for TWRI</v>
          </cell>
        </row>
      </sheetData>
      <sheetData sheetId="1422">
        <row r="3">
          <cell r="D3" t="str">
            <v>Gujarat rehabilitation work of Mathak village for TWRI</v>
          </cell>
        </row>
      </sheetData>
      <sheetData sheetId="1423">
        <row r="3">
          <cell r="D3" t="str">
            <v>Gujarat rehabilitation work of Mathak village for TWRI</v>
          </cell>
        </row>
      </sheetData>
      <sheetData sheetId="1424">
        <row r="3">
          <cell r="D3" t="str">
            <v>Gujarat rehabilitation work of Mathak village for TWRI</v>
          </cell>
        </row>
      </sheetData>
      <sheetData sheetId="1425">
        <row r="3">
          <cell r="D3" t="str">
            <v>Gujarat rehabilitation work of Mathak village for TWRI</v>
          </cell>
        </row>
      </sheetData>
      <sheetData sheetId="1426">
        <row r="3">
          <cell r="D3" t="str">
            <v>Gujarat rehabilitation work of Mathak village for TWRI</v>
          </cell>
        </row>
      </sheetData>
      <sheetData sheetId="1427">
        <row r="3">
          <cell r="D3" t="str">
            <v>Gujarat rehabilitation work of Mathak village for TWRI</v>
          </cell>
        </row>
      </sheetData>
      <sheetData sheetId="1428">
        <row r="3">
          <cell r="D3" t="str">
            <v>Gujarat rehabilitation work of Mathak village for TWRI</v>
          </cell>
        </row>
      </sheetData>
      <sheetData sheetId="1429">
        <row r="3">
          <cell r="D3" t="str">
            <v>Gujarat rehabilitation work of Mathak village for TWRI</v>
          </cell>
        </row>
      </sheetData>
      <sheetData sheetId="1430">
        <row r="3">
          <cell r="D3" t="str">
            <v>Gujarat rehabilitation work of Mathak village for TWRI</v>
          </cell>
        </row>
      </sheetData>
      <sheetData sheetId="1431">
        <row r="3">
          <cell r="D3" t="str">
            <v>Gujarat rehabilitation work of Mathak village for TWRI</v>
          </cell>
        </row>
      </sheetData>
      <sheetData sheetId="1432">
        <row r="3">
          <cell r="D3" t="str">
            <v>Gujarat rehabilitation work of Mathak village for TWRI</v>
          </cell>
        </row>
      </sheetData>
      <sheetData sheetId="1433">
        <row r="3">
          <cell r="D3" t="str">
            <v>Gujarat rehabilitation work of Mathak village for TWRI</v>
          </cell>
        </row>
      </sheetData>
      <sheetData sheetId="1434">
        <row r="3">
          <cell r="D3" t="str">
            <v>Gujarat rehabilitation work of Mathak village for TWRI</v>
          </cell>
        </row>
      </sheetData>
      <sheetData sheetId="1435">
        <row r="3">
          <cell r="D3" t="str">
            <v>Gujarat rehabilitation work of Mathak village for TWRI</v>
          </cell>
        </row>
      </sheetData>
      <sheetData sheetId="1436">
        <row r="3">
          <cell r="D3" t="str">
            <v>Gujarat rehabilitation work of Mathak village for TWRI</v>
          </cell>
        </row>
      </sheetData>
      <sheetData sheetId="1437">
        <row r="3">
          <cell r="D3" t="str">
            <v>Gujarat rehabilitation work of Mathak village for TWRI</v>
          </cell>
        </row>
      </sheetData>
      <sheetData sheetId="1438">
        <row r="3">
          <cell r="D3" t="str">
            <v>Gujarat rehabilitation work of Mathak village for TWRI</v>
          </cell>
        </row>
      </sheetData>
      <sheetData sheetId="1439">
        <row r="3">
          <cell r="D3" t="str">
            <v>Gujarat rehabilitation work of Mathak village for TWRI</v>
          </cell>
        </row>
      </sheetData>
      <sheetData sheetId="1440">
        <row r="3">
          <cell r="D3" t="str">
            <v>Gujarat rehabilitation work of Mathak village for TWRI</v>
          </cell>
        </row>
      </sheetData>
      <sheetData sheetId="1441">
        <row r="3">
          <cell r="D3" t="str">
            <v>Gujarat rehabilitation work of Mathak village for TWRI</v>
          </cell>
        </row>
      </sheetData>
      <sheetData sheetId="1442">
        <row r="3">
          <cell r="D3" t="str">
            <v>Gujarat rehabilitation work of Mathak village for TWRI</v>
          </cell>
        </row>
      </sheetData>
      <sheetData sheetId="1443">
        <row r="3">
          <cell r="D3" t="str">
            <v>Gujarat rehabilitation work of Mathak village for TWRI</v>
          </cell>
        </row>
      </sheetData>
      <sheetData sheetId="1444">
        <row r="3">
          <cell r="D3" t="str">
            <v>Gujarat rehabilitation work of Mathak village for TWRI</v>
          </cell>
        </row>
      </sheetData>
      <sheetData sheetId="1445">
        <row r="3">
          <cell r="D3" t="str">
            <v>Gujarat rehabilitation work of Mathak village for TWRI</v>
          </cell>
        </row>
      </sheetData>
      <sheetData sheetId="1446">
        <row r="3">
          <cell r="D3" t="str">
            <v>Gujarat rehabilitation work of Mathak village for TWRI</v>
          </cell>
        </row>
      </sheetData>
      <sheetData sheetId="1447">
        <row r="3">
          <cell r="D3" t="str">
            <v>Gujarat rehabilitation work of Mathak village for TWRI</v>
          </cell>
        </row>
      </sheetData>
      <sheetData sheetId="1448">
        <row r="3">
          <cell r="D3" t="str">
            <v>Gujarat rehabilitation work of Mathak village for TWRI</v>
          </cell>
        </row>
      </sheetData>
      <sheetData sheetId="1449">
        <row r="3">
          <cell r="D3" t="str">
            <v>Gujarat rehabilitation work of Mathak village for TWRI</v>
          </cell>
        </row>
      </sheetData>
      <sheetData sheetId="1450">
        <row r="3">
          <cell r="D3" t="str">
            <v>Gujarat rehabilitation work of Mathak village for TWRI</v>
          </cell>
        </row>
      </sheetData>
      <sheetData sheetId="1451">
        <row r="3">
          <cell r="D3" t="str">
            <v>Gujarat rehabilitation work of Mathak village for TWRI</v>
          </cell>
        </row>
      </sheetData>
      <sheetData sheetId="1452">
        <row r="3">
          <cell r="D3" t="str">
            <v>Gujarat rehabilitation work of Mathak village for TWRI</v>
          </cell>
        </row>
      </sheetData>
      <sheetData sheetId="1453">
        <row r="3">
          <cell r="D3" t="str">
            <v>Gujarat rehabilitation work of Mathak village for TWRI</v>
          </cell>
        </row>
      </sheetData>
      <sheetData sheetId="1454">
        <row r="3">
          <cell r="D3" t="str">
            <v>Gujarat rehabilitation work of Mathak village for TWRI</v>
          </cell>
        </row>
      </sheetData>
      <sheetData sheetId="1455">
        <row r="3">
          <cell r="D3" t="str">
            <v>Gujarat rehabilitation work of Mathak village for TWRI</v>
          </cell>
        </row>
      </sheetData>
      <sheetData sheetId="1456">
        <row r="3">
          <cell r="D3" t="str">
            <v>Gujarat rehabilitation work of Mathak village for TWRI</v>
          </cell>
        </row>
      </sheetData>
      <sheetData sheetId="1457">
        <row r="3">
          <cell r="D3" t="str">
            <v>Gujarat rehabilitation work of Mathak village for TWRI</v>
          </cell>
        </row>
      </sheetData>
      <sheetData sheetId="1458">
        <row r="3">
          <cell r="D3" t="str">
            <v>Gujarat rehabilitation work of Mathak village for TWRI</v>
          </cell>
        </row>
      </sheetData>
      <sheetData sheetId="1459">
        <row r="3">
          <cell r="D3" t="str">
            <v>Gujarat rehabilitation work of Mathak village for TWRI</v>
          </cell>
        </row>
      </sheetData>
      <sheetData sheetId="1460">
        <row r="3">
          <cell r="D3" t="str">
            <v>Gujarat rehabilitation work of Mathak village for TWRI</v>
          </cell>
        </row>
      </sheetData>
      <sheetData sheetId="1461">
        <row r="3">
          <cell r="D3" t="str">
            <v>Gujarat rehabilitation work of Mathak village for TWRI</v>
          </cell>
        </row>
      </sheetData>
      <sheetData sheetId="1462">
        <row r="3">
          <cell r="D3" t="str">
            <v>Gujarat rehabilitation work of Mathak village for TWRI</v>
          </cell>
        </row>
      </sheetData>
      <sheetData sheetId="1463">
        <row r="3">
          <cell r="D3" t="str">
            <v>Gujarat rehabilitation work of Mathak village for TWRI</v>
          </cell>
        </row>
      </sheetData>
      <sheetData sheetId="1464">
        <row r="3">
          <cell r="D3" t="str">
            <v>Gujarat rehabilitation work of Mathak village for TWRI</v>
          </cell>
        </row>
      </sheetData>
      <sheetData sheetId="1465">
        <row r="3">
          <cell r="D3" t="str">
            <v>Gujarat rehabilitation work of Mathak village for TWRI</v>
          </cell>
        </row>
      </sheetData>
      <sheetData sheetId="1466">
        <row r="3">
          <cell r="D3" t="str">
            <v>Gujarat rehabilitation work of Mathak village for TWRI</v>
          </cell>
        </row>
      </sheetData>
      <sheetData sheetId="1467">
        <row r="3">
          <cell r="D3" t="str">
            <v>Gujarat rehabilitation work of Mathak village for TWRI</v>
          </cell>
        </row>
      </sheetData>
      <sheetData sheetId="1468"/>
      <sheetData sheetId="1469">
        <row r="3">
          <cell r="D3" t="str">
            <v>Gujarat rehabilitation work of Mathak village for TWRI</v>
          </cell>
        </row>
      </sheetData>
      <sheetData sheetId="1470">
        <row r="3">
          <cell r="D3" t="str">
            <v>Gujarat rehabilitation work of Mathak village for TWRI</v>
          </cell>
        </row>
      </sheetData>
      <sheetData sheetId="1471">
        <row r="3">
          <cell r="D3" t="str">
            <v>Gujarat rehabilitation work of Mathak village for TWRI</v>
          </cell>
        </row>
      </sheetData>
      <sheetData sheetId="1472">
        <row r="3">
          <cell r="D3" t="str">
            <v>Gujarat rehabilitation work of Mathak village for TWRI</v>
          </cell>
        </row>
      </sheetData>
      <sheetData sheetId="1473">
        <row r="3">
          <cell r="D3" t="str">
            <v>Gujarat rehabilitation work of Mathak village for TWRI</v>
          </cell>
        </row>
      </sheetData>
      <sheetData sheetId="1474">
        <row r="3">
          <cell r="D3" t="str">
            <v>Gujarat rehabilitation work of Mathak village for TWRI</v>
          </cell>
        </row>
      </sheetData>
      <sheetData sheetId="1475">
        <row r="3">
          <cell r="D3" t="str">
            <v>Gujarat rehabilitation work of Mathak village for TWRI</v>
          </cell>
        </row>
      </sheetData>
      <sheetData sheetId="1476">
        <row r="3">
          <cell r="D3" t="str">
            <v>Gujarat rehabilitation work of Mathak village for TWRI</v>
          </cell>
        </row>
      </sheetData>
      <sheetData sheetId="1477">
        <row r="3">
          <cell r="D3" t="str">
            <v>Gujarat rehabilitation work of Mathak village for TWRI</v>
          </cell>
        </row>
      </sheetData>
      <sheetData sheetId="1478">
        <row r="3">
          <cell r="D3" t="str">
            <v>Gujarat rehabilitation work of Mathak village for TWRI</v>
          </cell>
        </row>
      </sheetData>
      <sheetData sheetId="1479"/>
      <sheetData sheetId="1480">
        <row r="3">
          <cell r="D3" t="str">
            <v>Gujarat rehabilitation work of Mathak village for TWRI</v>
          </cell>
        </row>
      </sheetData>
      <sheetData sheetId="1481">
        <row r="3">
          <cell r="D3" t="str">
            <v>Gujarat rehabilitation work of Mathak village for TWRI</v>
          </cell>
        </row>
      </sheetData>
      <sheetData sheetId="1482"/>
      <sheetData sheetId="1483">
        <row r="3">
          <cell r="D3" t="str">
            <v>Gujarat rehabilitation work of Mathak village for TWRI</v>
          </cell>
        </row>
      </sheetData>
      <sheetData sheetId="1484"/>
      <sheetData sheetId="1485">
        <row r="3">
          <cell r="D3" t="str">
            <v>Gujarat rehabilitation work of Mathak village for TWRI</v>
          </cell>
        </row>
      </sheetData>
      <sheetData sheetId="1486">
        <row r="3">
          <cell r="D3" t="str">
            <v>Gujarat rehabilitation work of Mathak village for TWRI</v>
          </cell>
        </row>
      </sheetData>
      <sheetData sheetId="1487">
        <row r="3">
          <cell r="D3" t="str">
            <v>Gujarat rehabilitation work of Mathak village for TWRI</v>
          </cell>
        </row>
      </sheetData>
      <sheetData sheetId="1488">
        <row r="3">
          <cell r="D3" t="str">
            <v>Gujarat rehabilitation work of Mathak village for TWRI</v>
          </cell>
        </row>
      </sheetData>
      <sheetData sheetId="1489"/>
      <sheetData sheetId="1490"/>
      <sheetData sheetId="1491"/>
      <sheetData sheetId="1492">
        <row r="3">
          <cell r="D3" t="str">
            <v>Gujarat rehabilitation work of Mathak village for TWRI</v>
          </cell>
        </row>
      </sheetData>
      <sheetData sheetId="1493">
        <row r="3">
          <cell r="D3" t="str">
            <v>Gujarat rehabilitation work of Mathak village for TWRI</v>
          </cell>
        </row>
      </sheetData>
      <sheetData sheetId="1494">
        <row r="3">
          <cell r="D3" t="str">
            <v>Gujarat rehabilitation work of Mathak village for TWRI</v>
          </cell>
        </row>
      </sheetData>
      <sheetData sheetId="1495">
        <row r="3">
          <cell r="D3" t="str">
            <v>Gujarat rehabilitation work of Mathak village for TWRI</v>
          </cell>
        </row>
      </sheetData>
      <sheetData sheetId="1496">
        <row r="3">
          <cell r="D3" t="str">
            <v>Gujarat rehabilitation work of Mathak village for TWRI</v>
          </cell>
        </row>
      </sheetData>
      <sheetData sheetId="1497">
        <row r="3">
          <cell r="D3" t="str">
            <v>Gujarat rehabilitation work of Mathak village for TWRI</v>
          </cell>
        </row>
      </sheetData>
      <sheetData sheetId="1498">
        <row r="3">
          <cell r="D3" t="str">
            <v>Gujarat rehabilitation work of Mathak village for TWRI</v>
          </cell>
        </row>
      </sheetData>
      <sheetData sheetId="1499"/>
      <sheetData sheetId="1500"/>
      <sheetData sheetId="1501"/>
      <sheetData sheetId="1502"/>
      <sheetData sheetId="1503"/>
      <sheetData sheetId="1504"/>
      <sheetData sheetId="1505"/>
      <sheetData sheetId="1506"/>
      <sheetData sheetId="1507">
        <row r="3">
          <cell r="D3" t="str">
            <v>Gujarat rehabilitation work of Mathak village for TWRI</v>
          </cell>
        </row>
      </sheetData>
      <sheetData sheetId="1508"/>
      <sheetData sheetId="1509">
        <row r="3">
          <cell r="D3" t="str">
            <v>Gujarat rehabilitation work of Mathak village for TWRI</v>
          </cell>
        </row>
      </sheetData>
      <sheetData sheetId="1510"/>
      <sheetData sheetId="1511"/>
      <sheetData sheetId="1512"/>
      <sheetData sheetId="1513"/>
      <sheetData sheetId="1514"/>
      <sheetData sheetId="1515">
        <row r="3">
          <cell r="D3" t="str">
            <v>Gujarat rehabilitation work of Mathak village for TWRI</v>
          </cell>
        </row>
      </sheetData>
      <sheetData sheetId="1516"/>
      <sheetData sheetId="1517">
        <row r="3">
          <cell r="D3" t="str">
            <v>Gujarat rehabilitation work of Mathak village for TWRI</v>
          </cell>
        </row>
      </sheetData>
      <sheetData sheetId="1518"/>
      <sheetData sheetId="1519">
        <row r="3">
          <cell r="D3" t="str">
            <v>Gujarat rehabilitation work of Mathak village for TWRI</v>
          </cell>
        </row>
      </sheetData>
      <sheetData sheetId="1520"/>
      <sheetData sheetId="1521"/>
      <sheetData sheetId="1522">
        <row r="3">
          <cell r="D3" t="str">
            <v>Gujarat rehabilitation work of Mathak village for TWRI</v>
          </cell>
        </row>
      </sheetData>
      <sheetData sheetId="1523"/>
      <sheetData sheetId="1524">
        <row r="3">
          <cell r="D3" t="str">
            <v>Gujarat rehabilitation work of Mathak village for TWRI</v>
          </cell>
        </row>
      </sheetData>
      <sheetData sheetId="1525">
        <row r="3">
          <cell r="D3" t="str">
            <v>Gujarat rehabilitation work of Mathak village for TWRI</v>
          </cell>
        </row>
      </sheetData>
      <sheetData sheetId="1526"/>
      <sheetData sheetId="1527">
        <row r="3">
          <cell r="D3" t="str">
            <v>Gujarat rehabilitation work of Mathak village for TWRI</v>
          </cell>
        </row>
      </sheetData>
      <sheetData sheetId="1528">
        <row r="3">
          <cell r="D3" t="str">
            <v>Gujarat rehabilitation work of Mathak village for TWRI</v>
          </cell>
        </row>
      </sheetData>
      <sheetData sheetId="1529">
        <row r="3">
          <cell r="D3" t="str">
            <v>Gujarat rehabilitation work of Mathak village for TWRI</v>
          </cell>
        </row>
      </sheetData>
      <sheetData sheetId="1530">
        <row r="3">
          <cell r="D3" t="str">
            <v>Gujarat rehabilitation work of Mathak village for TWRI</v>
          </cell>
        </row>
      </sheetData>
      <sheetData sheetId="1531">
        <row r="3">
          <cell r="D3" t="str">
            <v>Gujarat rehabilitation work of Mathak village for TWRI</v>
          </cell>
        </row>
      </sheetData>
      <sheetData sheetId="1532">
        <row r="3">
          <cell r="D3" t="str">
            <v>Gujarat rehabilitation work of Mathak village for TWRI</v>
          </cell>
        </row>
      </sheetData>
      <sheetData sheetId="1533"/>
      <sheetData sheetId="1534">
        <row r="3">
          <cell r="D3" t="str">
            <v>Gujarat rehabilitation work of Mathak village for TWRI</v>
          </cell>
        </row>
      </sheetData>
      <sheetData sheetId="1535"/>
      <sheetData sheetId="1536">
        <row r="3">
          <cell r="D3" t="str">
            <v>Gujarat rehabilitation work of Mathak village for TWRI</v>
          </cell>
        </row>
      </sheetData>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row r="3">
          <cell r="D3" t="str">
            <v>Gujarat rehabilitation work of Mathak village for TWRI</v>
          </cell>
        </row>
      </sheetData>
      <sheetData sheetId="1556">
        <row r="3">
          <cell r="D3" t="str">
            <v>Gujarat rehabilitation work of Mathak village for TWRI</v>
          </cell>
        </row>
      </sheetData>
      <sheetData sheetId="1557"/>
      <sheetData sheetId="1558"/>
      <sheetData sheetId="1559">
        <row r="3">
          <cell r="D3" t="str">
            <v>Gujarat rehabilitation work of Mathak village for TWRI</v>
          </cell>
        </row>
      </sheetData>
      <sheetData sheetId="1560">
        <row r="3">
          <cell r="D3" t="str">
            <v>Gujarat rehabilitation work of Mathak village for TWRI</v>
          </cell>
        </row>
      </sheetData>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row r="3">
          <cell r="D3" t="str">
            <v>Gujarat rehabilitation work of Mathak village for TWRI</v>
          </cell>
        </row>
      </sheetData>
      <sheetData sheetId="1727">
        <row r="3">
          <cell r="D3" t="str">
            <v>Gujarat rehabilitation work of Mathak village for TWRI</v>
          </cell>
        </row>
      </sheetData>
      <sheetData sheetId="1728">
        <row r="3">
          <cell r="D3" t="str">
            <v>Gujarat rehabilitation work of Mathak village for TWRI</v>
          </cell>
        </row>
      </sheetData>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row r="3">
          <cell r="D3" t="str">
            <v>Gujarat rehabilitation work of Mathak village for TWRI</v>
          </cell>
        </row>
      </sheetData>
      <sheetData sheetId="1848"/>
      <sheetData sheetId="1849">
        <row r="3">
          <cell r="D3" t="str">
            <v>Gujarat rehabilitation work of Mathak village for TWRI</v>
          </cell>
        </row>
      </sheetData>
      <sheetData sheetId="1850">
        <row r="3">
          <cell r="D3" t="str">
            <v>Gujarat rehabilitation work of Mathak village for TWRI</v>
          </cell>
        </row>
      </sheetData>
      <sheetData sheetId="1851"/>
      <sheetData sheetId="1852">
        <row r="3">
          <cell r="D3" t="str">
            <v>Gujarat rehabilitation work of Mathak village for TWRI</v>
          </cell>
        </row>
      </sheetData>
      <sheetData sheetId="1853"/>
      <sheetData sheetId="1854"/>
      <sheetData sheetId="1855"/>
      <sheetData sheetId="1856"/>
      <sheetData sheetId="1857">
        <row r="3">
          <cell r="D3" t="str">
            <v>Gujarat rehabilitation work of Mathak village for TWRI</v>
          </cell>
        </row>
      </sheetData>
      <sheetData sheetId="1858"/>
      <sheetData sheetId="1859">
        <row r="3">
          <cell r="D3" t="str">
            <v>Gujarat rehabilitation work of Mathak village for TWRI</v>
          </cell>
        </row>
      </sheetData>
      <sheetData sheetId="1860">
        <row r="3">
          <cell r="D3" t="str">
            <v>Gujarat rehabilitation work of Mathak village for TWRI</v>
          </cell>
        </row>
      </sheetData>
      <sheetData sheetId="1861"/>
      <sheetData sheetId="1862">
        <row r="3">
          <cell r="D3" t="str">
            <v>Gujarat rehabilitation work of Mathak village for TWRI</v>
          </cell>
        </row>
      </sheetData>
      <sheetData sheetId="1863"/>
      <sheetData sheetId="1864">
        <row r="3">
          <cell r="D3" t="str">
            <v>Gujarat rehabilitation work of Mathak village for TWRI</v>
          </cell>
        </row>
      </sheetData>
      <sheetData sheetId="1865"/>
      <sheetData sheetId="1866"/>
      <sheetData sheetId="1867">
        <row r="3">
          <cell r="D3" t="str">
            <v>Gujarat rehabilitation work of Mathak village for TWRI</v>
          </cell>
        </row>
      </sheetData>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row r="3">
          <cell r="D3" t="str">
            <v>Gujarat rehabilitation work of Mathak village for TWRI</v>
          </cell>
        </row>
      </sheetData>
      <sheetData sheetId="1888"/>
      <sheetData sheetId="1889">
        <row r="3">
          <cell r="D3" t="str">
            <v>Gujarat rehabilitation work of Mathak village for TWRI</v>
          </cell>
        </row>
      </sheetData>
      <sheetData sheetId="1890">
        <row r="3">
          <cell r="D3" t="str">
            <v>Gujarat rehabilitation work of Mathak village for TWRI</v>
          </cell>
        </row>
      </sheetData>
      <sheetData sheetId="1891"/>
      <sheetData sheetId="1892">
        <row r="3">
          <cell r="D3" t="str">
            <v>Gujarat rehabilitation work of Mathak village for TWRI</v>
          </cell>
        </row>
      </sheetData>
      <sheetData sheetId="1893"/>
      <sheetData sheetId="1894"/>
      <sheetData sheetId="1895"/>
      <sheetData sheetId="1896">
        <row r="3">
          <cell r="D3" t="str">
            <v>Gujarat rehabilitation work of Mathak village for TWRI</v>
          </cell>
        </row>
      </sheetData>
      <sheetData sheetId="1897">
        <row r="3">
          <cell r="D3" t="str">
            <v>Gujarat rehabilitation work of Mathak village for TWRI</v>
          </cell>
        </row>
      </sheetData>
      <sheetData sheetId="1898">
        <row r="3">
          <cell r="D3" t="str">
            <v>Gujarat rehabilitation work of Mathak village for TWRI</v>
          </cell>
        </row>
      </sheetData>
      <sheetData sheetId="1899">
        <row r="3">
          <cell r="D3" t="str">
            <v>Gujarat rehabilitation work of Mathak village for TWRI</v>
          </cell>
        </row>
      </sheetData>
      <sheetData sheetId="1900">
        <row r="3">
          <cell r="D3" t="str">
            <v>Gujarat rehabilitation work of Mathak village for TWRI</v>
          </cell>
        </row>
      </sheetData>
      <sheetData sheetId="1901">
        <row r="3">
          <cell r="D3" t="str">
            <v>Gujarat rehabilitation work of Mathak village for TWRI</v>
          </cell>
        </row>
      </sheetData>
      <sheetData sheetId="1902">
        <row r="3">
          <cell r="D3" t="str">
            <v>Gujarat rehabilitation work of Mathak village for TWRI</v>
          </cell>
        </row>
      </sheetData>
      <sheetData sheetId="1903"/>
      <sheetData sheetId="1904"/>
      <sheetData sheetId="1905"/>
      <sheetData sheetId="1906"/>
      <sheetData sheetId="1907">
        <row r="3">
          <cell r="D3" t="str">
            <v>Gujarat rehabilitation work of Mathak village for TWRI</v>
          </cell>
        </row>
      </sheetData>
      <sheetData sheetId="1908"/>
      <sheetData sheetId="1909">
        <row r="3">
          <cell r="D3" t="str">
            <v>Gujarat rehabilitation work of Mathak village for TWRI</v>
          </cell>
        </row>
      </sheetData>
      <sheetData sheetId="1910">
        <row r="3">
          <cell r="D3" t="str">
            <v>Gujarat rehabilitation work of Mathak village for TWRI</v>
          </cell>
        </row>
      </sheetData>
      <sheetData sheetId="1911"/>
      <sheetData sheetId="1912">
        <row r="3">
          <cell r="D3" t="str">
            <v>Gujarat rehabilitation work of Mathak village for TWRI</v>
          </cell>
        </row>
      </sheetData>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row r="3">
          <cell r="D3" t="str">
            <v>Gujarat rehabilitation work of Mathak village for TWRI</v>
          </cell>
        </row>
      </sheetData>
      <sheetData sheetId="1932"/>
      <sheetData sheetId="1933"/>
      <sheetData sheetId="1934">
        <row r="3">
          <cell r="D3" t="str">
            <v>Gujarat rehabilitation work of Mathak village for TWRI</v>
          </cell>
        </row>
      </sheetData>
      <sheetData sheetId="1935"/>
      <sheetData sheetId="1936"/>
      <sheetData sheetId="1937"/>
      <sheetData sheetId="1938"/>
      <sheetData sheetId="1939"/>
      <sheetData sheetId="1940"/>
      <sheetData sheetId="1941">
        <row r="3">
          <cell r="D3" t="str">
            <v>Gujarat rehabilitation work of Mathak village for TWRI</v>
          </cell>
        </row>
      </sheetData>
      <sheetData sheetId="1942"/>
      <sheetData sheetId="1943"/>
      <sheetData sheetId="1944">
        <row r="3">
          <cell r="D3" t="str">
            <v>Gujarat rehabilitation work of Mathak village for TWRI</v>
          </cell>
        </row>
      </sheetData>
      <sheetData sheetId="1945">
        <row r="3">
          <cell r="D3" t="str">
            <v>Gujarat rehabilitation work of Mathak village for TWRI</v>
          </cell>
        </row>
      </sheetData>
      <sheetData sheetId="1946"/>
      <sheetData sheetId="1947">
        <row r="3">
          <cell r="D3" t="str">
            <v>Gujarat rehabilitation work of Mathak village for TWRI</v>
          </cell>
        </row>
      </sheetData>
      <sheetData sheetId="1948">
        <row r="3">
          <cell r="D3" t="str">
            <v>Gujarat rehabilitation work of Mathak village for TWRI</v>
          </cell>
        </row>
      </sheetData>
      <sheetData sheetId="1949">
        <row r="3">
          <cell r="D3" t="str">
            <v>Gujarat rehabilitation work of Mathak village for TWRI</v>
          </cell>
        </row>
      </sheetData>
      <sheetData sheetId="1950">
        <row r="3">
          <cell r="D3" t="str">
            <v>Gujarat rehabilitation work of Mathak village for TWRI</v>
          </cell>
        </row>
      </sheetData>
      <sheetData sheetId="1951"/>
      <sheetData sheetId="1952">
        <row r="3">
          <cell r="D3" t="str">
            <v>Gujarat rehabilitation work of Mathak village for TWRI</v>
          </cell>
        </row>
      </sheetData>
      <sheetData sheetId="1953"/>
      <sheetData sheetId="1954"/>
      <sheetData sheetId="1955">
        <row r="3">
          <cell r="D3" t="str">
            <v>Gujarat rehabilitation work of Mathak village for TWRI</v>
          </cell>
        </row>
      </sheetData>
      <sheetData sheetId="1956"/>
      <sheetData sheetId="1957"/>
      <sheetData sheetId="1958">
        <row r="3">
          <cell r="D3" t="str">
            <v>Gujarat rehabilitation work of Mathak village for TWRI</v>
          </cell>
        </row>
      </sheetData>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row r="3">
          <cell r="D3" t="str">
            <v>Gujarat rehabilitation work of Mathak village for TWRI</v>
          </cell>
        </row>
      </sheetData>
      <sheetData sheetId="1972"/>
      <sheetData sheetId="1973"/>
      <sheetData sheetId="1974">
        <row r="3">
          <cell r="D3" t="str">
            <v>Gujarat rehabilitation work of Mathak village for TWRI</v>
          </cell>
        </row>
      </sheetData>
      <sheetData sheetId="1975"/>
      <sheetData sheetId="1976">
        <row r="3">
          <cell r="D3" t="str">
            <v>Gujarat rehabilitation work of Mathak village for TWRI</v>
          </cell>
        </row>
      </sheetData>
      <sheetData sheetId="1977"/>
      <sheetData sheetId="1978"/>
      <sheetData sheetId="1979">
        <row r="3">
          <cell r="D3" t="str">
            <v>Gujarat rehabilitation work of Mathak village for TWRI</v>
          </cell>
        </row>
      </sheetData>
      <sheetData sheetId="1980">
        <row r="3">
          <cell r="D3" t="str">
            <v>Gujarat rehabilitation work of Mathak village for TWRI</v>
          </cell>
        </row>
      </sheetData>
      <sheetData sheetId="1981"/>
      <sheetData sheetId="1982">
        <row r="3">
          <cell r="D3" t="str">
            <v>Gujarat rehabilitation work of Mathak village for TWRI</v>
          </cell>
        </row>
      </sheetData>
      <sheetData sheetId="1983">
        <row r="3">
          <cell r="D3" t="str">
            <v>Gujarat rehabilitation work of Mathak village for TWRI</v>
          </cell>
        </row>
      </sheetData>
      <sheetData sheetId="1984">
        <row r="3">
          <cell r="D3" t="str">
            <v>Gujarat rehabilitation work of Mathak village for TWRI</v>
          </cell>
        </row>
      </sheetData>
      <sheetData sheetId="1985"/>
      <sheetData sheetId="1986">
        <row r="3">
          <cell r="D3" t="str">
            <v>Gujarat rehabilitation work of Mathak village for TWRI</v>
          </cell>
        </row>
      </sheetData>
      <sheetData sheetId="1987">
        <row r="3">
          <cell r="D3" t="str">
            <v>Gujarat rehabilitation work of Mathak village for TWRI</v>
          </cell>
        </row>
      </sheetData>
      <sheetData sheetId="1988"/>
      <sheetData sheetId="1989">
        <row r="3">
          <cell r="D3" t="str">
            <v>Gujarat rehabilitation work of Mathak village for TWRI</v>
          </cell>
        </row>
      </sheetData>
      <sheetData sheetId="1990">
        <row r="3">
          <cell r="D3" t="str">
            <v>Gujarat rehabilitation work of Mathak village for TWRI</v>
          </cell>
        </row>
      </sheetData>
      <sheetData sheetId="1991"/>
      <sheetData sheetId="1992"/>
      <sheetData sheetId="1993">
        <row r="3">
          <cell r="D3" t="str">
            <v>Gujarat rehabilitation work of Mathak village for TWRI</v>
          </cell>
        </row>
      </sheetData>
      <sheetData sheetId="1994">
        <row r="3">
          <cell r="D3" t="str">
            <v>Gujarat rehabilitation work of Mathak village for TWRI</v>
          </cell>
        </row>
      </sheetData>
      <sheetData sheetId="1995"/>
      <sheetData sheetId="1996">
        <row r="3">
          <cell r="D3" t="str">
            <v>Gujarat rehabilitation work of Mathak village for TWRI</v>
          </cell>
        </row>
      </sheetData>
      <sheetData sheetId="1997">
        <row r="3">
          <cell r="D3" t="str">
            <v>Gujarat rehabilitation work of Mathak village for TWRI</v>
          </cell>
        </row>
      </sheetData>
      <sheetData sheetId="1998"/>
      <sheetData sheetId="1999"/>
      <sheetData sheetId="2000"/>
      <sheetData sheetId="2001"/>
      <sheetData sheetId="2002"/>
      <sheetData sheetId="2003"/>
      <sheetData sheetId="2004">
        <row r="3">
          <cell r="D3" t="str">
            <v>Gujarat rehabilitation work of Mathak village for TWRI</v>
          </cell>
        </row>
      </sheetData>
      <sheetData sheetId="2005"/>
      <sheetData sheetId="2006"/>
      <sheetData sheetId="2007">
        <row r="3">
          <cell r="D3" t="str">
            <v>Gujarat rehabilitation work of Mathak village for TWRI</v>
          </cell>
        </row>
      </sheetData>
      <sheetData sheetId="2008"/>
      <sheetData sheetId="2009"/>
      <sheetData sheetId="2010"/>
      <sheetData sheetId="2011"/>
      <sheetData sheetId="2012"/>
      <sheetData sheetId="2013"/>
      <sheetData sheetId="2014"/>
      <sheetData sheetId="2015"/>
      <sheetData sheetId="2016">
        <row r="3">
          <cell r="D3" t="str">
            <v>Gujarat rehabilitation work of Mathak village for TWRI</v>
          </cell>
        </row>
      </sheetData>
      <sheetData sheetId="2017"/>
      <sheetData sheetId="2018"/>
      <sheetData sheetId="2019">
        <row r="3">
          <cell r="D3" t="str">
            <v>Gujarat rehabilitation work of Mathak village for TWRI</v>
          </cell>
        </row>
      </sheetData>
      <sheetData sheetId="2020"/>
      <sheetData sheetId="2021"/>
      <sheetData sheetId="2022"/>
      <sheetData sheetId="2023"/>
      <sheetData sheetId="2024"/>
      <sheetData sheetId="2025">
        <row r="3">
          <cell r="D3" t="str">
            <v>Gujarat rehabilitation work of Mathak village for TWRI</v>
          </cell>
        </row>
      </sheetData>
      <sheetData sheetId="2026">
        <row r="3">
          <cell r="D3" t="str">
            <v>Gujarat rehabilitation work of Mathak village for TWRI</v>
          </cell>
        </row>
      </sheetData>
      <sheetData sheetId="2027"/>
      <sheetData sheetId="2028">
        <row r="3">
          <cell r="D3" t="str">
            <v>Gujarat rehabilitation work of Mathak village for TWRI</v>
          </cell>
        </row>
      </sheetData>
      <sheetData sheetId="2029">
        <row r="3">
          <cell r="D3" t="str">
            <v>Gujarat rehabilitation work of Mathak village for TWRI</v>
          </cell>
        </row>
      </sheetData>
      <sheetData sheetId="2030">
        <row r="3">
          <cell r="D3" t="str">
            <v>Gujarat rehabilitation work of Mathak village for TWRI</v>
          </cell>
        </row>
      </sheetData>
      <sheetData sheetId="2031"/>
      <sheetData sheetId="2032"/>
      <sheetData sheetId="2033">
        <row r="3">
          <cell r="D3" t="str">
            <v>Gujarat rehabilitation work of Mathak village for TWRI</v>
          </cell>
        </row>
      </sheetData>
      <sheetData sheetId="2034"/>
      <sheetData sheetId="2035"/>
      <sheetData sheetId="2036">
        <row r="3">
          <cell r="D3" t="str">
            <v>Gujarat rehabilitation work of Mathak village for TWRI</v>
          </cell>
        </row>
      </sheetData>
      <sheetData sheetId="2037"/>
      <sheetData sheetId="2038"/>
      <sheetData sheetId="2039">
        <row r="3">
          <cell r="D3" t="str">
            <v>Gujarat rehabilitation work of Mathak village for TWRI</v>
          </cell>
        </row>
      </sheetData>
      <sheetData sheetId="2040"/>
      <sheetData sheetId="2041"/>
      <sheetData sheetId="2042"/>
      <sheetData sheetId="2043"/>
      <sheetData sheetId="2044">
        <row r="3">
          <cell r="D3" t="str">
            <v>Gujarat rehabilitation work of Mathak village for TWRI</v>
          </cell>
        </row>
      </sheetData>
      <sheetData sheetId="2045"/>
      <sheetData sheetId="2046"/>
      <sheetData sheetId="2047">
        <row r="3">
          <cell r="D3" t="str">
            <v>Gujarat rehabilitation work of Mathak village for TWRI</v>
          </cell>
        </row>
      </sheetData>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row r="3">
          <cell r="D3" t="str">
            <v>Gujarat rehabilitation work of Mathak village for TWRI</v>
          </cell>
        </row>
      </sheetData>
      <sheetData sheetId="2064"/>
      <sheetData sheetId="2065"/>
      <sheetData sheetId="2066">
        <row r="3">
          <cell r="D3" t="str">
            <v>Gujarat rehabilitation work of Mathak village for TWRI</v>
          </cell>
        </row>
      </sheetData>
      <sheetData sheetId="2067"/>
      <sheetData sheetId="2068"/>
      <sheetData sheetId="2069"/>
      <sheetData sheetId="2070"/>
      <sheetData sheetId="2071"/>
      <sheetData sheetId="2072"/>
      <sheetData sheetId="2073">
        <row r="3">
          <cell r="D3" t="str">
            <v>Gujarat rehabilitation work of Mathak village for TWRI</v>
          </cell>
        </row>
      </sheetData>
      <sheetData sheetId="2074"/>
      <sheetData sheetId="2075"/>
      <sheetData sheetId="2076">
        <row r="3">
          <cell r="D3" t="str">
            <v>Gujarat rehabilitation work of Mathak village for TWRI</v>
          </cell>
        </row>
      </sheetData>
      <sheetData sheetId="2077"/>
      <sheetData sheetId="2078"/>
      <sheetData sheetId="2079">
        <row r="3">
          <cell r="D3" t="str">
            <v>Gujarat rehabilitation work of Mathak village for TWRI</v>
          </cell>
        </row>
      </sheetData>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row r="3">
          <cell r="D3" t="str">
            <v>Gujarat rehabilitation work of Mathak village for TWRI</v>
          </cell>
        </row>
      </sheetData>
      <sheetData sheetId="2104"/>
      <sheetData sheetId="2105"/>
      <sheetData sheetId="2106">
        <row r="3">
          <cell r="D3" t="str">
            <v>Gujarat rehabilitation work of Mathak village for TWRI</v>
          </cell>
        </row>
      </sheetData>
      <sheetData sheetId="2107"/>
      <sheetData sheetId="2108"/>
      <sheetData sheetId="2109"/>
      <sheetData sheetId="2110"/>
      <sheetData sheetId="2111">
        <row r="3">
          <cell r="D3" t="str">
            <v>Gujarat rehabilitation work of Mathak village for TWRI</v>
          </cell>
        </row>
      </sheetData>
      <sheetData sheetId="2112">
        <row r="3">
          <cell r="D3" t="str">
            <v>Gujarat rehabilitation work of Mathak village for TWRI</v>
          </cell>
        </row>
      </sheetData>
      <sheetData sheetId="2113"/>
      <sheetData sheetId="2114">
        <row r="3">
          <cell r="D3" t="str">
            <v>Gujarat rehabilitation work of Mathak village for TWRI</v>
          </cell>
        </row>
      </sheetData>
      <sheetData sheetId="2115">
        <row r="3">
          <cell r="D3" t="str">
            <v>Gujarat rehabilitation work of Mathak village for TWRI</v>
          </cell>
        </row>
      </sheetData>
      <sheetData sheetId="2116"/>
      <sheetData sheetId="2117"/>
      <sheetData sheetId="2118"/>
      <sheetData sheetId="2119"/>
      <sheetData sheetId="2120"/>
      <sheetData sheetId="2121"/>
      <sheetData sheetId="2122">
        <row r="3">
          <cell r="D3" t="str">
            <v>Gujarat rehabilitation work of Mathak village for TWRI</v>
          </cell>
        </row>
      </sheetData>
      <sheetData sheetId="2123"/>
      <sheetData sheetId="2124"/>
      <sheetData sheetId="2125">
        <row r="3">
          <cell r="D3" t="str">
            <v>Gujarat rehabilitation work of Mathak village for TWRI</v>
          </cell>
        </row>
      </sheetData>
      <sheetData sheetId="2126"/>
      <sheetData sheetId="2127"/>
      <sheetData sheetId="2128"/>
      <sheetData sheetId="2129"/>
      <sheetData sheetId="2130"/>
      <sheetData sheetId="2131"/>
      <sheetData sheetId="2132"/>
      <sheetData sheetId="2133"/>
      <sheetData sheetId="2134"/>
      <sheetData sheetId="2135">
        <row r="3">
          <cell r="D3" t="str">
            <v>Gujarat rehabilitation work of Mathak village for TWRI</v>
          </cell>
        </row>
      </sheetData>
      <sheetData sheetId="2136">
        <row r="3">
          <cell r="D3" t="str">
            <v>Gujarat rehabilitation work of Mathak village for TWRI</v>
          </cell>
        </row>
      </sheetData>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row r="3">
          <cell r="D3" t="str">
            <v>Gujarat rehabilitation work of Mathak village for TWRI</v>
          </cell>
        </row>
      </sheetData>
      <sheetData sheetId="2159"/>
      <sheetData sheetId="2160"/>
      <sheetData sheetId="2161">
        <row r="3">
          <cell r="D3" t="str">
            <v>Gujarat rehabilitation work of Mathak village for TWRI</v>
          </cell>
        </row>
      </sheetData>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Q"/>
      <sheetName val="MB-P1"/>
      <sheetName val="BBS-SLAB"/>
      <sheetName val="Sheet2"/>
    </sheetNames>
    <sheetDataSet>
      <sheetData sheetId="0"/>
      <sheetData sheetId="1"/>
      <sheetData sheetId="2">
        <row r="48">
          <cell r="S48">
            <v>0.23799999999999999</v>
          </cell>
        </row>
        <row r="95">
          <cell r="S95">
            <v>0.28499999999999998</v>
          </cell>
        </row>
        <row r="146">
          <cell r="S146">
            <v>0.33500000000000002</v>
          </cell>
        </row>
        <row r="202">
          <cell r="S202">
            <v>0.38800000000000001</v>
          </cell>
        </row>
        <row r="212">
          <cell r="S212">
            <v>3.5000000000000003E-2</v>
          </cell>
        </row>
        <row r="221">
          <cell r="S221">
            <v>7.2999999999999995E-2</v>
          </cell>
        </row>
      </sheetData>
      <sheetData sheetId="3"/>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taing wall"/>
      <sheetName val="1.01 (a)"/>
      <sheetName val="1.03(a)"/>
      <sheetName val="1.07"/>
      <sheetName val="1.11(a)"/>
      <sheetName val="2.01 (a)"/>
      <sheetName val="2.01 (b)"/>
      <sheetName val="2.01 (c)"/>
      <sheetName val="2.02"/>
      <sheetName val="2.03"/>
      <sheetName val="2.04"/>
      <sheetName val="3.01(a)"/>
      <sheetName val="3.01(b)(i)"/>
      <sheetName val="3.01(b)(ii)"/>
      <sheetName val="3.03"/>
      <sheetName val="3.04(a)"/>
      <sheetName val="3.04 (b)"/>
      <sheetName val="3.04 (c)"/>
      <sheetName val="3.04 (d)"/>
      <sheetName val="3.04 (e)"/>
      <sheetName val="3.04 (f)"/>
      <sheetName val="3.04(g)"/>
      <sheetName val="3.04 (h)"/>
      <sheetName val="3.05 (a)"/>
      <sheetName val="3.08 (a)"/>
      <sheetName val="3.12"/>
      <sheetName val="4.01(a)"/>
      <sheetName val="4.02"/>
      <sheetName val="4.03"/>
      <sheetName val="4.04"/>
      <sheetName val="4.05"/>
      <sheetName val="4.06"/>
      <sheetName val="5.01(a)"/>
      <sheetName val="5.02"/>
      <sheetName val="5.04"/>
      <sheetName val="5.24"/>
      <sheetName val="6.01(a)"/>
      <sheetName val="6.03(a)"/>
      <sheetName val="7.01 (a)"/>
      <sheetName val="7.02 (a)"/>
      <sheetName val="7.02 (b)"/>
      <sheetName val="7.02 (c)"/>
      <sheetName val="7.03 (a)"/>
      <sheetName val="7.03 (b)"/>
      <sheetName val="7.04(a)"/>
      <sheetName val="7.04(b)"/>
      <sheetName val="7.05 (a)"/>
      <sheetName val="7.05 (b)"/>
      <sheetName val="7.06"/>
      <sheetName val="7.11 (a)"/>
      <sheetName val="7.12 (a)"/>
      <sheetName val="7.16(a)"/>
      <sheetName val="7.18 (b)"/>
      <sheetName val="7.25"/>
      <sheetName val="8.03"/>
      <sheetName val="8.10"/>
      <sheetName val="9.01(a)"/>
      <sheetName val="9.02(a)"/>
      <sheetName val="9.03(a)"/>
      <sheetName val="9.04"/>
      <sheetName val="9.05 (a)"/>
      <sheetName val="9.06(a)"/>
      <sheetName val="9.09"/>
      <sheetName val="9.10"/>
      <sheetName val="9.11"/>
      <sheetName val="9.12"/>
      <sheetName val="9.13"/>
      <sheetName val="9.19"/>
      <sheetName val="10.02"/>
      <sheetName val="10.03"/>
      <sheetName val="11.03(a)"/>
      <sheetName val="11.07(a)"/>
      <sheetName val="11.07(b)"/>
      <sheetName val="14.11"/>
      <sheetName val="Project Details.."/>
      <sheetName val="Beams-Basement Roof T-22"/>
      <sheetName val="Phase-1stirrups"/>
      <sheetName val="VCH-SLC"/>
      <sheetName val="Supplier"/>
      <sheetName val="labour rates"/>
      <sheetName val="BBS-SLA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DATA (2)"/>
      <sheetName val="FORMULA"/>
      <sheetName val="Justification &amp; Progress"/>
      <sheetName val="material reconciliation"/>
      <sheetName val="Monthly Cost Report A"/>
      <sheetName val="Schedule Annexure-A-"/>
    </sheetNames>
    <sheetDataSet>
      <sheetData sheetId="0">
        <row r="3">
          <cell r="B3" t="str">
            <v>Store helper</v>
          </cell>
        </row>
        <row r="4">
          <cell r="B4" t="str">
            <v>Laboratory &amp; supervisor</v>
          </cell>
        </row>
        <row r="5">
          <cell r="B5" t="str">
            <v>Cook &amp; helper</v>
          </cell>
        </row>
        <row r="6">
          <cell r="B6" t="str">
            <v>Tractor driver</v>
          </cell>
        </row>
        <row r="7">
          <cell r="B7" t="str">
            <v>Sweeper</v>
          </cell>
        </row>
        <row r="8">
          <cell r="B8" t="str">
            <v>Temporary electrical work</v>
          </cell>
        </row>
        <row r="9">
          <cell r="B9" t="str">
            <v>Lift operator and boket opener &amp; erection for tile plaster etc.</v>
          </cell>
        </row>
        <row r="10">
          <cell r="B10" t="str">
            <v>Miscellaneous work</v>
          </cell>
        </row>
        <row r="11">
          <cell r="B11" t="str">
            <v>Surface dressing</v>
          </cell>
        </row>
        <row r="12">
          <cell r="B12" t="str">
            <v>Excavation</v>
          </cell>
        </row>
        <row r="13">
          <cell r="B13" t="str">
            <v>Back filling</v>
          </cell>
        </row>
        <row r="14">
          <cell r="B14" t="str">
            <v>RCC casting ( non tower foundation slab, columns, wall &amp; pack) i/c curing, cleaning, scaffolding, cover block making &amp; fixing, rendering &amp; repairing &amp; layout 50% at rack work</v>
          </cell>
        </row>
        <row r="15">
          <cell r="B15" t="str">
            <v>RCC  casting ( non tower foundation slab, columns, wall &amp; pack) i/c curing, cleaning, scaffolding, cover block making &amp; fixing, rendering &amp; repairing &amp; layout 50% at rack work-Manual Hand Mixing</v>
          </cell>
        </row>
        <row r="16">
          <cell r="B16" t="str">
            <v>Expenses for steel work (layout 25%, scaffolding, steel ring kundi making, steel cutting &amp; welding, house keeping, temporary electrical work &amp; steel shifting)</v>
          </cell>
        </row>
        <row r="17">
          <cell r="B17" t="str">
            <v>Shuttering</v>
          </cell>
        </row>
        <row r="18">
          <cell r="B18" t="str">
            <v>Expenses for shuttering work (scaffolding, layout 25% level &amp; shuttering material shift, oil &amp; putty)</v>
          </cell>
        </row>
        <row r="19">
          <cell r="B19" t="str">
            <v>Steel cutting for non tower area &amp; boundary wall gate</v>
          </cell>
        </row>
        <row r="20">
          <cell r="B20" t="str">
            <v>115mm thick b/w</v>
          </cell>
        </row>
        <row r="21">
          <cell r="B21" t="str">
            <v>230mm thick b/w</v>
          </cell>
        </row>
        <row r="22">
          <cell r="B22" t="str">
            <v>Shaft brick work (115mm i/c steel binding beam casting and shuttering)</v>
          </cell>
        </row>
        <row r="23">
          <cell r="B23" t="str">
            <v>Sand filling on trimix at non tower</v>
          </cell>
        </row>
        <row r="24">
          <cell r="B24" t="str">
            <v>Plaster</v>
          </cell>
        </row>
        <row r="25">
          <cell r="B25" t="str">
            <v>Scaffolding (shaft &amp; elevation feature, cantilever and hoist)</v>
          </cell>
        </row>
        <row r="26">
          <cell r="B26" t="str">
            <v>Waterproofing - sunken area+toilet</v>
          </cell>
        </row>
        <row r="27">
          <cell r="B27" t="str">
            <v>Cupboard, kitchen platform &amp; fire shaft IPS flooring</v>
          </cell>
        </row>
        <row r="28">
          <cell r="B28" t="str">
            <v>Railing fixing</v>
          </cell>
        </row>
        <row r="29">
          <cell r="B29" t="str">
            <v>Kitchen counter slab casting</v>
          </cell>
        </row>
        <row r="30">
          <cell r="B30" t="str">
            <v>Malwa shifting (brick work, plaster, rack etc) for non tower area</v>
          </cell>
        </row>
        <row r="31">
          <cell r="B31" t="str">
            <v>Railing top sill</v>
          </cell>
        </row>
        <row r="32">
          <cell r="B32" t="str">
            <v>Railing pipe fixing in fire staircase</v>
          </cell>
        </row>
        <row r="33">
          <cell r="B33" t="str">
            <v>SWR pipe hunching</v>
          </cell>
        </row>
        <row r="34">
          <cell r="B34" t="str">
            <v>Sewer line mainhole B/w</v>
          </cell>
        </row>
        <row r="35">
          <cell r="B35" t="str">
            <v>Sewer line pipe fixing 400mm</v>
          </cell>
        </row>
        <row r="36">
          <cell r="B36" t="str">
            <v>Lintel casting</v>
          </cell>
        </row>
        <row r="37">
          <cell r="B37" t="str">
            <v>Waterproofing plaster</v>
          </cell>
        </row>
        <row r="38">
          <cell r="B38" t="str">
            <v>Brick work stair stapes</v>
          </cell>
        </row>
        <row r="39">
          <cell r="B39" t="str">
            <v>SWR pipe fixing</v>
          </cell>
        </row>
        <row r="40">
          <cell r="B40" t="str">
            <v>Expenses for plaster, tile curing, cleaning, rangat g.f.-2br</v>
          </cell>
        </row>
        <row r="41">
          <cell r="B41" t="str">
            <v>Sample flat (horticultural)</v>
          </cell>
        </row>
        <row r="42">
          <cell r="B42" t="str">
            <v>Debit to (PRW &amp; Vendor)</v>
          </cell>
        </row>
        <row r="43">
          <cell r="B43" t="str">
            <v>Electrical jhiri filling, malwa cleaning &amp; wall repairing (electrical work)</v>
          </cell>
        </row>
        <row r="44">
          <cell r="B44" t="str">
            <v>Sand screaming &amp; Malwa screaming for plaster, pack</v>
          </cell>
        </row>
        <row r="45">
          <cell r="B45" t="str">
            <v>Sample flat (repairing, cleaning, tile fixing, railing fixing, chipping, imps, pack, painting &amp; wooden work etc.)</v>
          </cell>
        </row>
        <row r="46">
          <cell r="B46" t="str">
            <v>Steel shifting, scrap shorting, stocking &amp; straight (non tower)</v>
          </cell>
        </row>
        <row r="47">
          <cell r="B47" t="str">
            <v>Plate &amp; shuttering material &amp; wooden scrap shorting and shifting (tower to non tower)</v>
          </cell>
        </row>
        <row r="48">
          <cell r="B48" t="str">
            <v>Chipping &amp; kuch cutting for tile &amp; plaster work etc.</v>
          </cell>
        </row>
        <row r="49">
          <cell r="B49" t="str">
            <v>Cement and material shifting from site to site</v>
          </cell>
        </row>
        <row r="50">
          <cell r="B50" t="str">
            <v>Coarse sand shifting for tile work</v>
          </cell>
        </row>
        <row r="51">
          <cell r="B51" t="str">
            <v>Store material loading unloading</v>
          </cell>
        </row>
        <row r="52">
          <cell r="B52" t="str">
            <v>Railing primer</v>
          </cell>
        </row>
      </sheetData>
      <sheetData sheetId="1"/>
      <sheetData sheetId="2"/>
      <sheetData sheetId="3"/>
      <sheetData sheetId="4"/>
      <sheetData sheetId="5"/>
      <sheetData sheetId="6"/>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Fly"/>
      <sheetName val="Doc details"/>
      <sheetName val="Contents"/>
      <sheetName val="Fly (2)"/>
      <sheetName val="Summary"/>
      <sheetName val="Fly (3)"/>
      <sheetName val="Methodology"/>
      <sheetName val="Fly (4)"/>
      <sheetName val="Exclusions"/>
      <sheetName val="Fly (5)"/>
      <sheetName val="0 Capital Cost"/>
      <sheetName val="1 Asset Renewal"/>
      <sheetName val="Asset Expenditure"/>
      <sheetName val="2 Maintenance"/>
      <sheetName val="3 EnergyUtilities"/>
      <sheetName val="4 OperationAdmin"/>
      <sheetName val="5 Overheads"/>
      <sheetName val="6 Modernisation"/>
      <sheetName val="7 Residual"/>
      <sheetName val="8 Disposal"/>
      <sheetName val="Fly (6)"/>
      <sheetName val="Expenditure"/>
      <sheetName val="Profile"/>
      <sheetName val="Pie-Chart"/>
      <sheetName val="Profile-Chart"/>
      <sheetName val="Fly (7)"/>
      <sheetName val="Benchmarking"/>
      <sheetName val="Calculator"/>
      <sheetName val="Data"/>
      <sheetName val="Fin Sum"/>
      <sheetName val="TBAL9697 -group wise  sdpl"/>
      <sheetName val="Supplier"/>
      <sheetName val="VCH-SLC"/>
      <sheetName val="RA-markate"/>
      <sheetName val="est"/>
      <sheetName val="DOOR-WIND"/>
      <sheetName val="E15"/>
      <sheetName val="Option"/>
      <sheetName val="Doc_details"/>
      <sheetName val="Fly_(2)"/>
      <sheetName val="Fly_(3)"/>
      <sheetName val="Fly_(4)"/>
      <sheetName val="Fly_(5)"/>
      <sheetName val="0_Capital_Cost"/>
      <sheetName val="1_Asset_Renewal"/>
      <sheetName val="Asset_Expenditure"/>
      <sheetName val="2_Maintenance"/>
      <sheetName val="3_EnergyUtilities"/>
      <sheetName val="4_OperationAdmin"/>
      <sheetName val="5_Overheads"/>
      <sheetName val="6_Modernisation"/>
      <sheetName val="7_Residual"/>
      <sheetName val="8_Disposal"/>
      <sheetName val="Fly_(6)"/>
      <sheetName val="Fly_(7)"/>
      <sheetName val="Doc_details1"/>
      <sheetName val="Fly_(2)1"/>
      <sheetName val="Fly_(3)1"/>
      <sheetName val="Fly_(4)1"/>
      <sheetName val="Fly_(5)1"/>
      <sheetName val="0_Capital_Cost1"/>
      <sheetName val="1_Asset_Renewal1"/>
      <sheetName val="Asset_Expenditure1"/>
      <sheetName val="2_Maintenance1"/>
      <sheetName val="3_EnergyUtilities1"/>
      <sheetName val="4_OperationAdmin1"/>
      <sheetName val="5_Overheads1"/>
      <sheetName val="6_Modernisation1"/>
      <sheetName val="7_Residual1"/>
      <sheetName val="8_Disposal1"/>
      <sheetName val="Fly_(6)1"/>
      <sheetName val="Fly_(7)1"/>
      <sheetName val="目录"/>
      <sheetName val="Name List"/>
      <sheetName val="Navigation Page"/>
      <sheetName val="C&amp;IEVA"/>
      <sheetName val=" GULF"/>
      <sheetName val="gen"/>
      <sheetName val="Civil Works"/>
      <sheetName val="Sheet1"/>
      <sheetName val="Consolidated"/>
      <sheetName val="Register"/>
      <sheetName val="Labour"/>
      <sheetName val="Sheet3"/>
      <sheetName val="환율"/>
      <sheetName val="1"/>
      <sheetName val="Design"/>
      <sheetName val="Doc_details2"/>
      <sheetName val="Fly_(2)2"/>
      <sheetName val="Fly_(3)2"/>
      <sheetName val="Fly_(4)2"/>
      <sheetName val="Fly_(5)2"/>
      <sheetName val="0_Capital_Cost2"/>
      <sheetName val="1_Asset_Renewal2"/>
      <sheetName val="Asset_Expenditure2"/>
      <sheetName val="2_Maintenance2"/>
      <sheetName val="3_EnergyUtilities2"/>
      <sheetName val="4_OperationAdmin2"/>
      <sheetName val="5_Overheads2"/>
      <sheetName val="6_Modernisation2"/>
      <sheetName val="7_Residual2"/>
      <sheetName val="8_Disposal2"/>
      <sheetName val="Fly_(6)2"/>
      <sheetName val="Fly_(7)2"/>
      <sheetName val="Civil_Works"/>
      <sheetName val="Fin_Sum"/>
      <sheetName val="TBAL9697_-group_wise__sdpl"/>
      <sheetName val="coa_ramco_168"/>
      <sheetName val="class_&amp;_category"/>
      <sheetName val="Name_List"/>
      <sheetName val="Navigation_Page"/>
      <sheetName val="_GULF"/>
      <sheetName val="Cash_Flow_Input_Data_ISC"/>
      <sheetName val="Interface_SC"/>
      <sheetName val="Calc_ISC"/>
      <sheetName val="Calc_SC"/>
      <sheetName val="Interface_ISC"/>
      <sheetName val="GD"/>
      <sheetName val="Detail_P&amp;L"/>
      <sheetName val="Assumption_Sheet"/>
      <sheetName val="class &amp; category"/>
      <sheetName val="Cash Flow Input Data_ISC"/>
      <sheetName val="Detail P&amp;L"/>
      <sheetName val="Assumption Sheet"/>
      <sheetName val="Summary_Bank"/>
      <sheetName val="Civil Boq"/>
      <sheetName val="Construc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NMR"/>
      <sheetName val="Labor abs-PW"/>
      <sheetName val="Labor abs-NMR"/>
      <sheetName val="Labor bill - Plastering"/>
      <sheetName val="Labor bill - Mob"/>
      <sheetName val="Labor bill - EW"/>
      <sheetName val="Labor bill - Concrete"/>
      <sheetName val="Labor bill - Shuttering"/>
      <sheetName val="Labor bills - reinf"/>
      <sheetName val="Labor bills - Block masonry"/>
      <sheetName val="Labor bill Hard Finish"/>
      <sheetName val="Labor bill Water proofing"/>
      <sheetName val="Labor bill MS items"/>
      <sheetName val="Labor Painting"/>
      <sheetName val="Staff Acco."/>
      <sheetName val="Boq"/>
      <sheetName val="Build-up"/>
      <sheetName val="GUT"/>
      <sheetName val="RA-markate"/>
      <sheetName val="sept-plan"/>
      <sheetName val="key dates"/>
      <sheetName val="Actual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RA_MKT_QUOTE"/>
      <sheetName val="RA_EIL"/>
      <sheetName val="Labor bills 22.11.06"/>
      <sheetName val="Control"/>
      <sheetName val="BASIS -DEC 08"/>
      <sheetName val="FitOutConfCentre"/>
      <sheetName val="Rate analysis"/>
      <sheetName val="final abstract"/>
      <sheetName val="Cover"/>
      <sheetName val="Concrete"/>
      <sheetName val="Fin Sum"/>
      <sheetName val="Data"/>
      <sheetName val="Sheet1"/>
      <sheetName val="Labor_abs-PW"/>
      <sheetName val="Labor_abs-NMR"/>
      <sheetName val="Labor_bill_-_Plastering"/>
      <sheetName val="Labor_bill_-_Mob"/>
      <sheetName val="Labor_bill_-_EW"/>
      <sheetName val="Labor_bill_-_Concrete"/>
      <sheetName val="Labor_bill_-_Shuttering"/>
      <sheetName val="Labor_bills_-_reinf"/>
      <sheetName val="Labor_bills_-_Block_masonry"/>
      <sheetName val="Labor_bill_Hard_Finish"/>
      <sheetName val="Labor_bill_Water_proofing"/>
      <sheetName val="Labor_bill_MS_items"/>
      <sheetName val="Labor_Painting"/>
      <sheetName val="Staff_Acco_"/>
      <sheetName val="key_dates"/>
      <sheetName val="11B_"/>
      <sheetName val="Summ"/>
      <sheetName val="RawMatCost"/>
      <sheetName val="RECAPITULATION"/>
      <sheetName val="factors"/>
      <sheetName val="A-General"/>
      <sheetName val="COLUMN"/>
      <sheetName val="AutoOpen Stub Data"/>
      <sheetName val="Design"/>
      <sheetName val="Guidelines"/>
      <sheetName val="PROJECT BRIEF"/>
      <sheetName val="BQ-Ext  "/>
      <sheetName val="7IFS-5A"/>
      <sheetName val="E_Summary"/>
      <sheetName val="D_Cntnts"/>
      <sheetName val="BQ"/>
      <sheetName val="PROJECT BRIEF(EX.NEW)"/>
      <sheetName val="HV SWITCHGEAR"/>
      <sheetName val="CABLE DATA"/>
      <sheetName val="Detailed Summary (5)"/>
      <sheetName val="ridgewood"/>
      <sheetName val="Footings"/>
      <sheetName val="Labor_abs-PW1"/>
      <sheetName val="Labor_abs-NMR1"/>
      <sheetName val="Labor_bill_-_Plastering1"/>
      <sheetName val="Labor_bill_-_Mob1"/>
      <sheetName val="Labor_bill_-_EW1"/>
      <sheetName val="Labor_bill_-_Concrete1"/>
      <sheetName val="Labor_bill_-_Shuttering1"/>
      <sheetName val="Labor_bills_-_reinf1"/>
      <sheetName val="Labor_bills_-_Block_masonry1"/>
      <sheetName val="Labor_bill_Hard_Finish1"/>
      <sheetName val="Labor_bill_Water_proofing1"/>
      <sheetName val="Labor_bill_MS_items1"/>
      <sheetName val="Labor_Painting1"/>
      <sheetName val="Staff_Acco_1"/>
      <sheetName val="key_dates1"/>
      <sheetName val="11B_1"/>
      <sheetName val="Labor_bills_22_11_06"/>
      <sheetName val="BASIS_-DEC_08"/>
      <sheetName val="final_abstract"/>
      <sheetName val="T&amp;M"/>
      <sheetName val="Projects"/>
      <sheetName val="MECHANICAL"/>
      <sheetName val="Datas"/>
      <sheetName val="% prog figs -u5 and total"/>
      <sheetName val="rc01"/>
      <sheetName val="BOQ Distribution"/>
      <sheetName val="Civil Works"/>
      <sheetName val="macros"/>
      <sheetName val="LOOSE FURNITURE"/>
      <sheetName val="CABLERET"/>
      <sheetName val="Bank Guarantee"/>
      <sheetName val="目录"/>
      <sheetName val="RA_markate"/>
      <sheetName val="INPUT SHEET"/>
      <sheetName val="Civil_Works"/>
      <sheetName val="LOOSE_FURNITURE"/>
      <sheetName val="Labor_bills_22_11_061"/>
      <sheetName val="Civil_Works1"/>
      <sheetName val="final_abstract1"/>
      <sheetName val="LOOSE_FURNITURE1"/>
      <sheetName val="dummy"/>
      <sheetName val="AK-Offertstammblatt"/>
      <sheetName val="#REF!"/>
      <sheetName val="Sheet3 (2)"/>
      <sheetName val="Database"/>
      <sheetName val="schedule nos"/>
      <sheetName val="Set"/>
      <sheetName val="beam-reinft-IIInd floor"/>
      <sheetName val="WT-LIST"/>
      <sheetName val="horizontal"/>
      <sheetName val="std"/>
      <sheetName val="BHANDUP"/>
      <sheetName val="Mat.-Rates"/>
      <sheetName val="SCHEDULE"/>
      <sheetName val="Summary_Bank"/>
      <sheetName val="Basic Rates"/>
      <sheetName val="Break up Sheet"/>
      <sheetName val="FINOLEX"/>
      <sheetName val="PCC"/>
      <sheetName val="sumary"/>
      <sheetName val="shuttering"/>
      <sheetName val="Structure Bills Qty"/>
      <sheetName val="BS, PL, SCH 96"/>
      <sheetName val="Channel Contribution Analysis"/>
      <sheetName val="Labor_abs-PW2"/>
      <sheetName val="Labor_abs-NMR2"/>
      <sheetName val="Labor_bill_-_Plastering2"/>
      <sheetName val="Labor_bill_-_Mob2"/>
      <sheetName val="Labor_bill_-_EW2"/>
      <sheetName val="Labor_bill_-_Concrete2"/>
      <sheetName val="Labor_bill_-_Shuttering2"/>
      <sheetName val="Labor_bills_-_reinf2"/>
      <sheetName val="Labor_bills_-_Block_masonry2"/>
      <sheetName val="Labor_bill_Hard_Finish2"/>
      <sheetName val="Labor_bill_Water_proofing2"/>
      <sheetName val="Labor_bill_MS_items2"/>
      <sheetName val="Labor_Painting2"/>
      <sheetName val="Staff_Acco_2"/>
      <sheetName val="analysis"/>
      <sheetName val="Electrical"/>
      <sheetName val="Cash Flow Working"/>
      <sheetName val="Rate An"/>
      <sheetName val=" S-DIV02-CONCRETE"/>
      <sheetName val="M&amp;A D"/>
      <sheetName val="M&amp;A E"/>
      <sheetName val="M&amp;A G"/>
      <sheetName val="cubes_M20"/>
      <sheetName val="Occ, Other Rev, Exp, Dispo"/>
      <sheetName val="B'Sheet"/>
      <sheetName val="Asmp"/>
      <sheetName val="opd"/>
      <sheetName val="purpose&amp;input"/>
      <sheetName val="RES-PLANNING"/>
      <sheetName val="Civil Boq"/>
      <sheetName val="p&amp;m"/>
      <sheetName val="Brand"/>
      <sheetName val="PackSize"/>
      <sheetName val="PackagingType"/>
      <sheetName val="ProductHierarchy"/>
      <sheetName val="PurchGroup"/>
      <sheetName val="Sub-brand"/>
      <sheetName val="UOM"/>
      <sheetName val="Variant"/>
      <sheetName val="Cash Flow"/>
      <sheetName val="Definitions"/>
      <sheetName val="SEW4"/>
      <sheetName val="Rate_analysis"/>
      <sheetName val="AutoOpen_Stub_Data"/>
      <sheetName val="Sheet3_(2)"/>
      <sheetName val="schedule_nos"/>
      <sheetName val="Fin_Sum"/>
      <sheetName val="beam-reinft-IIInd_floor"/>
      <sheetName val="PROJECT_BRIEF"/>
      <sheetName val="BQ-Ext__"/>
      <sheetName val="Detailed_Summary_(5)"/>
      <sheetName val="INPUT_SHEET"/>
      <sheetName val="THK"/>
      <sheetName val="BOQ fire proofing"/>
      <sheetName val="List"/>
      <sheetName val="Data sheet"/>
      <sheetName val="DETAILED  BOQ"/>
      <sheetName val="노임단가"/>
      <sheetName val="CHIFLET"/>
      <sheetName val="Micro"/>
      <sheetName val="Macro"/>
      <sheetName val="Scaff-Rose"/>
      <sheetName val="girder"/>
      <sheetName val="細目"/>
      <sheetName val="Supplier"/>
      <sheetName val="labour coeff"/>
      <sheetName val="Pivots"/>
      <sheetName val="S1BOQ_P.8~P.21"/>
      <sheetName val="A(Rev.3)"/>
      <sheetName val="Abstract"/>
      <sheetName val="Beams "/>
      <sheetName val="switch"/>
      <sheetName val="conc-foot-gradeslab"/>
      <sheetName val="BS Schedules"/>
      <sheetName val="Blr hire"/>
      <sheetName val="7 Other Costs"/>
      <sheetName val="IO LIST"/>
      <sheetName val="Publicbuilding"/>
      <sheetName val="strand"/>
      <sheetName val="2days16-19-22-23-24-26-27-28"/>
      <sheetName val="FT-05-02IsoBOM"/>
      <sheetName val="G.1-AV SYSTEM"/>
      <sheetName val="Cul_detail"/>
      <sheetName val="BOQ_SERENO"/>
      <sheetName val="lc 11"/>
      <sheetName val="lc 21"/>
      <sheetName val="Parameter"/>
      <sheetName val="1_Project_Profile"/>
      <sheetName val="Names&amp;Cases"/>
      <sheetName val="costing sheet"/>
      <sheetName val="Delhi"/>
      <sheetName val="Rekap"/>
      <sheetName val="Oustanding Balances"/>
      <sheetName val="MASTER - MARCH"/>
      <sheetName val="12"/>
      <sheetName val="XREF"/>
      <sheetName val="Wag&amp;Sal"/>
      <sheetName val=" "/>
      <sheetName val="TB"/>
      <sheetName val="bs"/>
      <sheetName val="SP Break Up"/>
      <sheetName val="Quotation"/>
      <sheetName val="Budget_CF - Overall"/>
      <sheetName val="Summary_CFA"/>
      <sheetName val="Channel_Contribution_Analysis"/>
      <sheetName val="Bank_Guarantee"/>
      <sheetName val="Basic_Rates"/>
      <sheetName val="PROJECT_BRIEF(EX_NEW)"/>
      <sheetName val="HV_SWITCHGEAR"/>
      <sheetName val="CABLE_DATA"/>
      <sheetName val="BS,_PL,_SCH_96"/>
      <sheetName val="Mat_-Rates"/>
      <sheetName val="Break_up_Sheet"/>
      <sheetName val="Structure_Bills_Qty"/>
      <sheetName val="CCTV_EST1"/>
      <sheetName val="complexall"/>
      <sheetName val="Basic Rate"/>
      <sheetName val="ABBR"/>
      <sheetName val="MH(on site)"/>
      <sheetName val="site fab&amp;ernstr"/>
      <sheetName val="RCC,Ret. Wall"/>
      <sheetName val="S1BOQ"/>
      <sheetName val="Sheet2"/>
      <sheetName val="Pay_Sep06"/>
      <sheetName val="Project Budget Worksheet"/>
      <sheetName val="pri-com"/>
      <sheetName val="Final Bill of Material"/>
      <sheetName val="Pile cap"/>
      <sheetName val="Settings"/>
      <sheetName val="NC"/>
      <sheetName val="Branch Power"/>
      <sheetName val="Distrib"/>
      <sheetName val="Emergency"/>
      <sheetName val="Equipment"/>
      <sheetName val="Lighting"/>
      <sheetName val="Main-Material"/>
      <sheetName val="AutoOpen_Stub_Data1"/>
      <sheetName val="Bank_Guarantee1"/>
      <sheetName val="Base data Security Procedures"/>
      <sheetName val="dBase"/>
      <sheetName val="Lookup data"/>
      <sheetName val="10. &amp; 11. Rate Code &amp; BQ"/>
      <sheetName val="PRICE COMP"/>
      <sheetName val="p1-costg"/>
      <sheetName val="TBAL9697 -group wise  sdpl"/>
      <sheetName val="Driveway Beams"/>
      <sheetName val="INTSHEET"/>
      <sheetName val="INTSHEET3"/>
      <sheetName val="1.1 - Capital"/>
      <sheetName val="Cashflows"/>
      <sheetName val="GM &amp; TA"/>
      <sheetName val="lookups"/>
      <sheetName val="ref"/>
      <sheetName val="BOQ_Direct_selling cost"/>
      <sheetName val="9"/>
      <sheetName val="Arch"/>
      <sheetName val="Slab"/>
      <sheetName val="Legal Risk Analysis"/>
      <sheetName val="upa"/>
      <sheetName val="office"/>
      <sheetName val="Lab"/>
      <sheetName val="Costing"/>
      <sheetName val="Job Data"/>
      <sheetName val="RAJU ASSO"/>
      <sheetName val="Dels"/>
      <sheetName val="BalanceSheet"/>
      <sheetName val="D5"/>
      <sheetName val="Introduction"/>
      <sheetName val="D5-P&amp;L"/>
      <sheetName val="Model (Not Merged)"/>
      <sheetName val="Demand"/>
      <sheetName val="Occ"/>
      <sheetName val="Boq Block A"/>
      <sheetName val="basic-data"/>
      <sheetName val="mem-property"/>
      <sheetName val="Intro"/>
      <sheetName val="STP"/>
      <sheetName val="Annex"/>
      <sheetName val="Field Values"/>
      <sheetName val="PR Standards Technopark"/>
      <sheetName val="Labor_abs-PW6"/>
      <sheetName val="Labor_abs-NMR6"/>
      <sheetName val="Labor_bill_-_Plastering6"/>
      <sheetName val="Labor_bill_-_Mob6"/>
      <sheetName val="Labor_bill_-_EW6"/>
      <sheetName val="Labor_bill_-_Concrete6"/>
      <sheetName val="Labor_bill_-_Shuttering6"/>
      <sheetName val="Labor_bills_-_reinf6"/>
      <sheetName val="Labor_bills_-_Block_masonry6"/>
      <sheetName val="Labor_bill_Hard_Finish6"/>
      <sheetName val="Labor_bill_Water_proofing6"/>
      <sheetName val="Labor_bill_MS_items6"/>
      <sheetName val="Labor_Painting6"/>
      <sheetName val="Staff_Acco_6"/>
      <sheetName val="Labor_bills_22_11_066"/>
      <sheetName val="key_dates5"/>
      <sheetName val="PROJECT_BRIEF5"/>
      <sheetName val="11B_5"/>
      <sheetName val="BQ-Ext__5"/>
      <sheetName val="Bank_Guarantee5"/>
      <sheetName val="AutoOpen_Stub_Data5"/>
      <sheetName val="final_abstract5"/>
      <sheetName val="Basic_Rates5"/>
      <sheetName val="Fin_Sum5"/>
      <sheetName val="BS_Schedules5"/>
      <sheetName val="Break_up_Sheet5"/>
      <sheetName val="Rate_analysis5"/>
      <sheetName val="Labor_abs-PW4"/>
      <sheetName val="Labor_abs-NMR4"/>
      <sheetName val="Labor_bill_-_Plastering4"/>
      <sheetName val="Labor_bill_-_Mob4"/>
      <sheetName val="Labor_bill_-_EW4"/>
      <sheetName val="Labor_bill_-_Concrete4"/>
      <sheetName val="Labor_bill_-_Shuttering4"/>
      <sheetName val="Labor_bills_-_reinf4"/>
      <sheetName val="Labor_bills_-_Block_masonry4"/>
      <sheetName val="Labor_bill_Hard_Finish4"/>
      <sheetName val="Labor_bill_Water_proofing4"/>
      <sheetName val="Labor_bill_MS_items4"/>
      <sheetName val="Labor_Painting4"/>
      <sheetName val="Staff_Acco_4"/>
      <sheetName val="Labor_bills_22_11_064"/>
      <sheetName val="key_dates3"/>
      <sheetName val="PROJECT_BRIEF3"/>
      <sheetName val="11B_3"/>
      <sheetName val="BQ-Ext__3"/>
      <sheetName val="Bank_Guarantee3"/>
      <sheetName val="AutoOpen_Stub_Data3"/>
      <sheetName val="final_abstract3"/>
      <sheetName val="Basic_Rates3"/>
      <sheetName val="Fin_Sum3"/>
      <sheetName val="BS_Schedules3"/>
      <sheetName val="Break_up_Sheet3"/>
      <sheetName val="Rate_analysis3"/>
      <sheetName val="Labor_abs-PW3"/>
      <sheetName val="Labor_abs-NMR3"/>
      <sheetName val="Labor_bill_-_Plastering3"/>
      <sheetName val="Labor_bill_-_Mob3"/>
      <sheetName val="Labor_bill_-_EW3"/>
      <sheetName val="Labor_bill_-_Concrete3"/>
      <sheetName val="Labor_bill_-_Shuttering3"/>
      <sheetName val="Labor_bills_-_reinf3"/>
      <sheetName val="Labor_bills_-_Block_masonry3"/>
      <sheetName val="Labor_bill_Hard_Finish3"/>
      <sheetName val="Labor_bill_Water_proofing3"/>
      <sheetName val="Labor_bill_MS_items3"/>
      <sheetName val="Labor_Painting3"/>
      <sheetName val="Staff_Acco_3"/>
      <sheetName val="Labor_bills_22_11_063"/>
      <sheetName val="key_dates2"/>
      <sheetName val="PROJECT_BRIEF2"/>
      <sheetName val="11B_2"/>
      <sheetName val="BQ-Ext__2"/>
      <sheetName val="Bank_Guarantee2"/>
      <sheetName val="AutoOpen_Stub_Data2"/>
      <sheetName val="final_abstract2"/>
      <sheetName val="Basic_Rates2"/>
      <sheetName val="Fin_Sum2"/>
      <sheetName val="BS_Schedules2"/>
      <sheetName val="Break_up_Sheet2"/>
      <sheetName val="Rate_analysis2"/>
      <sheetName val="BS_Schedules"/>
      <sheetName val="Blr_hire"/>
      <sheetName val="Labor_bills_22_11_062"/>
      <sheetName val="PROJECT_BRIEF1"/>
      <sheetName val="BQ-Ext__1"/>
      <sheetName val="Basic_Rates1"/>
      <sheetName val="Fin_Sum1"/>
      <sheetName val="BS_Schedules1"/>
      <sheetName val="Break_up_Sheet1"/>
      <sheetName val="Rate_analysis1"/>
      <sheetName val="Blr_hire1"/>
      <sheetName val="Blr_hire2"/>
      <sheetName val="Labor_abs-PW5"/>
      <sheetName val="Labor_abs-NMR5"/>
      <sheetName val="Labor_bill_-_Plastering5"/>
      <sheetName val="Labor_bill_-_Mob5"/>
      <sheetName val="Labor_bill_-_EW5"/>
      <sheetName val="Labor_bill_-_Concrete5"/>
      <sheetName val="Labor_bill_-_Shuttering5"/>
      <sheetName val="Labor_bills_-_reinf5"/>
      <sheetName val="Labor_bills_-_Block_masonry5"/>
      <sheetName val="Labor_bill_Hard_Finish5"/>
      <sheetName val="Labor_bill_Water_proofing5"/>
      <sheetName val="Labor_bill_MS_items5"/>
      <sheetName val="Labor_Painting5"/>
      <sheetName val="Staff_Acco_5"/>
      <sheetName val="Labor_bills_22_11_065"/>
      <sheetName val="key_dates4"/>
      <sheetName val="PROJECT_BRIEF4"/>
      <sheetName val="11B_4"/>
      <sheetName val="BQ-Ext__4"/>
      <sheetName val="Bank_Guarantee4"/>
      <sheetName val="AutoOpen_Stub_Data4"/>
      <sheetName val="final_abstract4"/>
      <sheetName val="Basic_Rates4"/>
      <sheetName val="Fin_Sum4"/>
      <sheetName val="BS_Schedules4"/>
      <sheetName val="Break_up_Sheet4"/>
      <sheetName val="Rate_analysis4"/>
      <sheetName val="Block 02, Staircace &amp; lift head"/>
      <sheetName val="97-98"/>
      <sheetName val="discounts_XP140"/>
      <sheetName val="Interface_ISC"/>
      <sheetName val="PRECAST lightconc-II"/>
      <sheetName val="FLOOR beam design"/>
      <sheetName val="BFS"/>
      <sheetName val="KQ Cost Controlling"/>
      <sheetName val="KQ Appropriation"/>
      <sheetName val="M"/>
      <sheetName val="N"/>
      <sheetName val="RA_MKT_INTERIOR"/>
      <sheetName val="電気設備表"/>
      <sheetName val="RFP002"/>
      <sheetName val="SCHEDULE (9)"/>
      <sheetName val="Assumptions"/>
      <sheetName val="KP1590_E"/>
      <sheetName val="13. Steel - Ratio"/>
      <sheetName val="cover page"/>
      <sheetName val="Basement Budget"/>
      <sheetName val="MN T.B."/>
      <sheetName val="BLOCK-A (MEA.SHEET)"/>
      <sheetName val="Internet"/>
      <sheetName val="Civil_Works2"/>
      <sheetName val="LOOSE_FURNITURE2"/>
      <sheetName val="BASIS_-DEC_081"/>
      <sheetName val="INPUT_SHEET1"/>
      <sheetName val="Detailed_Summary_(5)1"/>
      <sheetName val="Sheet3_(2)1"/>
      <sheetName val="schedule_nos1"/>
      <sheetName val="beam-reinft-IIInd_floor1"/>
      <sheetName val="PROJECT_BRIEF(EX_NEW)1"/>
      <sheetName val="HV_SWITCHGEAR1"/>
      <sheetName val="CABLE_DATA1"/>
      <sheetName val="Mat_-Rates1"/>
      <sheetName val="Structure_Bills_Qty1"/>
      <sheetName val="BS,_PL,_SCH_961"/>
      <sheetName val="Channel_Contribution_Analysis1"/>
      <sheetName val="%_prog_figs_-u5_and_total"/>
      <sheetName val="BOQ_Distribution"/>
      <sheetName val="Cash_Flow_Working"/>
      <sheetName val="Rate_An"/>
      <sheetName val="Beams_"/>
      <sheetName val="G_1-AV_SYSTEM"/>
      <sheetName val="_S-DIV02-CONCRETE"/>
      <sheetName val="M&amp;A_D"/>
      <sheetName val="M&amp;A_E"/>
      <sheetName val="M&amp;A_G"/>
      <sheetName val="labour_coeff"/>
      <sheetName val="costing_sheet"/>
      <sheetName val="Civil_Boq"/>
      <sheetName val="BOQ_fire_proofing"/>
      <sheetName val="lc_11"/>
      <sheetName val="lc_21"/>
      <sheetName val="Cash_Flow"/>
      <sheetName val="Data_sheet"/>
      <sheetName val="DETAILED__BOQ"/>
      <sheetName val="S1BOQ_P_8~P_21"/>
      <sheetName val="A(Rev_3)"/>
      <sheetName val="7_Other_Costs"/>
      <sheetName val="IO_LIST"/>
      <sheetName val="Oustanding_Balances"/>
      <sheetName val="MASTER_-_MARCH"/>
      <sheetName val="Branch_Power"/>
      <sheetName val="Final_Bill_of_Material"/>
      <sheetName val="SP_Break_Up"/>
      <sheetName val="Budget_CF_-_Overall"/>
      <sheetName val="Project_Budget_Worksheet"/>
      <sheetName val="BOQ_Direct_selling_cost"/>
      <sheetName val="Pile_cap"/>
      <sheetName val="Legal_Risk_Analysis"/>
      <sheetName val="Occ,_Other_Rev,_Exp,_Dispo"/>
      <sheetName val="Basic_Rate"/>
      <sheetName val="Base_data_Security_Procedures"/>
      <sheetName val="Lookup_data"/>
      <sheetName val="10__&amp;_11__Rate_Code_&amp;_BQ"/>
      <sheetName val="PRICE_COMP"/>
      <sheetName val="TBAL9697_-group_wise__sdpl"/>
      <sheetName val="Driveway_Beams"/>
      <sheetName val="MH(on_site)"/>
      <sheetName val="site_fab&amp;ernstr"/>
      <sheetName val="RCC,Ret__Wall"/>
      <sheetName val="1_1_-_Capital"/>
      <sheetName val="GM_&amp;_TA"/>
      <sheetName val="PRECAST_lightconc-II"/>
      <sheetName val="Measurment"/>
      <sheetName val="Labor_abs-PW7"/>
      <sheetName val="Labor_abs-NMR7"/>
      <sheetName val="Labor_bill_-_Plastering7"/>
      <sheetName val="Labor_bill_-_Mob7"/>
      <sheetName val="Labor_bill_-_EW7"/>
      <sheetName val="Labor_bill_-_Concrete7"/>
      <sheetName val="Labor_bill_-_Shuttering7"/>
      <sheetName val="Labor_bills_-_reinf7"/>
      <sheetName val="Labor_bills_-_Block_masonry7"/>
      <sheetName val="Labor_bill_Hard_Finish7"/>
      <sheetName val="Labor_bill_Water_proofing7"/>
      <sheetName val="Labor_bill_MS_items7"/>
      <sheetName val="Labor_Painting7"/>
      <sheetName val="Staff_Acco_7"/>
      <sheetName val="11B_6"/>
      <sheetName val="key_dates6"/>
      <sheetName val="final_abstract6"/>
      <sheetName val="Labor_bills_22_11_067"/>
      <sheetName val="Fin_Sum6"/>
      <sheetName val="AutoOpen_Stub_Data6"/>
      <sheetName val="Bank_Guarantee6"/>
      <sheetName val="Rate_analysis6"/>
      <sheetName val="Basic_Rates6"/>
      <sheetName val="PROJECT_BRIEF6"/>
      <sheetName val="BQ-Ext__6"/>
      <sheetName val="Break_up_Sheet6"/>
      <sheetName val="BS_Schedules6"/>
      <sheetName val="Blr_hire3"/>
      <sheetName val="Field_Values"/>
      <sheetName val="PR_Standards_Technopark"/>
      <sheetName val="Boq_Block_A"/>
      <sheetName val="Block_02,_Staircace_&amp;_lift_head"/>
      <sheetName val="149"/>
      <sheetName val="keyword"/>
      <sheetName val="crews"/>
      <sheetName val="Cost summary"/>
      <sheetName val="Cashflow projection"/>
      <sheetName val="gen"/>
      <sheetName val="costing_ESDV"/>
      <sheetName val="costing_FE"/>
      <sheetName val="costing_Misc"/>
      <sheetName val="costing_MOV"/>
      <sheetName val="costing_Press"/>
      <sheetName val="4K - (6a) Non Manual Breakdown"/>
      <sheetName val="Fill this out first..."/>
      <sheetName val="RateAnalysis"/>
      <sheetName val="Materials Cost(PCC)"/>
      <sheetName val="Builtup Area"/>
      <sheetName val="MA"/>
      <sheetName val="MASTER_RATE ANALYSIS"/>
      <sheetName val="two way-1"/>
      <sheetName val="Sump"/>
      <sheetName val="sheet6"/>
      <sheetName val="Lead"/>
      <sheetName val="Results"/>
      <sheetName val="PLGroupings"/>
      <sheetName val="material "/>
      <sheetName val="Brickwork "/>
      <sheetName val="First Floor "/>
      <sheetName val="Unit Weight"/>
      <sheetName val="std.wt."/>
      <sheetName val="Cd"/>
      <sheetName val="Cs"/>
      <sheetName val="CPIPE"/>
      <sheetName val="CPIPE 1"/>
      <sheetName val="Name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ow r="1">
          <cell r="A1">
            <v>0</v>
          </cell>
        </row>
      </sheetData>
      <sheetData sheetId="73">
        <row r="1">
          <cell r="A1">
            <v>0</v>
          </cell>
        </row>
      </sheetData>
      <sheetData sheetId="74">
        <row r="1">
          <cell r="A1">
            <v>0</v>
          </cell>
        </row>
      </sheetData>
      <sheetData sheetId="75">
        <row r="1">
          <cell r="A1">
            <v>0</v>
          </cell>
        </row>
      </sheetData>
      <sheetData sheetId="76">
        <row r="1">
          <cell r="A1">
            <v>0</v>
          </cell>
        </row>
      </sheetData>
      <sheetData sheetId="77">
        <row r="1">
          <cell r="A1">
            <v>0</v>
          </cell>
        </row>
      </sheetData>
      <sheetData sheetId="78">
        <row r="1">
          <cell r="A1">
            <v>0</v>
          </cell>
        </row>
      </sheetData>
      <sheetData sheetId="79">
        <row r="1">
          <cell r="A1">
            <v>0</v>
          </cell>
        </row>
      </sheetData>
      <sheetData sheetId="80">
        <row r="1">
          <cell r="A1">
            <v>0</v>
          </cell>
        </row>
      </sheetData>
      <sheetData sheetId="81">
        <row r="1">
          <cell r="A1">
            <v>0</v>
          </cell>
        </row>
      </sheetData>
      <sheetData sheetId="82">
        <row r="1">
          <cell r="A1">
            <v>0</v>
          </cell>
        </row>
      </sheetData>
      <sheetData sheetId="83">
        <row r="1">
          <cell r="A1">
            <v>0</v>
          </cell>
        </row>
      </sheetData>
      <sheetData sheetId="84">
        <row r="1">
          <cell r="A1">
            <v>0</v>
          </cell>
        </row>
      </sheetData>
      <sheetData sheetId="85">
        <row r="1">
          <cell r="A1">
            <v>0</v>
          </cell>
        </row>
      </sheetData>
      <sheetData sheetId="86">
        <row r="1">
          <cell r="A1">
            <v>0</v>
          </cell>
        </row>
      </sheetData>
      <sheetData sheetId="87">
        <row r="1">
          <cell r="A1">
            <v>0</v>
          </cell>
        </row>
      </sheetData>
      <sheetData sheetId="88"/>
      <sheetData sheetId="89"/>
      <sheetData sheetId="90"/>
      <sheetData sheetId="91"/>
      <sheetData sheetId="92"/>
      <sheetData sheetId="93"/>
      <sheetData sheetId="94">
        <row r="1">
          <cell r="A1">
            <v>0</v>
          </cell>
        </row>
      </sheetData>
      <sheetData sheetId="95">
        <row r="1">
          <cell r="A1">
            <v>0</v>
          </cell>
        </row>
      </sheetData>
      <sheetData sheetId="96">
        <row r="1">
          <cell r="A1">
            <v>0</v>
          </cell>
        </row>
      </sheetData>
      <sheetData sheetId="97"/>
      <sheetData sheetId="98"/>
      <sheetData sheetId="99"/>
      <sheetData sheetId="100"/>
      <sheetData sheetId="101"/>
      <sheetData sheetId="102"/>
      <sheetData sheetId="103"/>
      <sheetData sheetId="104"/>
      <sheetData sheetId="105"/>
      <sheetData sheetId="106"/>
      <sheetData sheetId="107"/>
      <sheetData sheetId="108"/>
      <sheetData sheetId="109">
        <row r="1">
          <cell r="A1">
            <v>0</v>
          </cell>
        </row>
      </sheetData>
      <sheetData sheetId="110">
        <row r="1">
          <cell r="A1">
            <v>0</v>
          </cell>
        </row>
      </sheetData>
      <sheetData sheetId="111">
        <row r="1">
          <cell r="A1">
            <v>0</v>
          </cell>
        </row>
      </sheetData>
      <sheetData sheetId="112">
        <row r="1">
          <cell r="A1">
            <v>0</v>
          </cell>
        </row>
      </sheetData>
      <sheetData sheetId="113">
        <row r="1">
          <cell r="A1">
            <v>0</v>
          </cell>
        </row>
      </sheetData>
      <sheetData sheetId="114"/>
      <sheetData sheetId="115"/>
      <sheetData sheetId="116"/>
      <sheetData sheetId="117"/>
      <sheetData sheetId="118"/>
      <sheetData sheetId="119"/>
      <sheetData sheetId="120"/>
      <sheetData sheetId="121"/>
      <sheetData sheetId="122"/>
      <sheetData sheetId="123"/>
      <sheetData sheetId="124"/>
      <sheetData sheetId="125">
        <row r="1">
          <cell r="A1">
            <v>0</v>
          </cell>
        </row>
      </sheetData>
      <sheetData sheetId="126"/>
      <sheetData sheetId="127"/>
      <sheetData sheetId="128"/>
      <sheetData sheetId="129">
        <row r="1">
          <cell r="A1">
            <v>0</v>
          </cell>
        </row>
      </sheetData>
      <sheetData sheetId="130">
        <row r="1">
          <cell r="A1">
            <v>0</v>
          </cell>
        </row>
      </sheetData>
      <sheetData sheetId="131">
        <row r="1">
          <cell r="A1">
            <v>0</v>
          </cell>
        </row>
      </sheetData>
      <sheetData sheetId="132">
        <row r="1">
          <cell r="A1">
            <v>0</v>
          </cell>
        </row>
      </sheetData>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ow r="1">
          <cell r="A1">
            <v>0</v>
          </cell>
        </row>
      </sheetData>
      <sheetData sheetId="174">
        <row r="1">
          <cell r="A1">
            <v>0</v>
          </cell>
        </row>
      </sheetData>
      <sheetData sheetId="175">
        <row r="1">
          <cell r="A1">
            <v>0</v>
          </cell>
        </row>
      </sheetData>
      <sheetData sheetId="176">
        <row r="1">
          <cell r="A1">
            <v>0</v>
          </cell>
        </row>
      </sheetData>
      <sheetData sheetId="177">
        <row r="1">
          <cell r="A1">
            <v>0</v>
          </cell>
        </row>
      </sheetData>
      <sheetData sheetId="178">
        <row r="1">
          <cell r="A1">
            <v>0</v>
          </cell>
        </row>
      </sheetData>
      <sheetData sheetId="179">
        <row r="1">
          <cell r="A1">
            <v>0</v>
          </cell>
        </row>
      </sheetData>
      <sheetData sheetId="180">
        <row r="1">
          <cell r="A1">
            <v>0</v>
          </cell>
        </row>
      </sheetData>
      <sheetData sheetId="181">
        <row r="1">
          <cell r="A1">
            <v>0</v>
          </cell>
        </row>
      </sheetData>
      <sheetData sheetId="182">
        <row r="1">
          <cell r="A1">
            <v>0</v>
          </cell>
        </row>
      </sheetData>
      <sheetData sheetId="183">
        <row r="1">
          <cell r="A1">
            <v>0</v>
          </cell>
        </row>
      </sheetData>
      <sheetData sheetId="184">
        <row r="1">
          <cell r="A1">
            <v>0</v>
          </cell>
        </row>
      </sheetData>
      <sheetData sheetId="185">
        <row r="1">
          <cell r="A1">
            <v>0</v>
          </cell>
        </row>
      </sheetData>
      <sheetData sheetId="186">
        <row r="1">
          <cell r="A1">
            <v>0</v>
          </cell>
        </row>
      </sheetData>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row r="1">
          <cell r="A1">
            <v>0</v>
          </cell>
        </row>
      </sheetData>
      <sheetData sheetId="408">
        <row r="1">
          <cell r="A1">
            <v>0</v>
          </cell>
        </row>
      </sheetData>
      <sheetData sheetId="409">
        <row r="19">
          <cell r="I19">
            <v>10</v>
          </cell>
        </row>
      </sheetData>
      <sheetData sheetId="410">
        <row r="1">
          <cell r="A1">
            <v>0</v>
          </cell>
        </row>
      </sheetData>
      <sheetData sheetId="411">
        <row r="19">
          <cell r="I19">
            <v>10</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row r="1">
          <cell r="A1">
            <v>0</v>
          </cell>
        </row>
      </sheetData>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row r="1">
          <cell r="A1">
            <v>0</v>
          </cell>
        </row>
      </sheetData>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row r="1">
          <cell r="A1">
            <v>0</v>
          </cell>
        </row>
      </sheetData>
      <sheetData sheetId="560">
        <row r="19">
          <cell r="I19">
            <v>10</v>
          </cell>
        </row>
      </sheetData>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row r="1">
          <cell r="A1">
            <v>0</v>
          </cell>
        </row>
      </sheetData>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taing wall"/>
      <sheetName val="1.01 (a)"/>
      <sheetName val="1.03(a)"/>
      <sheetName val="1.07"/>
      <sheetName val="1.11(a)"/>
      <sheetName val="2.01 (a)"/>
      <sheetName val="2.01 (b)"/>
      <sheetName val="2.01 (c)"/>
      <sheetName val="2.02"/>
      <sheetName val="2.03"/>
      <sheetName val="2.04"/>
      <sheetName val="3.01(a)"/>
      <sheetName val="3.01(b)(i)"/>
      <sheetName val="3.01(b)(ii)"/>
      <sheetName val="3.03"/>
      <sheetName val="3.04(a)"/>
      <sheetName val="3.04 (b)"/>
      <sheetName val="3.04 (c)"/>
      <sheetName val="3.04 (d)"/>
      <sheetName val="3.04 (e)"/>
      <sheetName val="3.04 (f)"/>
      <sheetName val="3.04(g)"/>
      <sheetName val="3.04 (h)"/>
      <sheetName val="3.05 (a)"/>
      <sheetName val="3.08 (a)"/>
      <sheetName val="3.12"/>
      <sheetName val="4.01(a)"/>
      <sheetName val="4.02"/>
      <sheetName val="4.03"/>
      <sheetName val="4.04"/>
      <sheetName val="4.05"/>
      <sheetName val="4.06"/>
      <sheetName val="5.01(a)"/>
      <sheetName val="5.02"/>
      <sheetName val="5.04"/>
      <sheetName val="5.24"/>
      <sheetName val="6.01(a)"/>
      <sheetName val="6.03(a)"/>
      <sheetName val="7.01 (a)"/>
      <sheetName val="7.02 (a)"/>
      <sheetName val="7.02 (b)"/>
      <sheetName val="7.02 (c)"/>
      <sheetName val="7.03 (a)"/>
      <sheetName val="7.03 (b)"/>
      <sheetName val="7.04(a)"/>
      <sheetName val="7.04(b)"/>
      <sheetName val="7.05 (a)"/>
      <sheetName val="7.05 (b)"/>
      <sheetName val="7.06"/>
      <sheetName val="7.11 (a)"/>
      <sheetName val="7.12 (a)"/>
      <sheetName val="7.16(a)"/>
      <sheetName val="7.18 (b)"/>
      <sheetName val="7.25"/>
      <sheetName val="8.03"/>
      <sheetName val="8.10"/>
      <sheetName val="9.01(a)"/>
      <sheetName val="9.02(a)"/>
      <sheetName val="9.03(a)"/>
      <sheetName val="9.04"/>
      <sheetName val="9.05 (a)"/>
      <sheetName val="9.06(a)"/>
      <sheetName val="9.09"/>
      <sheetName val="9.10"/>
      <sheetName val="9.11"/>
      <sheetName val="9.12"/>
      <sheetName val="9.13"/>
      <sheetName val="9.19"/>
      <sheetName val="10.02"/>
      <sheetName val="10.03"/>
      <sheetName val="11.03(a)"/>
      <sheetName val="11.07(a)"/>
      <sheetName val="11.07(b)"/>
      <sheetName val="14.11"/>
      <sheetName val="Fill this out first..."/>
      <sheetName val="5.1.1"/>
      <sheetName val="labour"/>
      <sheetName val="ABUT MASTER"/>
      <sheetName val="R2"/>
      <sheetName val="WPR-IV"/>
      <sheetName val="TOS-F"/>
      <sheetName val="2.1 受電設備棟"/>
      <sheetName val="2.2 受・防火水槽"/>
      <sheetName val="2.3 排水処理設備棟"/>
      <sheetName val="2.4 倉庫棟"/>
      <sheetName val="2.5 守衛棟"/>
      <sheetName val="Legal Risk Analys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 3C"/>
      <sheetName val="T-2"/>
      <sheetName val="Construction"/>
      <sheetName val="1.01 (a)"/>
    </sheetNames>
    <sheetDataSet>
      <sheetData sheetId="0"/>
      <sheetData sheetId="1"/>
      <sheetData sheetId="2"/>
      <sheetData sheetId="3"/>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見積書 8月５日提出"/>
      <sheetName val="見積書 8月７日変更"/>
      <sheetName val="表紙"/>
      <sheetName val="表紙 (2)"/>
      <sheetName val="見積書 11月20日"/>
      <sheetName val="細目"/>
      <sheetName val="見積書 11月20日 連動"/>
      <sheetName val="ドル移行"/>
      <sheetName val="準備期間経費"/>
      <sheetName val="見積金額一覧表"/>
      <sheetName val="wordsdata"/>
      <sheetName val="RateAnalysis"/>
      <sheetName val="GM &amp; TA"/>
      <sheetName val="Micro"/>
      <sheetName val="Macro"/>
      <sheetName val="Scaff-Rose"/>
      <sheetName val="STEEL STRUCTURE"/>
      <sheetName val="Load Details(B1)"/>
      <sheetName val="std.wt."/>
      <sheetName val="L&amp;T Shop Floor Drawings Status"/>
      <sheetName val="PRECAST lightconc-II"/>
      <sheetName val="MPR_PA_1"/>
      <sheetName val="Wag&amp;Sal"/>
      <sheetName val="col-reinft1"/>
      <sheetName val="Boq_ structure "/>
      <sheetName val="Consolidated"/>
      <sheetName val="Civil Boq"/>
      <sheetName val="Fin Sum"/>
      <sheetName val="Break up Sheet"/>
      <sheetName val="Fill this out first..."/>
      <sheetName val="seT"/>
      <sheetName val="Intro."/>
      <sheetName val="Matrix"/>
      <sheetName val="NLD - Assum"/>
      <sheetName val="Sheet1"/>
      <sheetName val="Attributes"/>
      <sheetName val="Input"/>
      <sheetName val="경비공통"/>
      <sheetName val="RA_EIL"/>
      <sheetName val="RA_MKT_QUOTE"/>
      <sheetName val="GUT"/>
      <sheetName val="見積書_8月５日提出"/>
      <sheetName val="見積書_8月７日変更"/>
      <sheetName val="表紙_(2)"/>
      <sheetName val="見積書_11月20日"/>
      <sheetName val="見積書_11月20日_連動"/>
      <sheetName val="GM_&amp;_TA"/>
      <sheetName val="STEEL_STRUCTURE"/>
      <sheetName val="Load_Details(B1)"/>
      <sheetName val="std_wt_"/>
      <sheetName val="L&amp;T_Shop_Floor_Drawings_Status"/>
      <sheetName val="PRECAST_lightconc-II"/>
      <sheetName val="Intro_"/>
      <sheetName val="Break_up_Sheet"/>
      <sheetName val="Civil_Boq"/>
      <sheetName val="見積書_8月５日提出1"/>
      <sheetName val="見積書_8月７日変更1"/>
      <sheetName val="表紙_(2)1"/>
      <sheetName val="見積書_11月20日1"/>
      <sheetName val="見積書_11月20日_連動1"/>
      <sheetName val="GM_&amp;_TA1"/>
      <sheetName val="STEEL_STRUCTURE1"/>
      <sheetName val="Load_Details(B1)1"/>
      <sheetName val="std_wt_1"/>
      <sheetName val="L&amp;T_Shop_Floor_Drawings_Status1"/>
      <sheetName val="PRECAST_lightconc-II1"/>
      <sheetName val="Intro_1"/>
      <sheetName val="Break_up_Sheet1"/>
      <sheetName val="Civil_Boq1"/>
      <sheetName val="Design"/>
      <sheetName val="RA"/>
      <sheetName val="WPC"/>
      <sheetName val="معد .ث"/>
      <sheetName val="재1"/>
      <sheetName val="Mechanical"/>
      <sheetName val="Labor abs-NMR"/>
      <sheetName val="Notes"/>
      <sheetName val="opd"/>
      <sheetName val="final abstract"/>
      <sheetName val="Introduction"/>
      <sheetName val="Sheet3 (2)"/>
      <sheetName val="AC"/>
      <sheetName val="SBI(Siliguri)"/>
      <sheetName val="XREF"/>
      <sheetName val="WBS"/>
      <sheetName val="Occ, Other Rev, Exp, Dispo"/>
      <sheetName val="IV-Utility"/>
      <sheetName val="I- Beam Schedule"/>
      <sheetName val="SPT vs PHI"/>
      <sheetName val="MASTER_RATE ANALYSIS"/>
      <sheetName val="project setup"/>
      <sheetName val="D5"/>
      <sheetName val="2.대외공문"/>
      <sheetName val="COSTPLAN"/>
      <sheetName val="Summary"/>
      <sheetName val="Input "/>
      <sheetName val="Boq"/>
      <sheetName val="KOYO提出見積書 "/>
      <sheetName val="Tower_slab data"/>
      <sheetName val="Miscelleneous"/>
      <sheetName val="InputPO_Del"/>
      <sheetName val="Data"/>
      <sheetName val="TB"/>
      <sheetName val="bs"/>
      <sheetName val="hist&amp;proj"/>
      <sheetName val="Cover"/>
      <sheetName val="Construction"/>
      <sheetName val="Pur"/>
      <sheetName val="NLD_-_Assum"/>
      <sheetName val="NLD_-_Assum1"/>
      <sheetName val="Data sheet"/>
      <sheetName val="D-F"/>
      <sheetName val="Measurement"/>
      <sheetName val="costing"/>
      <sheetName val="Pile cap"/>
      <sheetName val="Rate An"/>
      <sheetName val="Report"/>
      <sheetName val="PO"/>
      <sheetName val="Diawise steel abstract"/>
      <sheetName val="ANALYSIS"/>
      <sheetName val="factor"/>
      <sheetName val="Rising Main"/>
      <sheetName val="MAIN DOOR ANALYSIS (ENGLISH)"/>
      <sheetName val="LAB"/>
      <sheetName val="V.O.4 - PCC Qty"/>
      <sheetName val="見積書_8月５日提出2"/>
      <sheetName val="見積書_8月７日変更2"/>
      <sheetName val="表紙_(2)2"/>
      <sheetName val="見積書_11月20日2"/>
      <sheetName val="見積書_11月20日_連動2"/>
      <sheetName val="GM_&amp;_TA2"/>
      <sheetName val="L&amp;T_Shop_Floor_Drawings_Status2"/>
      <sheetName val="Load_Details(B1)2"/>
      <sheetName val="std_wt_2"/>
      <sheetName val="PRECAST_lightconc-II2"/>
      <sheetName val="STEEL_STRUCTURE2"/>
      <sheetName val="Break_up_Sheet2"/>
      <sheetName val="Fill_this_out_first___"/>
      <sheetName val="Civil_Boq2"/>
      <sheetName val="Intro_2"/>
      <sheetName val="Boq__structure_"/>
      <sheetName val="Fin_Sum"/>
      <sheetName val="معد__ث"/>
      <sheetName val="I-_Beam_Schedule"/>
      <sheetName val="Labor_abs-NMR"/>
      <sheetName val="final_abstract"/>
      <sheetName val="SPT_vs_PHI"/>
      <sheetName val="Sheet3_(2)"/>
      <sheetName val="Occ,_Other_Rev,_Exp,_Dispo"/>
      <sheetName val="Tower_slab_data"/>
      <sheetName val="MASTER_RATE_ANALYSIS"/>
      <sheetName val="project_setup"/>
      <sheetName val="2_대외공문"/>
      <sheetName val="Input_"/>
      <sheetName val="KOYO提出見積書_"/>
      <sheetName val="NLD_-_Assum2"/>
      <sheetName val="Data_sheet"/>
      <sheetName val="basic rate"/>
      <sheetName val="influences on g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Labour bills -Excav,Conc &amp; Rft"/>
      <sheetName val="Prelim-Breakup"/>
      <sheetName val="Safety material - Prorata"/>
      <sheetName val="SAFETTY ITEMS"/>
      <sheetName val="Mobilisation (2)"/>
      <sheetName val="NMR Alt"/>
      <sheetName val="Security,Acc &amp; mobile charges"/>
      <sheetName val="Backup - Mobilisation (2)"/>
      <sheetName val="GM &amp; TA"/>
      <sheetName val="Staff Salary"/>
      <sheetName val="Accts Prov"/>
      <sheetName val="Premobilisation"/>
      <sheetName val="P &amp; M "/>
      <sheetName val="C class items "/>
      <sheetName val="German tools"/>
      <sheetName val="Indian Tools"/>
      <sheetName val="Backup - Mobilisation"/>
      <sheetName val="Lab equipments"/>
      <sheetName val="Petty cash expenses"/>
      <sheetName val="Petty cash-Abstract"/>
      <sheetName val="Batch material"/>
      <sheetName val="Micro"/>
      <sheetName val="Macro"/>
      <sheetName val="Scaff-Rose"/>
      <sheetName val="wordsdata"/>
      <sheetName val="細目"/>
      <sheetName val="Load Details(B1)"/>
      <sheetName val="Fin Sum"/>
      <sheetName val="Break up Sheet"/>
      <sheetName val="est"/>
      <sheetName val="Boq_ structure "/>
      <sheetName val="SBI(Siliguri)"/>
      <sheetName val="NLD - Assum"/>
      <sheetName val="final abstract"/>
      <sheetName val="Civil Boq"/>
      <sheetName val="D5"/>
      <sheetName val="D5-P&amp;L"/>
      <sheetName val="Introduction"/>
      <sheetName val="Model (Not Merged)"/>
      <sheetName val="seT"/>
      <sheetName val="Analy_7-10"/>
      <sheetName val="analysis-superstructure"/>
      <sheetName val="Pile cap"/>
      <sheetName val="Totowa commitment"/>
      <sheetName val="Sheet1"/>
      <sheetName val="Wag&amp;Sal"/>
      <sheetName val="Quote Sheet"/>
      <sheetName val="keyword"/>
      <sheetName val="Parametry"/>
      <sheetName val="RateAnalysis"/>
      <sheetName val="Data sheet"/>
      <sheetName val="_Labour_bills_-Excav,Conc_&amp;_Rft"/>
      <sheetName val="Safety_material_-_Prorata"/>
      <sheetName val="SAFETTY_ITEMS"/>
      <sheetName val="Mobilisation_(2)"/>
      <sheetName val="NMR_Alt"/>
      <sheetName val="Security,Acc_&amp;_mobile_charges"/>
      <sheetName val="Backup_-_Mobilisation_(2)"/>
      <sheetName val="GM_&amp;_TA"/>
      <sheetName val="Staff_Salary"/>
      <sheetName val="Accts_Prov"/>
      <sheetName val="P_&amp;_M_"/>
      <sheetName val="C_class_items_"/>
      <sheetName val="German_tools"/>
      <sheetName val="Indian_Tools"/>
      <sheetName val="Backup_-_Mobilisation"/>
      <sheetName val="Lab_equipments"/>
      <sheetName val="Petty_cash_expenses"/>
      <sheetName val="Petty_cash-Abstract"/>
      <sheetName val="Batch_material"/>
      <sheetName val="Fin_Sum"/>
      <sheetName val="Break_up_Sheet"/>
      <sheetName val="Boq__structure_"/>
      <sheetName val="NLD_-_Assum"/>
      <sheetName val="final_abstract"/>
      <sheetName val="Civil_Boq"/>
      <sheetName val="Model_(Not_Merged)"/>
      <sheetName val="Data_sheet"/>
      <sheetName val="labour_rates"/>
      <sheetName val="Supplier"/>
      <sheetName val="_Labour_bills_-Excav,Conc_&amp;_Rf1"/>
      <sheetName val="Safety_material_-_Prorata1"/>
      <sheetName val="SAFETTY_ITEMS1"/>
      <sheetName val="Mobilisation_(2)1"/>
      <sheetName val="NMR_Alt1"/>
      <sheetName val="Security,Acc_&amp;_mobile_charges1"/>
      <sheetName val="Backup_-_Mobilisation_(2)1"/>
      <sheetName val="GM_&amp;_TA1"/>
      <sheetName val="Staff_Salary1"/>
      <sheetName val="Accts_Prov1"/>
      <sheetName val="P_&amp;_M_1"/>
      <sheetName val="C_class_items_1"/>
      <sheetName val="German_tools1"/>
      <sheetName val="Indian_Tools1"/>
      <sheetName val="Backup_-_Mobilisation1"/>
      <sheetName val="Lab_equipments1"/>
      <sheetName val="Petty_cash_expenses1"/>
      <sheetName val="Petty_cash-Abstract1"/>
      <sheetName val="Batch_material1"/>
      <sheetName val="Fin_Sum1"/>
      <sheetName val="Break_up_Sheet1"/>
      <sheetName val="Boq__structure_1"/>
      <sheetName val="NLD_-_Assum1"/>
      <sheetName val="final_abstract1"/>
      <sheetName val="Civil_Boq1"/>
      <sheetName val="Model_(Not_Merged)1"/>
      <sheetName val="Data_sheet1"/>
      <sheetName val="Headings"/>
      <sheetName val="Basement Budget"/>
      <sheetName val="p&amp;m"/>
      <sheetName val="Rate analysis"/>
      <sheetName val="Consolidated"/>
      <sheetName val="Summary year Plan"/>
      <sheetName val="Pile_cap"/>
      <sheetName val="Load_Details(B1)"/>
      <sheetName val="Summary_year_Plan"/>
      <sheetName val="labour coeff"/>
      <sheetName val="PRECAST lightconc-II"/>
      <sheetName val="Boq"/>
      <sheetName val="Assumptions"/>
      <sheetName val="Indices"/>
      <sheetName val="Footings"/>
      <sheetName val="Ward areas"/>
      <sheetName val="D-F"/>
      <sheetName val="Control"/>
      <sheetName val="COLUMN"/>
      <sheetName val="RA_markate"/>
      <sheetName val="LOOSE FURNITURE"/>
      <sheetName val="RA-markate"/>
      <sheetName val="Sheet2"/>
      <sheetName val="US RCP Sep"/>
      <sheetName val="PURCHASE REQUISITION STATUS"/>
      <sheetName val="Attributes"/>
      <sheetName val="concrete"/>
      <sheetName val="Source - Never delete"/>
      <sheetName val="Construction"/>
      <sheetName val="Labor abs-NMR"/>
      <sheetName val="XREF"/>
      <sheetName val="Arch"/>
      <sheetName val="CA"/>
      <sheetName val="Tie Beams "/>
      <sheetName val="Data"/>
      <sheetName val="FB-can-7.2.09"/>
      <sheetName val="Controls"/>
      <sheetName val="Summary - Flr wise"/>
      <sheetName val="Name Lists"/>
      <sheetName val="13. Steel - Ratio"/>
      <sheetName val="Balance sheet"/>
      <sheetName val="Sheet3 (2)"/>
      <sheetName val="organi synthesis lab"/>
      <sheetName val="Detail"/>
      <sheetName val="2.대외공문"/>
      <sheetName val="Cover"/>
      <sheetName val="ELECTRICAL BOQ"/>
      <sheetName val="CASHFLOWS"/>
      <sheetName val="Design"/>
      <sheetName val="SPT vs PHI"/>
      <sheetName val="doq"/>
      <sheetName val="Assumption Inputs"/>
      <sheetName val="Analy"/>
      <sheetName val="WPC"/>
      <sheetName val="FCCB "/>
      <sheetName val="Inter unit set off"/>
      <sheetName val="3"/>
      <sheetName val="BFS"/>
      <sheetName val="Price Comparison"/>
      <sheetName val="Settings"/>
      <sheetName val="_Labour_bills_-Excav,Conc_&amp;_Rf2"/>
      <sheetName val="Safety_material_-_Prorata2"/>
      <sheetName val="SAFETTY_ITEMS2"/>
      <sheetName val="Mobilisation_(2)2"/>
      <sheetName val="NMR_Alt2"/>
      <sheetName val="Security,Acc_&amp;_mobile_charges2"/>
      <sheetName val="Backup_-_Mobilisation_(2)2"/>
      <sheetName val="GM_&amp;_TA2"/>
      <sheetName val="Staff_Salary2"/>
      <sheetName val="Accts_Prov2"/>
      <sheetName val="P_&amp;_M_2"/>
      <sheetName val="C_class_items_2"/>
      <sheetName val="German_tools2"/>
      <sheetName val="Indian_Tools2"/>
      <sheetName val="Backup_-_Mobilisation2"/>
      <sheetName val="Lab_equipments2"/>
      <sheetName val="Petty_cash_expenses2"/>
      <sheetName val="Petty_cash-Abstract2"/>
      <sheetName val="Batch_material2"/>
      <sheetName val="Fin_Sum2"/>
      <sheetName val="Break_up_Sheet2"/>
      <sheetName val="Boq__structure_2"/>
      <sheetName val="NLD_-_Assum2"/>
      <sheetName val="final_abstract2"/>
      <sheetName val="Civil_Boq2"/>
      <sheetName val="Model_(Not_Merged)2"/>
      <sheetName val="Pile_cap1"/>
      <sheetName val="Totowa_commitment"/>
      <sheetName val="Quote_Sheet"/>
      <sheetName val="Data_sheet2"/>
      <sheetName val="Rate_analysis"/>
      <sheetName val="labour_coeff"/>
      <sheetName val="Basement_Budget"/>
      <sheetName val="Ward_areas"/>
      <sheetName val="99 조정금액"/>
      <sheetName val="계정"/>
      <sheetName val="COSTPLAN"/>
      <sheetName val="master"/>
      <sheetName val="XL4Poppy"/>
      <sheetName val="switch"/>
      <sheetName val="May"/>
      <sheetName val="Preliminaries 27-6-06"/>
      <sheetName val="Stair-Data"/>
      <sheetName val="A"/>
      <sheetName val="STEEL STRUCTURE"/>
      <sheetName val="定额"/>
      <sheetName val="Sub-str."/>
      <sheetName val="Notes"/>
      <sheetName val="Menu"/>
      <sheetName val="DOOR-WINDOW SCHEDULE"/>
      <sheetName val="BLOCK WORK-GRD FLR"/>
      <sheetName val="Name_List"/>
      <sheetName val="13M TRUSS-TOP CHORD"/>
      <sheetName val="monitoring-breakup Feb02"/>
      <sheetName val="Basic Rate"/>
      <sheetName val="RCC,Ret. Wall"/>
      <sheetName val="Material"/>
      <sheetName val="D &amp; W Schedule"/>
      <sheetName val="Input"/>
      <sheetName val="Measurements"/>
      <sheetName val="Tables"/>
      <sheetName val="Flooring"/>
      <sheetName val="Ceilings"/>
      <sheetName val="ACAD Finishes"/>
      <sheetName val="Site Details"/>
      <sheetName val="Chair"/>
      <sheetName val="Site Area Statement"/>
      <sheetName val="Doors"/>
      <sheetName val="Estimate"/>
      <sheetName val="TB"/>
      <sheetName val="BS"/>
      <sheetName val="App Q"/>
      <sheetName val="SCH99"/>
      <sheetName val="ASSET_99 "/>
      <sheetName val="Load_Details(B1)1"/>
      <sheetName val="Summary_year_Plan1"/>
      <sheetName val="Tie_Beams_"/>
      <sheetName val="Source_-_Never_delete"/>
      <sheetName val="Labor_abs-NMR"/>
      <sheetName val="Summary_-_Flr_wise"/>
      <sheetName val="Name_Lists"/>
      <sheetName val="13__Steel_-_Ratio"/>
      <sheetName val="Balance_sheet"/>
      <sheetName val="Sheet3_(2)"/>
      <sheetName val="PRECAST_lightconc-II"/>
      <sheetName val="FB-can-7_2_09"/>
      <sheetName val="organi_synthesis_lab"/>
      <sheetName val="allocation"/>
      <sheetName val="nanjprofit"/>
      <sheetName val="Schd 8 Input"/>
      <sheetName val="Option Modification"/>
      <sheetName val="ELECTRICAL_BOQ"/>
      <sheetName val="2_대외공문"/>
      <sheetName val="TS-TC"/>
      <sheetName val="IV-Utility"/>
      <sheetName val="BAG-2"/>
      <sheetName val="Fill this out first___"/>
      <sheetName val="L&amp;T Shop Floor Drawings Status"/>
      <sheetName val="12"/>
      <sheetName val="Detail P&amp;L"/>
      <sheetName val="Assumption Sheet"/>
      <sheetName val="3. Elemental Summary"/>
      <sheetName val="Door"/>
      <sheetName val="Formula"/>
      <sheetName val="List"/>
      <sheetName val="August TB"/>
      <sheetName val="Summary_CFA"/>
      <sheetName val="Lookup data"/>
      <sheetName val="two way-1"/>
      <sheetName val="PRICE COMP"/>
      <sheetName val="beam-reinft-machine rm"/>
      <sheetName val="precast RC element"/>
      <sheetName val="MAIN DOOR ANALYSIS (ENGLISH)"/>
      <sheetName val="1.1 - Capital"/>
      <sheetName val="Testing"/>
      <sheetName val="TSegDetails"/>
      <sheetName val="TMasterConsUnit"/>
      <sheetName val="RowConfig"/>
      <sheetName val="TMasterSeg"/>
      <sheetName val="ICO_budzet_97"/>
      <sheetName val="PACK (B)"/>
      <sheetName val="InputPO_Del"/>
      <sheetName val="COMPLEXALL"/>
      <sheetName val="P_L_BDMC"/>
      <sheetName val="Global Factors"/>
      <sheetName val="electr_ work CA "/>
      <sheetName val="WBS"/>
      <sheetName val="Civil Meas"/>
      <sheetName val="DETAIL SHEET"/>
      <sheetName val="Linked Lead"/>
      <sheetName val="품의서(TL)"/>
      <sheetName val="sept-plan"/>
      <sheetName val="9. Package split - Cost "/>
      <sheetName val="Scaff_Rose"/>
      <sheetName val="std.wt."/>
      <sheetName val="Load Details(B2)"/>
      <sheetName val="CABLERET"/>
      <sheetName val="Costing"/>
      <sheetName val="Detail 1A"/>
      <sheetName val="Pay_Sep06"/>
      <sheetName val="Structure Bills Qty"/>
      <sheetName val="HEAD"/>
      <sheetName val="Intro"/>
      <sheetName val="GBW"/>
      <sheetName val="RECAPITULATION"/>
      <sheetName val="9"/>
      <sheetName val="REPAIR&amp; MAINT"/>
      <sheetName val="Aseet1998"/>
      <sheetName val="Q&amp;pl-V"/>
      <sheetName val="dummy"/>
      <sheetName val="Insts"/>
      <sheetName val="INDIGINEOUS ITEMS "/>
      <sheetName val="INDEX"/>
      <sheetName val="AREAS"/>
      <sheetName val="dBase"/>
      <sheetName val="Field Values"/>
      <sheetName val="FORM7"/>
      <sheetName val="BASIS -DEC 08"/>
      <sheetName val="p1-costg"/>
      <sheetName val="coa_ramco_168"/>
      <sheetName val="Lagerhalle"/>
      <sheetName val="pile rec(N Max tr)"/>
      <sheetName val="Extras"/>
      <sheetName val="_Labour_bills_-Excav,Conc_&amp;_Rf3"/>
      <sheetName val="Safety_material_-_Prorata3"/>
      <sheetName val="SAFETTY_ITEMS3"/>
      <sheetName val="Mobilisation_(2)3"/>
      <sheetName val="NMR_Alt3"/>
      <sheetName val="Security,Acc_&amp;_mobile_charges3"/>
      <sheetName val="Backup_-_Mobilisation_(2)3"/>
      <sheetName val="GM_&amp;_TA3"/>
      <sheetName val="Staff_Salary3"/>
      <sheetName val="Accts_Prov3"/>
      <sheetName val="P_&amp;_M_3"/>
      <sheetName val="C_class_items_3"/>
      <sheetName val="German_tools3"/>
      <sheetName val="Indian_Tools3"/>
      <sheetName val="Backup_-_Mobilisation3"/>
      <sheetName val="Lab_equipments3"/>
      <sheetName val="Petty_cash_expenses3"/>
      <sheetName val="Petty_cash-Abstract3"/>
      <sheetName val="Batch_material3"/>
      <sheetName val="Fin_Sum3"/>
      <sheetName val="Break_up_Sheet3"/>
      <sheetName val="Boq__structure_3"/>
      <sheetName val="NLD_-_Assum3"/>
      <sheetName val="final_abstract3"/>
      <sheetName val="Civil_Boq3"/>
      <sheetName val="Model_(Not_Merged)3"/>
      <sheetName val="Pile_cap2"/>
      <sheetName val="Totowa_commitment1"/>
      <sheetName val="Quote_Sheet1"/>
      <sheetName val="Data_sheet3"/>
      <sheetName val="SPT_vs_PHI"/>
      <sheetName val="US_RCP_Sep"/>
      <sheetName val="PURCHASE_REQUISITION_STATUS"/>
      <sheetName val="Assumption_Inputs"/>
      <sheetName val="Preliminaries_27-6-06"/>
      <sheetName val="DOOR-WINDOW_SCHEDULE"/>
      <sheetName val="BLOCK_WORK-GRD_FLR"/>
      <sheetName val="STEEL_STRUCTURE"/>
      <sheetName val="Sub-str_"/>
      <sheetName val="Price_Comparison"/>
      <sheetName val="13M_TRUSS-TOP_CHORD"/>
      <sheetName val="_Labour_bills_-Excav,Conc_&amp;_Rf4"/>
      <sheetName val="Safety_material_-_Prorata4"/>
      <sheetName val="SAFETTY_ITEMS4"/>
      <sheetName val="Mobilisation_(2)4"/>
      <sheetName val="NMR_Alt4"/>
      <sheetName val="Security,Acc_&amp;_mobile_charges4"/>
      <sheetName val="Backup_-_Mobilisation_(2)4"/>
      <sheetName val="GM_&amp;_TA4"/>
      <sheetName val="Staff_Salary4"/>
      <sheetName val="Accts_Prov4"/>
      <sheetName val="P_&amp;_M_4"/>
      <sheetName val="C_class_items_4"/>
      <sheetName val="German_tools4"/>
      <sheetName val="Indian_Tools4"/>
      <sheetName val="Backup_-_Mobilisation4"/>
      <sheetName val="Lab_equipments4"/>
      <sheetName val="Petty_cash_expenses4"/>
      <sheetName val="Petty_cash-Abstract4"/>
      <sheetName val="Batch_material4"/>
      <sheetName val="Break_up_Sheet4"/>
      <sheetName val="Fin_Sum4"/>
      <sheetName val="Boq__structure_4"/>
      <sheetName val="NLD_-_Assum4"/>
      <sheetName val="final_abstract4"/>
      <sheetName val="Civil_Boq4"/>
      <sheetName val="Model_(Not_Merged)4"/>
      <sheetName val="Pile_cap3"/>
      <sheetName val="Load_Details(B1)2"/>
      <sheetName val="Summary_year_Plan2"/>
      <sheetName val="Data_sheet4"/>
      <sheetName val="Rate_analysis1"/>
      <sheetName val="Quote_Sheet2"/>
      <sheetName val="Totowa_commitment2"/>
      <sheetName val="Basement_Budget1"/>
      <sheetName val="Ward_areas1"/>
      <sheetName val="ELECTRICAL_BOQ1"/>
      <sheetName val="FB-can-7_2_091"/>
      <sheetName val="2_대외공문1"/>
      <sheetName val="labour_coeff1"/>
      <sheetName val="Tie_Beams_1"/>
      <sheetName val="Source_-_Never_delete1"/>
      <sheetName val="Labor_abs-NMR1"/>
      <sheetName val="Summary_-_Flr_wise1"/>
      <sheetName val="Name_Lists1"/>
      <sheetName val="13__Steel_-_Ratio1"/>
      <sheetName val="Balance_sheet1"/>
      <sheetName val="Sheet3_(2)1"/>
      <sheetName val="PRECAST_lightconc-II1"/>
      <sheetName val="organi_synthesis_lab1"/>
      <sheetName val="SPT_vs_PHI1"/>
      <sheetName val="US_RCP_Sep1"/>
      <sheetName val="PURCHASE_REQUISITION_STATUS1"/>
      <sheetName val="Assumption_Inputs1"/>
      <sheetName val="Preliminaries_27-6-061"/>
      <sheetName val="DOOR-WINDOW_SCHEDULE1"/>
      <sheetName val="BLOCK_WORK-GRD_FLR1"/>
      <sheetName val="STEEL_STRUCTURE1"/>
      <sheetName val="Sub-str_1"/>
      <sheetName val="Price_Comparison1"/>
      <sheetName val="13M_TRUSS-TOP_CHORD1"/>
      <sheetName val="Lead"/>
      <sheetName val="Material "/>
      <sheetName val="Page1"/>
      <sheetName val="?????"/>
      <sheetName val="BOQ -II ph 2"/>
      <sheetName val="Column Bracket"/>
      <sheetName val="Tax Invoice"/>
      <sheetName val="SOQR RIL Format"/>
      <sheetName val="60-30-10"/>
      <sheetName val="SAP"/>
      <sheetName val="WD"/>
      <sheetName val="MEASUREMENT SHEET "/>
      <sheetName val="SCREEDING WRK"/>
      <sheetName val="Sub Summary"/>
      <sheetName val="SOLID BLOCK"/>
      <sheetName val="LIGHT WT BLOCK"/>
      <sheetName val="INTERNAL PLASTER 15 mm"/>
      <sheetName val="currency"/>
      <sheetName val="OST_DATA"/>
      <sheetName val="Calc"/>
      <sheetName val="Reconcilliation"/>
      <sheetName val="% completion"/>
      <sheetName val="inWords"/>
      <sheetName val="internet"/>
      <sheetName val="AutoOpen Stub Data"/>
      <sheetName val="pricesummary"/>
      <sheetName val="Approved MTD Proj #'s"/>
    </sheetNames>
    <sheetDataSet>
      <sheetData sheetId="0">
        <row r="5">
          <cell r="F5" t="str">
            <v>No of Days</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row r="1">
          <cell r="F1">
            <v>0</v>
          </cell>
        </row>
      </sheetData>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row r="5">
          <cell r="F5" t="str">
            <v>No of Days</v>
          </cell>
        </row>
      </sheetData>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row r="5">
          <cell r="F5" t="str">
            <v>No of Days</v>
          </cell>
        </row>
      </sheetData>
      <sheetData sheetId="363"/>
      <sheetData sheetId="364">
        <row r="5">
          <cell r="F5" t="str">
            <v>No of Days</v>
          </cell>
        </row>
      </sheetData>
      <sheetData sheetId="365">
        <row r="5">
          <cell r="F5" t="str">
            <v>No of Days</v>
          </cell>
        </row>
      </sheetData>
      <sheetData sheetId="366"/>
      <sheetData sheetId="367"/>
      <sheetData sheetId="368"/>
      <sheetData sheetId="369">
        <row r="5">
          <cell r="F5" t="str">
            <v>No of Days</v>
          </cell>
        </row>
      </sheetData>
      <sheetData sheetId="370"/>
      <sheetData sheetId="371">
        <row r="5">
          <cell r="F5" t="str">
            <v>No of Days</v>
          </cell>
        </row>
      </sheetData>
      <sheetData sheetId="372"/>
      <sheetData sheetId="373"/>
      <sheetData sheetId="374"/>
      <sheetData sheetId="375">
        <row r="5">
          <cell r="F5" t="str">
            <v>No of Days</v>
          </cell>
        </row>
      </sheetData>
      <sheetData sheetId="376"/>
      <sheetData sheetId="377"/>
      <sheetData sheetId="378"/>
      <sheetData sheetId="379"/>
      <sheetData sheetId="380"/>
      <sheetData sheetId="381">
        <row r="5">
          <cell r="F5" t="str">
            <v>No of Days</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row r="5">
          <cell r="F5" t="str">
            <v>No of Days</v>
          </cell>
        </row>
      </sheetData>
      <sheetData sheetId="404"/>
      <sheetData sheetId="405"/>
      <sheetData sheetId="406"/>
      <sheetData sheetId="407"/>
      <sheetData sheetId="408"/>
      <sheetData sheetId="409"/>
      <sheetData sheetId="410">
        <row r="5">
          <cell r="F5" t="str">
            <v>No of Days</v>
          </cell>
        </row>
      </sheetData>
      <sheetData sheetId="411"/>
      <sheetData sheetId="412"/>
      <sheetData sheetId="413"/>
      <sheetData sheetId="414"/>
      <sheetData sheetId="415"/>
      <sheetData sheetId="416">
        <row r="5">
          <cell r="F5" t="str">
            <v>No of Days</v>
          </cell>
        </row>
      </sheetData>
      <sheetData sheetId="417"/>
      <sheetData sheetId="418"/>
      <sheetData sheetId="419"/>
      <sheetData sheetId="420">
        <row r="5">
          <cell r="F5" t="str">
            <v>No of Days</v>
          </cell>
        </row>
      </sheetData>
      <sheetData sheetId="421"/>
      <sheetData sheetId="422">
        <row r="5">
          <cell r="F5" t="str">
            <v>No of Days</v>
          </cell>
        </row>
      </sheetData>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row r="1">
          <cell r="F1">
            <v>0</v>
          </cell>
        </row>
      </sheetData>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6"/>
  <sheetViews>
    <sheetView topLeftCell="A19" workbookViewId="0">
      <selection activeCell="B25" sqref="B25"/>
    </sheetView>
  </sheetViews>
  <sheetFormatPr defaultColWidth="9.140625" defaultRowHeight="15"/>
  <cols>
    <col min="1" max="1" width="7.42578125" style="1" customWidth="1"/>
    <col min="2" max="2" width="51.42578125" style="1" customWidth="1"/>
    <col min="3" max="3" width="26.140625" style="1" customWidth="1"/>
    <col min="4" max="4" width="19" style="1" customWidth="1"/>
    <col min="5" max="5" width="17.28515625" style="1" customWidth="1"/>
    <col min="6" max="6" width="9.140625" style="1"/>
    <col min="7" max="7" width="15.7109375" style="1" bestFit="1" customWidth="1"/>
    <col min="8" max="8" width="9.140625" style="1"/>
    <col min="9" max="10" width="10.140625" style="1" bestFit="1" customWidth="1"/>
    <col min="11" max="16384" width="9.140625" style="1"/>
  </cols>
  <sheetData>
    <row r="1" spans="1:7" ht="20.25">
      <c r="A1" s="310" t="s">
        <v>27</v>
      </c>
      <c r="B1" s="311"/>
      <c r="C1" s="311"/>
      <c r="D1" s="311"/>
      <c r="E1" s="311"/>
    </row>
    <row r="2" spans="1:7" ht="15.75">
      <c r="A2" s="312" t="s">
        <v>28</v>
      </c>
      <c r="B2" s="313"/>
      <c r="C2" s="313"/>
      <c r="D2" s="313"/>
      <c r="E2" s="313"/>
    </row>
    <row r="3" spans="1:7" ht="21.75" customHeight="1">
      <c r="A3" s="2"/>
      <c r="B3" s="3" t="s">
        <v>29</v>
      </c>
      <c r="C3" s="4"/>
      <c r="D3" s="314"/>
      <c r="E3" s="315"/>
      <c r="F3" s="5"/>
    </row>
    <row r="4" spans="1:7" ht="18" customHeight="1">
      <c r="A4" s="316" t="s">
        <v>1</v>
      </c>
      <c r="B4" s="318" t="s">
        <v>30</v>
      </c>
      <c r="C4" s="318" t="s">
        <v>31</v>
      </c>
      <c r="D4" s="320" t="s">
        <v>32</v>
      </c>
      <c r="E4" s="320"/>
      <c r="F4" s="6"/>
    </row>
    <row r="5" spans="1:7" ht="21.75" customHeight="1">
      <c r="A5" s="317"/>
      <c r="B5" s="319"/>
      <c r="C5" s="319"/>
      <c r="D5" s="7">
        <v>259280</v>
      </c>
      <c r="E5" s="8" t="s">
        <v>33</v>
      </c>
    </row>
    <row r="6" spans="1:7">
      <c r="A6" s="9" t="s">
        <v>5</v>
      </c>
      <c r="B6" s="10" t="s">
        <v>34</v>
      </c>
      <c r="C6" s="11"/>
      <c r="D6" s="12"/>
      <c r="E6" s="13"/>
    </row>
    <row r="7" spans="1:7" s="14" customFormat="1" ht="26.25" customHeight="1">
      <c r="A7" s="15" t="s">
        <v>35</v>
      </c>
      <c r="B7" s="16" t="s">
        <v>36</v>
      </c>
      <c r="C7" s="17">
        <f>+D7*$D$5</f>
        <v>4667040</v>
      </c>
      <c r="D7" s="18">
        <v>18</v>
      </c>
      <c r="E7" s="19"/>
    </row>
    <row r="8" spans="1:7" ht="8.25" customHeight="1">
      <c r="A8" s="20"/>
      <c r="B8" s="21" t="s">
        <v>29</v>
      </c>
      <c r="C8" s="22"/>
      <c r="D8" s="23"/>
      <c r="E8" s="24"/>
    </row>
    <row r="9" spans="1:7" s="14" customFormat="1" ht="26.25" customHeight="1">
      <c r="A9" s="25" t="s">
        <v>37</v>
      </c>
      <c r="B9" s="16" t="s">
        <v>38</v>
      </c>
      <c r="C9" s="17">
        <f>+D9*$D$5</f>
        <v>53152400</v>
      </c>
      <c r="D9" s="18">
        <v>205</v>
      </c>
      <c r="E9" s="19"/>
      <c r="G9" s="1"/>
    </row>
    <row r="10" spans="1:7" ht="8.25" customHeight="1">
      <c r="A10" s="26"/>
      <c r="B10" s="21"/>
      <c r="C10" s="22"/>
      <c r="D10" s="23"/>
      <c r="E10" s="24"/>
    </row>
    <row r="11" spans="1:7" s="14" customFormat="1" ht="26.25" customHeight="1">
      <c r="A11" s="25" t="s">
        <v>39</v>
      </c>
      <c r="B11" s="16" t="s">
        <v>40</v>
      </c>
      <c r="C11" s="17">
        <f>+D11*$D$5</f>
        <v>16075360</v>
      </c>
      <c r="D11" s="18">
        <v>62</v>
      </c>
      <c r="E11" s="19"/>
    </row>
    <row r="12" spans="1:7" ht="7.5" customHeight="1">
      <c r="A12" s="26"/>
      <c r="B12" s="21"/>
      <c r="C12" s="22"/>
      <c r="D12" s="23"/>
      <c r="E12" s="24"/>
    </row>
    <row r="13" spans="1:7" s="14" customFormat="1" ht="26.25" customHeight="1">
      <c r="A13" s="25" t="s">
        <v>41</v>
      </c>
      <c r="B13" s="16" t="s">
        <v>42</v>
      </c>
      <c r="C13" s="17">
        <f>+D13*$D$5</f>
        <v>84266000</v>
      </c>
      <c r="D13" s="18">
        <v>325</v>
      </c>
      <c r="E13" s="19"/>
    </row>
    <row r="14" spans="1:7" ht="7.5" customHeight="1">
      <c r="A14" s="26"/>
      <c r="B14" s="27"/>
      <c r="C14" s="22"/>
      <c r="D14" s="23"/>
      <c r="E14" s="24"/>
    </row>
    <row r="15" spans="1:7" s="14" customFormat="1" ht="26.25" customHeight="1">
      <c r="A15" s="25" t="s">
        <v>43</v>
      </c>
      <c r="B15" s="16" t="s">
        <v>44</v>
      </c>
      <c r="C15" s="17">
        <f>+D15*$D$5</f>
        <v>29817200</v>
      </c>
      <c r="D15" s="18">
        <v>115</v>
      </c>
      <c r="E15" s="19"/>
    </row>
    <row r="16" spans="1:7" ht="7.5" customHeight="1">
      <c r="A16" s="26"/>
      <c r="B16" s="27"/>
      <c r="C16" s="22"/>
      <c r="D16" s="23"/>
      <c r="E16" s="24"/>
    </row>
    <row r="17" spans="1:8" s="14" customFormat="1" ht="26.25" customHeight="1">
      <c r="A17" s="25" t="s">
        <v>45</v>
      </c>
      <c r="B17" s="16" t="s">
        <v>46</v>
      </c>
      <c r="C17" s="17">
        <f>+D17*$D$5</f>
        <v>32410000</v>
      </c>
      <c r="D17" s="18">
        <v>125</v>
      </c>
      <c r="E17" s="19"/>
      <c r="G17" s="28"/>
      <c r="H17" s="28"/>
    </row>
    <row r="18" spans="1:8" ht="9" customHeight="1">
      <c r="A18" s="26"/>
      <c r="B18" s="27"/>
      <c r="C18" s="22"/>
      <c r="D18" s="23"/>
      <c r="E18" s="24"/>
    </row>
    <row r="19" spans="1:8" s="14" customFormat="1" ht="26.25" customHeight="1">
      <c r="A19" s="25" t="s">
        <v>47</v>
      </c>
      <c r="B19" s="16" t="s">
        <v>48</v>
      </c>
      <c r="C19" s="17">
        <f>+D19*$D$5</f>
        <v>4634291.3217387693</v>
      </c>
      <c r="D19" s="18">
        <v>17.873693774061898</v>
      </c>
      <c r="E19" s="19"/>
    </row>
    <row r="20" spans="1:8" ht="8.25" customHeight="1">
      <c r="A20" s="26"/>
      <c r="B20" s="27"/>
      <c r="C20" s="22"/>
      <c r="D20" s="23"/>
      <c r="E20" s="24"/>
    </row>
    <row r="21" spans="1:8" s="14" customFormat="1" ht="26.25" customHeight="1">
      <c r="A21" s="25" t="s">
        <v>49</v>
      </c>
      <c r="B21" s="16" t="s">
        <v>50</v>
      </c>
      <c r="C21" s="17">
        <f>+D21*$D$5</f>
        <v>30595040</v>
      </c>
      <c r="D21" s="18">
        <v>118</v>
      </c>
      <c r="E21" s="19"/>
    </row>
    <row r="22" spans="1:8" ht="7.5" customHeight="1">
      <c r="A22" s="26"/>
      <c r="B22" s="27"/>
      <c r="C22" s="22"/>
      <c r="D22" s="23"/>
      <c r="E22" s="24"/>
    </row>
    <row r="23" spans="1:8" s="14" customFormat="1" ht="26.25" customHeight="1">
      <c r="A23" s="25" t="s">
        <v>51</v>
      </c>
      <c r="B23" s="16" t="s">
        <v>52</v>
      </c>
      <c r="C23" s="17">
        <f>+D23*$D$5</f>
        <v>1555680</v>
      </c>
      <c r="D23" s="18">
        <v>6</v>
      </c>
      <c r="E23" s="19"/>
    </row>
    <row r="24" spans="1:8" ht="7.5" customHeight="1">
      <c r="A24" s="26"/>
      <c r="B24" s="27"/>
      <c r="C24" s="22"/>
      <c r="D24" s="23"/>
      <c r="E24" s="24"/>
    </row>
    <row r="25" spans="1:8" s="14" customFormat="1" ht="26.25" customHeight="1">
      <c r="A25" s="25" t="s">
        <v>53</v>
      </c>
      <c r="B25" s="16" t="s">
        <v>54</v>
      </c>
      <c r="C25" s="17">
        <f>+D25*$D$5</f>
        <v>45374000</v>
      </c>
      <c r="D25" s="18">
        <v>175</v>
      </c>
      <c r="E25" s="19"/>
    </row>
    <row r="26" spans="1:8" s="14" customFormat="1" ht="9" customHeight="1">
      <c r="A26" s="25"/>
      <c r="B26" s="16"/>
      <c r="C26" s="17"/>
      <c r="D26" s="18"/>
      <c r="E26" s="19"/>
    </row>
    <row r="27" spans="1:8" s="14" customFormat="1" ht="31.5">
      <c r="A27" s="25" t="s">
        <v>55</v>
      </c>
      <c r="B27" s="29" t="s">
        <v>92</v>
      </c>
      <c r="C27" s="17">
        <v>66327503.423999995</v>
      </c>
      <c r="D27" s="18">
        <f>+C27/$D$5</f>
        <v>255.81419092872568</v>
      </c>
      <c r="E27" s="19"/>
      <c r="G27" s="30"/>
    </row>
    <row r="28" spans="1:8" s="14" customFormat="1" ht="9" customHeight="1">
      <c r="A28" s="25"/>
      <c r="B28" s="16"/>
      <c r="C28" s="17"/>
      <c r="D28" s="18"/>
      <c r="E28" s="19"/>
    </row>
    <row r="29" spans="1:8" s="14" customFormat="1" ht="26.25" customHeight="1">
      <c r="A29" s="25" t="s">
        <v>56</v>
      </c>
      <c r="B29" s="16" t="s">
        <v>57</v>
      </c>
      <c r="C29" s="17">
        <f>+D29*$D$5</f>
        <v>2312777.6</v>
      </c>
      <c r="D29" s="18">
        <v>8.92</v>
      </c>
      <c r="E29" s="19"/>
    </row>
    <row r="30" spans="1:8" ht="6.75" customHeight="1">
      <c r="A30" s="31"/>
      <c r="B30" s="32"/>
      <c r="C30" s="33"/>
      <c r="D30" s="23"/>
      <c r="E30" s="34"/>
    </row>
    <row r="31" spans="1:8" s="14" customFormat="1" ht="26.25" customHeight="1">
      <c r="A31" s="25" t="s">
        <v>58</v>
      </c>
      <c r="B31" s="16" t="s">
        <v>59</v>
      </c>
      <c r="C31" s="17">
        <f>+D31*$D$5</f>
        <v>7778400</v>
      </c>
      <c r="D31" s="18">
        <v>30</v>
      </c>
      <c r="E31" s="19"/>
    </row>
    <row r="32" spans="1:8" ht="9" customHeight="1">
      <c r="A32" s="31"/>
      <c r="B32" s="32"/>
      <c r="C32" s="33"/>
      <c r="D32" s="23"/>
      <c r="E32" s="34"/>
    </row>
    <row r="33" spans="1:5" s="14" customFormat="1" ht="26.25" customHeight="1">
      <c r="A33" s="35"/>
      <c r="B33" s="36" t="s">
        <v>60</v>
      </c>
      <c r="C33" s="37">
        <f>SUM(C7:C32)</f>
        <v>378965692.34573877</v>
      </c>
      <c r="D33" s="38">
        <f>SUM(D7:D32)</f>
        <v>1461.6078847027875</v>
      </c>
      <c r="E33" s="39"/>
    </row>
    <row r="34" spans="1:5">
      <c r="A34" s="40"/>
      <c r="B34" s="41"/>
      <c r="C34" s="11"/>
      <c r="D34" s="42"/>
      <c r="E34" s="43"/>
    </row>
    <row r="35" spans="1:5">
      <c r="A35" s="44" t="s">
        <v>17</v>
      </c>
      <c r="B35" s="45" t="s">
        <v>61</v>
      </c>
      <c r="C35" s="22"/>
      <c r="D35" s="46"/>
      <c r="E35" s="47"/>
    </row>
    <row r="36" spans="1:5" s="14" customFormat="1" ht="26.25" customHeight="1">
      <c r="A36" s="25" t="s">
        <v>35</v>
      </c>
      <c r="B36" s="16" t="s">
        <v>62</v>
      </c>
      <c r="C36" s="17">
        <f>+D36*$D$5</f>
        <v>18149600</v>
      </c>
      <c r="D36" s="18">
        <v>70</v>
      </c>
      <c r="E36" s="19"/>
    </row>
    <row r="37" spans="1:5" ht="6.75" customHeight="1">
      <c r="A37" s="26"/>
      <c r="B37" s="21"/>
      <c r="C37" s="22"/>
      <c r="D37" s="23"/>
      <c r="E37" s="24"/>
    </row>
    <row r="38" spans="1:5" s="14" customFormat="1" ht="26.25" customHeight="1">
      <c r="A38" s="25" t="s">
        <v>37</v>
      </c>
      <c r="B38" s="16" t="s">
        <v>63</v>
      </c>
      <c r="C38" s="17">
        <f>+D38*$D$5</f>
        <v>18149600</v>
      </c>
      <c r="D38" s="18">
        <v>70</v>
      </c>
      <c r="E38" s="19"/>
    </row>
    <row r="39" spans="1:5" ht="7.5" customHeight="1">
      <c r="A39" s="26"/>
      <c r="B39" s="21"/>
      <c r="C39" s="22"/>
      <c r="D39" s="23"/>
      <c r="E39" s="24"/>
    </row>
    <row r="40" spans="1:5" s="14" customFormat="1" ht="26.25" customHeight="1">
      <c r="A40" s="25" t="s">
        <v>39</v>
      </c>
      <c r="B40" s="16" t="s">
        <v>64</v>
      </c>
      <c r="C40" s="17">
        <f>+D40*$D$5</f>
        <v>12964000</v>
      </c>
      <c r="D40" s="18">
        <v>50</v>
      </c>
      <c r="E40" s="19"/>
    </row>
    <row r="41" spans="1:5" ht="6" customHeight="1">
      <c r="A41" s="26"/>
      <c r="B41" s="21"/>
      <c r="C41" s="22"/>
      <c r="D41" s="23"/>
      <c r="E41" s="24"/>
    </row>
    <row r="42" spans="1:5" s="14" customFormat="1" ht="26.25" customHeight="1">
      <c r="A42" s="25" t="s">
        <v>41</v>
      </c>
      <c r="B42" s="16" t="s">
        <v>65</v>
      </c>
      <c r="C42" s="17">
        <f>+D42*$D$5</f>
        <v>12964000</v>
      </c>
      <c r="D42" s="18">
        <v>50</v>
      </c>
      <c r="E42" s="19"/>
    </row>
    <row r="43" spans="1:5" ht="6" customHeight="1">
      <c r="A43" s="26"/>
      <c r="B43" s="21"/>
      <c r="C43" s="22"/>
      <c r="D43" s="23"/>
      <c r="E43" s="24"/>
    </row>
    <row r="44" spans="1:5" s="14" customFormat="1" ht="26.25" customHeight="1">
      <c r="A44" s="25" t="s">
        <v>43</v>
      </c>
      <c r="B44" s="16" t="s">
        <v>66</v>
      </c>
      <c r="C44" s="17">
        <f>+D44*$D$5</f>
        <v>7778400</v>
      </c>
      <c r="D44" s="18">
        <v>30</v>
      </c>
      <c r="E44" s="19"/>
    </row>
    <row r="45" spans="1:5" ht="7.5" customHeight="1">
      <c r="A45" s="26"/>
      <c r="B45" s="21"/>
      <c r="C45" s="22"/>
      <c r="D45" s="23"/>
      <c r="E45" s="24"/>
    </row>
    <row r="46" spans="1:5" s="14" customFormat="1" ht="26.25" customHeight="1">
      <c r="A46" s="25" t="s">
        <v>67</v>
      </c>
      <c r="B46" s="16" t="s">
        <v>94</v>
      </c>
      <c r="C46" s="17">
        <f>+D46*$D$5</f>
        <v>0</v>
      </c>
      <c r="D46" s="18">
        <v>0</v>
      </c>
      <c r="E46" s="19"/>
    </row>
    <row r="47" spans="1:5" ht="7.5" customHeight="1">
      <c r="A47" s="26"/>
      <c r="B47" s="21"/>
      <c r="C47" s="22"/>
      <c r="D47" s="23"/>
      <c r="E47" s="24"/>
    </row>
    <row r="48" spans="1:5" s="14" customFormat="1" ht="26.25" customHeight="1">
      <c r="A48" s="25" t="s">
        <v>47</v>
      </c>
      <c r="B48" s="16" t="s">
        <v>68</v>
      </c>
      <c r="C48" s="17">
        <f>+D48*$D$5</f>
        <v>12964000</v>
      </c>
      <c r="D48" s="18">
        <v>50</v>
      </c>
      <c r="E48" s="19"/>
    </row>
    <row r="49" spans="1:5" ht="20.25" customHeight="1">
      <c r="A49" s="48"/>
      <c r="B49" s="49"/>
      <c r="C49" s="50"/>
      <c r="D49" s="51"/>
      <c r="E49" s="52"/>
    </row>
    <row r="50" spans="1:5" s="14" customFormat="1" ht="26.25" customHeight="1">
      <c r="A50" s="35"/>
      <c r="B50" s="53" t="s">
        <v>95</v>
      </c>
      <c r="C50" s="54">
        <f>SUM(C36:C48)</f>
        <v>82969600</v>
      </c>
      <c r="D50" s="38">
        <f>SUM(D36:D48)</f>
        <v>320</v>
      </c>
      <c r="E50" s="55"/>
    </row>
    <row r="51" spans="1:5" ht="9" customHeight="1">
      <c r="A51" s="26"/>
      <c r="B51" s="27"/>
      <c r="C51" s="22"/>
      <c r="D51" s="23"/>
      <c r="E51" s="24"/>
    </row>
    <row r="52" spans="1:5" hidden="1">
      <c r="A52" s="56" t="s">
        <v>69</v>
      </c>
      <c r="B52" s="45" t="s">
        <v>65</v>
      </c>
      <c r="C52" s="22"/>
      <c r="D52" s="23"/>
      <c r="E52" s="24"/>
    </row>
    <row r="53" spans="1:5" ht="7.5" hidden="1" customHeight="1">
      <c r="A53" s="20"/>
      <c r="B53" s="21" t="s">
        <v>29</v>
      </c>
      <c r="C53" s="22"/>
      <c r="D53" s="23"/>
      <c r="E53" s="24"/>
    </row>
    <row r="54" spans="1:5" hidden="1">
      <c r="A54" s="20" t="s">
        <v>70</v>
      </c>
      <c r="B54" s="21" t="s">
        <v>71</v>
      </c>
      <c r="C54" s="22"/>
      <c r="D54" s="23">
        <f>C54/$D$5</f>
        <v>0</v>
      </c>
      <c r="E54" s="24"/>
    </row>
    <row r="55" spans="1:5" ht="7.5" hidden="1" customHeight="1">
      <c r="A55" s="20"/>
      <c r="B55" s="21" t="s">
        <v>29</v>
      </c>
      <c r="C55" s="22"/>
      <c r="D55" s="23">
        <f t="shared" ref="D55:D72" si="0">C55/$D$5</f>
        <v>0</v>
      </c>
      <c r="E55" s="24"/>
    </row>
    <row r="56" spans="1:5" hidden="1">
      <c r="A56" s="26" t="s">
        <v>72</v>
      </c>
      <c r="B56" s="21" t="s">
        <v>73</v>
      </c>
      <c r="C56" s="22"/>
      <c r="D56" s="23">
        <f t="shared" si="0"/>
        <v>0</v>
      </c>
      <c r="E56" s="24"/>
    </row>
    <row r="57" spans="1:5" ht="6" hidden="1" customHeight="1">
      <c r="A57" s="26"/>
      <c r="B57" s="21"/>
      <c r="C57" s="22"/>
      <c r="D57" s="23">
        <f t="shared" si="0"/>
        <v>0</v>
      </c>
      <c r="E57" s="24"/>
    </row>
    <row r="58" spans="1:5" hidden="1">
      <c r="A58" s="26" t="s">
        <v>74</v>
      </c>
      <c r="B58" s="21" t="s">
        <v>75</v>
      </c>
      <c r="C58" s="22"/>
      <c r="D58" s="23">
        <f t="shared" si="0"/>
        <v>0</v>
      </c>
      <c r="E58" s="24"/>
    </row>
    <row r="59" spans="1:5" ht="6" hidden="1" customHeight="1">
      <c r="A59" s="26"/>
      <c r="B59" s="21"/>
      <c r="C59" s="22"/>
      <c r="D59" s="23">
        <f t="shared" si="0"/>
        <v>0</v>
      </c>
      <c r="E59" s="24"/>
    </row>
    <row r="60" spans="1:5" hidden="1">
      <c r="A60" s="26" t="s">
        <v>76</v>
      </c>
      <c r="B60" s="21" t="s">
        <v>77</v>
      </c>
      <c r="C60" s="22"/>
      <c r="D60" s="23">
        <f t="shared" si="0"/>
        <v>0</v>
      </c>
      <c r="E60" s="24"/>
    </row>
    <row r="61" spans="1:5" ht="6" hidden="1" customHeight="1">
      <c r="A61" s="26"/>
      <c r="B61" s="21"/>
      <c r="C61" s="22"/>
      <c r="D61" s="23">
        <f t="shared" si="0"/>
        <v>0</v>
      </c>
      <c r="E61" s="24"/>
    </row>
    <row r="62" spans="1:5" hidden="1">
      <c r="A62" s="26" t="s">
        <v>78</v>
      </c>
      <c r="B62" s="21" t="s">
        <v>79</v>
      </c>
      <c r="C62" s="22"/>
      <c r="D62" s="23">
        <f t="shared" si="0"/>
        <v>0</v>
      </c>
      <c r="E62" s="24"/>
    </row>
    <row r="63" spans="1:5" ht="7.5" hidden="1" customHeight="1">
      <c r="A63" s="26"/>
      <c r="B63" s="21"/>
      <c r="C63" s="22"/>
      <c r="D63" s="23">
        <f t="shared" si="0"/>
        <v>0</v>
      </c>
      <c r="E63" s="24"/>
    </row>
    <row r="64" spans="1:5" hidden="1">
      <c r="A64" s="26" t="s">
        <v>80</v>
      </c>
      <c r="B64" s="21" t="s">
        <v>81</v>
      </c>
      <c r="C64" s="22"/>
      <c r="D64" s="23">
        <f t="shared" si="0"/>
        <v>0</v>
      </c>
      <c r="E64" s="24"/>
    </row>
    <row r="65" spans="1:7" ht="6.75" hidden="1" customHeight="1">
      <c r="A65" s="26"/>
      <c r="B65" s="21"/>
      <c r="C65" s="22"/>
      <c r="D65" s="23">
        <f t="shared" si="0"/>
        <v>0</v>
      </c>
      <c r="E65" s="24"/>
    </row>
    <row r="66" spans="1:7" hidden="1">
      <c r="A66" s="26" t="s">
        <v>82</v>
      </c>
      <c r="B66" s="21" t="s">
        <v>83</v>
      </c>
      <c r="C66" s="22"/>
      <c r="D66" s="23">
        <f t="shared" si="0"/>
        <v>0</v>
      </c>
      <c r="E66" s="24"/>
    </row>
    <row r="67" spans="1:7" ht="6.75" hidden="1" customHeight="1">
      <c r="A67" s="26"/>
      <c r="B67" s="21"/>
      <c r="C67" s="22"/>
      <c r="D67" s="23">
        <f t="shared" si="0"/>
        <v>0</v>
      </c>
      <c r="E67" s="24"/>
    </row>
    <row r="68" spans="1:7" ht="45" hidden="1">
      <c r="A68" s="26" t="s">
        <v>84</v>
      </c>
      <c r="B68" s="57" t="s">
        <v>85</v>
      </c>
      <c r="C68" s="22"/>
      <c r="D68" s="23">
        <f t="shared" si="0"/>
        <v>0</v>
      </c>
      <c r="E68" s="24"/>
    </row>
    <row r="69" spans="1:7" ht="7.5" hidden="1" customHeight="1">
      <c r="A69" s="26"/>
      <c r="B69" s="21"/>
      <c r="C69" s="22"/>
      <c r="D69" s="23">
        <f t="shared" si="0"/>
        <v>0</v>
      </c>
      <c r="E69" s="24"/>
    </row>
    <row r="70" spans="1:7" hidden="1">
      <c r="A70" s="26" t="s">
        <v>86</v>
      </c>
      <c r="B70" s="21" t="s">
        <v>87</v>
      </c>
      <c r="C70" s="22"/>
      <c r="D70" s="23">
        <f t="shared" si="0"/>
        <v>0</v>
      </c>
      <c r="E70" s="24"/>
    </row>
    <row r="71" spans="1:7" ht="7.5" hidden="1" customHeight="1">
      <c r="A71" s="26"/>
      <c r="B71" s="21"/>
      <c r="C71" s="22"/>
      <c r="D71" s="23">
        <f t="shared" si="0"/>
        <v>0</v>
      </c>
      <c r="E71" s="24"/>
    </row>
    <row r="72" spans="1:7" hidden="1">
      <c r="A72" s="26" t="s">
        <v>88</v>
      </c>
      <c r="B72" s="21" t="s">
        <v>89</v>
      </c>
      <c r="C72" s="22"/>
      <c r="D72" s="23">
        <f t="shared" si="0"/>
        <v>0</v>
      </c>
      <c r="E72" s="24"/>
    </row>
    <row r="73" spans="1:7" ht="6.75" hidden="1" customHeight="1">
      <c r="A73" s="26"/>
      <c r="B73" s="27"/>
      <c r="C73" s="22"/>
      <c r="D73" s="23"/>
      <c r="E73" s="24"/>
    </row>
    <row r="74" spans="1:7" hidden="1">
      <c r="A74" s="31"/>
      <c r="B74" s="58"/>
      <c r="C74" s="59"/>
      <c r="D74" s="60"/>
      <c r="E74" s="34"/>
    </row>
    <row r="75" spans="1:7" hidden="1">
      <c r="A75" s="61"/>
      <c r="B75" s="62" t="s">
        <v>90</v>
      </c>
      <c r="C75" s="63">
        <f>SUM(C54:C74)</f>
        <v>0</v>
      </c>
      <c r="D75" s="64">
        <f>C75/D5</f>
        <v>0</v>
      </c>
      <c r="E75" s="65"/>
    </row>
    <row r="76" spans="1:7" hidden="1">
      <c r="A76" s="40"/>
      <c r="B76" s="66"/>
      <c r="C76" s="67"/>
      <c r="D76" s="42"/>
      <c r="E76" s="43"/>
    </row>
    <row r="77" spans="1:7">
      <c r="A77" s="31"/>
      <c r="B77" s="68"/>
      <c r="C77" s="69"/>
      <c r="D77" s="60"/>
      <c r="E77" s="34"/>
    </row>
    <row r="78" spans="1:7" s="14" customFormat="1" ht="26.25" customHeight="1">
      <c r="A78" s="35"/>
      <c r="B78" s="70" t="s">
        <v>96</v>
      </c>
      <c r="C78" s="37">
        <f>+C50+C33</f>
        <v>461935292.34573901</v>
      </c>
      <c r="D78" s="38"/>
      <c r="E78" s="71"/>
      <c r="F78" s="72"/>
    </row>
    <row r="80" spans="1:7" ht="28.5" customHeight="1">
      <c r="A80" s="73" t="s">
        <v>69</v>
      </c>
      <c r="B80" s="74" t="s">
        <v>97</v>
      </c>
      <c r="C80" s="75">
        <v>92610518</v>
      </c>
      <c r="D80" s="76"/>
      <c r="E80" s="76"/>
      <c r="G80" s="77"/>
    </row>
    <row r="82" spans="1:5" ht="18.75" customHeight="1">
      <c r="A82" s="35"/>
      <c r="B82" s="70" t="s">
        <v>98</v>
      </c>
      <c r="C82" s="78">
        <f>C78+C80</f>
        <v>554545810.34573901</v>
      </c>
      <c r="D82" s="38">
        <f>C82/D5</f>
        <v>2138.7913080289222</v>
      </c>
      <c r="E82" s="71" t="s">
        <v>99</v>
      </c>
    </row>
    <row r="86" spans="1:5">
      <c r="C86" s="79"/>
      <c r="D86" s="79"/>
    </row>
  </sheetData>
  <mergeCells count="7">
    <mergeCell ref="A1:E1"/>
    <mergeCell ref="A2:E2"/>
    <mergeCell ref="D3:E3"/>
    <mergeCell ref="A4:A5"/>
    <mergeCell ref="B4:B5"/>
    <mergeCell ref="C4:C5"/>
    <mergeCell ref="D4:E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3:AY35"/>
  <sheetViews>
    <sheetView workbookViewId="0">
      <pane xSplit="4" topLeftCell="E1" activePane="topRight" state="frozen"/>
      <selection pane="topRight" activeCell="A6" sqref="A6"/>
    </sheetView>
  </sheetViews>
  <sheetFormatPr defaultColWidth="10" defaultRowHeight="15"/>
  <cols>
    <col min="2" max="2" width="6" bestFit="1" customWidth="1"/>
    <col min="3" max="3" width="42.28515625" customWidth="1"/>
    <col min="4" max="4" width="14.85546875" bestFit="1" customWidth="1"/>
    <col min="5" max="6" width="13.42578125" bestFit="1" customWidth="1"/>
    <col min="7" max="7" width="17.140625" customWidth="1"/>
    <col min="8" max="8" width="17" customWidth="1"/>
    <col min="9" max="9" width="16.140625" customWidth="1"/>
    <col min="10" max="20" width="15.140625" bestFit="1" customWidth="1"/>
    <col min="21" max="23" width="16.42578125" bestFit="1" customWidth="1"/>
    <col min="24" max="49" width="15.140625" bestFit="1" customWidth="1"/>
    <col min="50" max="50" width="1.42578125" customWidth="1"/>
    <col min="51" max="51" width="17.85546875" bestFit="1" customWidth="1"/>
  </cols>
  <sheetData>
    <row r="3" spans="2:51" ht="18">
      <c r="B3" s="321" t="s">
        <v>91</v>
      </c>
      <c r="C3" s="321"/>
      <c r="D3" s="321"/>
      <c r="E3" s="322" t="s">
        <v>0</v>
      </c>
      <c r="F3" s="322"/>
      <c r="G3" s="322"/>
      <c r="H3" s="322"/>
      <c r="I3" s="322"/>
      <c r="J3" s="322"/>
      <c r="K3" s="322"/>
      <c r="L3" s="322"/>
      <c r="M3" s="322"/>
      <c r="N3" s="322"/>
      <c r="O3" s="322"/>
      <c r="P3" s="322"/>
      <c r="Q3" s="322"/>
      <c r="R3" s="322"/>
      <c r="S3" s="322"/>
      <c r="T3" s="322"/>
      <c r="U3" s="322"/>
      <c r="V3" s="322"/>
      <c r="W3" s="322"/>
      <c r="X3" s="322"/>
      <c r="Y3" s="322"/>
      <c r="Z3" s="322"/>
      <c r="AA3" s="322"/>
      <c r="AB3" s="322"/>
      <c r="AC3" s="322"/>
      <c r="AD3" s="322"/>
      <c r="AE3" s="322"/>
      <c r="AF3" s="322"/>
      <c r="AG3" s="322"/>
      <c r="AH3" s="322"/>
      <c r="AI3" s="322"/>
      <c r="AJ3" s="322"/>
      <c r="AK3" s="322"/>
      <c r="AL3" s="322"/>
      <c r="AM3" s="322"/>
      <c r="AN3" s="322"/>
      <c r="AO3" s="322"/>
      <c r="AP3" s="322"/>
      <c r="AQ3" s="322"/>
      <c r="AR3" s="322"/>
      <c r="AS3" s="322"/>
      <c r="AT3" s="322"/>
      <c r="AU3" s="322"/>
      <c r="AV3" s="322"/>
      <c r="AW3" s="322"/>
      <c r="AX3" s="80"/>
      <c r="AY3" s="81"/>
    </row>
    <row r="4" spans="2:51">
      <c r="B4" s="82" t="s">
        <v>1</v>
      </c>
      <c r="C4" s="83" t="s">
        <v>2</v>
      </c>
      <c r="D4" s="83" t="s">
        <v>3</v>
      </c>
      <c r="E4" s="323" t="s">
        <v>4</v>
      </c>
      <c r="F4" s="323"/>
      <c r="G4" s="323"/>
      <c r="H4" s="323"/>
      <c r="I4" s="323"/>
      <c r="J4" s="323"/>
      <c r="K4" s="323"/>
      <c r="L4" s="323"/>
      <c r="M4" s="323"/>
      <c r="N4" s="323"/>
      <c r="O4" s="323"/>
      <c r="P4" s="323"/>
      <c r="Q4" s="323"/>
      <c r="R4" s="323"/>
      <c r="S4" s="323"/>
      <c r="T4" s="323"/>
      <c r="U4" s="323"/>
      <c r="V4" s="323"/>
      <c r="W4" s="323"/>
      <c r="X4" s="323"/>
      <c r="Y4" s="323"/>
      <c r="Z4" s="323"/>
      <c r="AA4" s="323"/>
      <c r="AB4" s="323"/>
      <c r="AC4" s="323"/>
      <c r="AD4" s="323"/>
      <c r="AE4" s="323"/>
      <c r="AF4" s="323"/>
      <c r="AG4" s="323"/>
      <c r="AH4" s="323"/>
      <c r="AI4" s="323"/>
      <c r="AJ4" s="323"/>
      <c r="AK4" s="323"/>
      <c r="AL4" s="323"/>
      <c r="AM4" s="323"/>
      <c r="AN4" s="323"/>
      <c r="AO4" s="323"/>
      <c r="AP4" s="323"/>
      <c r="AQ4" s="323"/>
      <c r="AR4" s="323"/>
      <c r="AS4" s="323"/>
      <c r="AT4" s="323"/>
      <c r="AU4" s="323"/>
      <c r="AV4" s="323"/>
      <c r="AW4" s="323"/>
      <c r="AX4" s="84"/>
      <c r="AY4" s="81"/>
    </row>
    <row r="5" spans="2:51">
      <c r="B5" s="85" t="s">
        <v>5</v>
      </c>
      <c r="C5" s="86" t="s">
        <v>6</v>
      </c>
      <c r="D5" s="86"/>
      <c r="E5" s="87">
        <v>45619</v>
      </c>
      <c r="F5" s="87">
        <v>45649</v>
      </c>
      <c r="G5" s="87">
        <v>45680</v>
      </c>
      <c r="H5" s="87">
        <v>45711</v>
      </c>
      <c r="I5" s="87">
        <v>45739</v>
      </c>
      <c r="J5" s="87">
        <v>45770</v>
      </c>
      <c r="K5" s="87">
        <v>45800</v>
      </c>
      <c r="L5" s="87">
        <v>45831</v>
      </c>
      <c r="M5" s="87">
        <v>45861</v>
      </c>
      <c r="N5" s="87">
        <v>45892</v>
      </c>
      <c r="O5" s="87">
        <v>45923</v>
      </c>
      <c r="P5" s="87">
        <v>45953</v>
      </c>
      <c r="Q5" s="87">
        <v>45984</v>
      </c>
      <c r="R5" s="87">
        <v>46014</v>
      </c>
      <c r="S5" s="87">
        <v>46045</v>
      </c>
      <c r="T5" s="87">
        <v>46076</v>
      </c>
      <c r="U5" s="87">
        <v>46104</v>
      </c>
      <c r="V5" s="87">
        <v>46135</v>
      </c>
      <c r="W5" s="87">
        <v>46165</v>
      </c>
      <c r="X5" s="87">
        <v>46196</v>
      </c>
      <c r="Y5" s="87">
        <v>46226</v>
      </c>
      <c r="Z5" s="87">
        <v>46257</v>
      </c>
      <c r="AA5" s="87">
        <v>46288</v>
      </c>
      <c r="AB5" s="87">
        <v>46318</v>
      </c>
      <c r="AC5" s="87">
        <v>46349</v>
      </c>
      <c r="AD5" s="87">
        <v>46379</v>
      </c>
      <c r="AE5" s="87">
        <v>46410</v>
      </c>
      <c r="AF5" s="87">
        <v>46441</v>
      </c>
      <c r="AG5" s="87">
        <v>46469</v>
      </c>
      <c r="AH5" s="87">
        <v>46500</v>
      </c>
      <c r="AI5" s="87">
        <v>46530</v>
      </c>
      <c r="AJ5" s="87">
        <v>46561</v>
      </c>
      <c r="AK5" s="87">
        <v>46591</v>
      </c>
      <c r="AL5" s="87">
        <v>46622</v>
      </c>
      <c r="AM5" s="87">
        <v>46653</v>
      </c>
      <c r="AN5" s="87">
        <v>46683</v>
      </c>
      <c r="AO5" s="87">
        <v>46714</v>
      </c>
      <c r="AP5" s="87">
        <v>46744</v>
      </c>
      <c r="AQ5" s="87">
        <v>46775</v>
      </c>
      <c r="AR5" s="87">
        <v>46806</v>
      </c>
      <c r="AS5" s="87">
        <v>46835</v>
      </c>
      <c r="AT5" s="87">
        <v>46866</v>
      </c>
      <c r="AU5" s="87">
        <v>46896</v>
      </c>
      <c r="AV5" s="87">
        <v>46927</v>
      </c>
      <c r="AW5" s="87">
        <v>46957</v>
      </c>
      <c r="AX5" s="87"/>
      <c r="AY5" s="81"/>
    </row>
    <row r="6" spans="2:51" ht="28.5">
      <c r="B6" s="88">
        <v>1</v>
      </c>
      <c r="C6" s="89" t="s">
        <v>102</v>
      </c>
      <c r="D6" s="90">
        <f>+'Budget Tower-E'!C7</f>
        <v>4667040</v>
      </c>
      <c r="E6" s="91">
        <f>+D6/5</f>
        <v>933408</v>
      </c>
      <c r="F6" s="91">
        <f>+E6</f>
        <v>933408</v>
      </c>
      <c r="G6" s="91">
        <f t="shared" ref="G6:I6" si="0">+F6</f>
        <v>933408</v>
      </c>
      <c r="H6" s="91">
        <f t="shared" si="0"/>
        <v>933408</v>
      </c>
      <c r="I6" s="91">
        <f t="shared" si="0"/>
        <v>933408</v>
      </c>
      <c r="J6" s="91"/>
      <c r="K6" s="91"/>
      <c r="L6" s="91"/>
      <c r="M6" s="91"/>
      <c r="N6" s="91"/>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f>SUM(E6:AW6)</f>
        <v>4667040</v>
      </c>
    </row>
    <row r="7" spans="2:51">
      <c r="B7" s="88">
        <v>2</v>
      </c>
      <c r="C7" s="81" t="s">
        <v>7</v>
      </c>
      <c r="D7" s="92">
        <f>+'Budget Tower-E'!C9</f>
        <v>53152400</v>
      </c>
      <c r="E7" s="91"/>
      <c r="F7" s="91"/>
      <c r="G7" s="91">
        <f>+D7/17</f>
        <v>3126611.7647058824</v>
      </c>
      <c r="H7" s="91">
        <f t="shared" ref="H7" si="1">G7</f>
        <v>3126611.7647058824</v>
      </c>
      <c r="I7" s="91">
        <f>H7</f>
        <v>3126611.7647058824</v>
      </c>
      <c r="J7" s="91">
        <f t="shared" ref="J7:W7" si="2">I7</f>
        <v>3126611.7647058824</v>
      </c>
      <c r="K7" s="91">
        <f t="shared" si="2"/>
        <v>3126611.7647058824</v>
      </c>
      <c r="L7" s="91">
        <f t="shared" si="2"/>
        <v>3126611.7647058824</v>
      </c>
      <c r="M7" s="91">
        <f t="shared" si="2"/>
        <v>3126611.7647058824</v>
      </c>
      <c r="N7" s="91">
        <f t="shared" si="2"/>
        <v>3126611.7647058824</v>
      </c>
      <c r="O7" s="91">
        <f t="shared" si="2"/>
        <v>3126611.7647058824</v>
      </c>
      <c r="P7" s="91">
        <f t="shared" si="2"/>
        <v>3126611.7647058824</v>
      </c>
      <c r="Q7" s="91">
        <f t="shared" si="2"/>
        <v>3126611.7647058824</v>
      </c>
      <c r="R7" s="91">
        <f t="shared" si="2"/>
        <v>3126611.7647058824</v>
      </c>
      <c r="S7" s="91">
        <f t="shared" si="2"/>
        <v>3126611.7647058824</v>
      </c>
      <c r="T7" s="91">
        <f t="shared" si="2"/>
        <v>3126611.7647058824</v>
      </c>
      <c r="U7" s="91">
        <f t="shared" si="2"/>
        <v>3126611.7647058824</v>
      </c>
      <c r="V7" s="91">
        <f t="shared" si="2"/>
        <v>3126611.7647058824</v>
      </c>
      <c r="W7" s="91">
        <f t="shared" si="2"/>
        <v>3126611.7647058824</v>
      </c>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f t="shared" ref="AY7:AY19" si="3">SUM(E7:AW7)</f>
        <v>53152399.999999993</v>
      </c>
    </row>
    <row r="8" spans="2:51">
      <c r="B8" s="88">
        <v>3</v>
      </c>
      <c r="C8" s="81" t="s">
        <v>8</v>
      </c>
      <c r="D8" s="92">
        <f>+'Budget Tower-E'!C11</f>
        <v>16075360</v>
      </c>
      <c r="E8" s="91"/>
      <c r="F8" s="91"/>
      <c r="G8" s="91">
        <f>+D8/17</f>
        <v>945609.4117647059</v>
      </c>
      <c r="H8" s="91">
        <f t="shared" ref="H8" si="4">G8</f>
        <v>945609.4117647059</v>
      </c>
      <c r="I8" s="91">
        <f>H8</f>
        <v>945609.4117647059</v>
      </c>
      <c r="J8" s="91">
        <f t="shared" ref="J8:W8" si="5">I8</f>
        <v>945609.4117647059</v>
      </c>
      <c r="K8" s="91">
        <f t="shared" si="5"/>
        <v>945609.4117647059</v>
      </c>
      <c r="L8" s="91">
        <f t="shared" si="5"/>
        <v>945609.4117647059</v>
      </c>
      <c r="M8" s="91">
        <f t="shared" si="5"/>
        <v>945609.4117647059</v>
      </c>
      <c r="N8" s="91">
        <f t="shared" si="5"/>
        <v>945609.4117647059</v>
      </c>
      <c r="O8" s="91">
        <f t="shared" si="5"/>
        <v>945609.4117647059</v>
      </c>
      <c r="P8" s="91">
        <f t="shared" si="5"/>
        <v>945609.4117647059</v>
      </c>
      <c r="Q8" s="91">
        <f t="shared" si="5"/>
        <v>945609.4117647059</v>
      </c>
      <c r="R8" s="91">
        <f t="shared" si="5"/>
        <v>945609.4117647059</v>
      </c>
      <c r="S8" s="91">
        <f t="shared" si="5"/>
        <v>945609.4117647059</v>
      </c>
      <c r="T8" s="91">
        <f t="shared" si="5"/>
        <v>945609.4117647059</v>
      </c>
      <c r="U8" s="91">
        <f t="shared" si="5"/>
        <v>945609.4117647059</v>
      </c>
      <c r="V8" s="91">
        <f t="shared" si="5"/>
        <v>945609.4117647059</v>
      </c>
      <c r="W8" s="91">
        <f t="shared" si="5"/>
        <v>945609.4117647059</v>
      </c>
      <c r="X8" s="91"/>
      <c r="Y8" s="91"/>
      <c r="Z8" s="91"/>
      <c r="AA8" s="91"/>
      <c r="AB8" s="91"/>
      <c r="AC8" s="91"/>
      <c r="AD8" s="91"/>
      <c r="AE8" s="91"/>
      <c r="AF8" s="91"/>
      <c r="AG8" s="91"/>
      <c r="AH8" s="91"/>
      <c r="AI8" s="91"/>
      <c r="AJ8" s="91"/>
      <c r="AK8" s="91"/>
      <c r="AL8" s="91"/>
      <c r="AM8" s="91"/>
      <c r="AN8" s="91"/>
      <c r="AO8" s="91"/>
      <c r="AP8" s="91"/>
      <c r="AQ8" s="91"/>
      <c r="AR8" s="91"/>
      <c r="AS8" s="91"/>
      <c r="AT8" s="91"/>
      <c r="AU8" s="91"/>
      <c r="AV8" s="91"/>
      <c r="AW8" s="91"/>
      <c r="AX8" s="91"/>
      <c r="AY8" s="91">
        <f t="shared" si="3"/>
        <v>16075359.999999996</v>
      </c>
    </row>
    <row r="9" spans="2:51">
      <c r="B9" s="88">
        <v>4</v>
      </c>
      <c r="C9" s="81" t="s">
        <v>9</v>
      </c>
      <c r="D9" s="92">
        <f>+'Budget Tower-E'!C13</f>
        <v>84266000</v>
      </c>
      <c r="E9" s="91"/>
      <c r="F9" s="91"/>
      <c r="G9" s="91">
        <f>+D9/17</f>
        <v>4956823.5294117648</v>
      </c>
      <c r="H9" s="91">
        <f t="shared" ref="H9" si="6">G9</f>
        <v>4956823.5294117648</v>
      </c>
      <c r="I9" s="91">
        <f>H9</f>
        <v>4956823.5294117648</v>
      </c>
      <c r="J9" s="91">
        <f>+I9</f>
        <v>4956823.5294117648</v>
      </c>
      <c r="K9" s="91">
        <f t="shared" ref="K9:T9" si="7">+J9</f>
        <v>4956823.5294117648</v>
      </c>
      <c r="L9" s="91">
        <f t="shared" si="7"/>
        <v>4956823.5294117648</v>
      </c>
      <c r="M9" s="91">
        <f t="shared" si="7"/>
        <v>4956823.5294117648</v>
      </c>
      <c r="N9" s="91">
        <f t="shared" si="7"/>
        <v>4956823.5294117648</v>
      </c>
      <c r="O9" s="91">
        <f t="shared" si="7"/>
        <v>4956823.5294117648</v>
      </c>
      <c r="P9" s="91">
        <f t="shared" si="7"/>
        <v>4956823.5294117648</v>
      </c>
      <c r="Q9" s="91">
        <f t="shared" si="7"/>
        <v>4956823.5294117648</v>
      </c>
      <c r="R9" s="91">
        <f t="shared" si="7"/>
        <v>4956823.5294117648</v>
      </c>
      <c r="S9" s="91">
        <f t="shared" si="7"/>
        <v>4956823.5294117648</v>
      </c>
      <c r="T9" s="91">
        <f t="shared" si="7"/>
        <v>4956823.5294117648</v>
      </c>
      <c r="U9" s="91">
        <f>+T9</f>
        <v>4956823.5294117648</v>
      </c>
      <c r="V9" s="91">
        <f>+U9</f>
        <v>4956823.5294117648</v>
      </c>
      <c r="W9" s="91">
        <f>+V9</f>
        <v>4956823.5294117648</v>
      </c>
      <c r="X9" s="91"/>
      <c r="Y9" s="91"/>
      <c r="Z9" s="91"/>
      <c r="AA9" s="91"/>
      <c r="AB9" s="91"/>
      <c r="AC9" s="91"/>
      <c r="AD9" s="91"/>
      <c r="AE9" s="91"/>
      <c r="AF9" s="91"/>
      <c r="AG9" s="91"/>
      <c r="AH9" s="91"/>
      <c r="AI9" s="91"/>
      <c r="AJ9" s="91"/>
      <c r="AK9" s="91"/>
      <c r="AL9" s="91"/>
      <c r="AM9" s="91"/>
      <c r="AN9" s="91"/>
      <c r="AO9" s="91"/>
      <c r="AP9" s="91"/>
      <c r="AQ9" s="91"/>
      <c r="AR9" s="91"/>
      <c r="AS9" s="91"/>
      <c r="AT9" s="91"/>
      <c r="AU9" s="91"/>
      <c r="AV9" s="91"/>
      <c r="AW9" s="91"/>
      <c r="AX9" s="91"/>
      <c r="AY9" s="91">
        <f t="shared" si="3"/>
        <v>84265999.999999985</v>
      </c>
    </row>
    <row r="10" spans="2:51">
      <c r="B10" s="88">
        <v>5</v>
      </c>
      <c r="C10" s="81" t="s">
        <v>10</v>
      </c>
      <c r="D10" s="92">
        <f>+'Budget Tower-E'!C15</f>
        <v>29817200</v>
      </c>
      <c r="E10" s="91"/>
      <c r="F10" s="91"/>
      <c r="G10" s="91"/>
      <c r="H10" s="91"/>
      <c r="I10" s="91"/>
      <c r="J10" s="91"/>
      <c r="K10" s="91"/>
      <c r="L10" s="91"/>
      <c r="M10" s="91"/>
      <c r="N10" s="91">
        <f>+D10/20</f>
        <v>1490860</v>
      </c>
      <c r="O10" s="91">
        <f>+N10</f>
        <v>1490860</v>
      </c>
      <c r="P10" s="91">
        <f t="shared" ref="P10:AG10" si="8">+O10</f>
        <v>1490860</v>
      </c>
      <c r="Q10" s="91">
        <f t="shared" si="8"/>
        <v>1490860</v>
      </c>
      <c r="R10" s="91">
        <f t="shared" si="8"/>
        <v>1490860</v>
      </c>
      <c r="S10" s="91">
        <f t="shared" si="8"/>
        <v>1490860</v>
      </c>
      <c r="T10" s="91">
        <f t="shared" si="8"/>
        <v>1490860</v>
      </c>
      <c r="U10" s="91">
        <f t="shared" si="8"/>
        <v>1490860</v>
      </c>
      <c r="V10" s="91">
        <f t="shared" si="8"/>
        <v>1490860</v>
      </c>
      <c r="W10" s="91">
        <f t="shared" si="8"/>
        <v>1490860</v>
      </c>
      <c r="X10" s="91">
        <f t="shared" si="8"/>
        <v>1490860</v>
      </c>
      <c r="Y10" s="91">
        <f t="shared" si="8"/>
        <v>1490860</v>
      </c>
      <c r="Z10" s="91">
        <f t="shared" si="8"/>
        <v>1490860</v>
      </c>
      <c r="AA10" s="91">
        <f t="shared" si="8"/>
        <v>1490860</v>
      </c>
      <c r="AB10" s="91">
        <f t="shared" si="8"/>
        <v>1490860</v>
      </c>
      <c r="AC10" s="91">
        <f t="shared" si="8"/>
        <v>1490860</v>
      </c>
      <c r="AD10" s="91">
        <f t="shared" si="8"/>
        <v>1490860</v>
      </c>
      <c r="AE10" s="91">
        <f t="shared" si="8"/>
        <v>1490860</v>
      </c>
      <c r="AF10" s="91">
        <f t="shared" si="8"/>
        <v>1490860</v>
      </c>
      <c r="AG10" s="91">
        <f t="shared" si="8"/>
        <v>1490860</v>
      </c>
      <c r="AH10" s="91"/>
      <c r="AI10" s="91"/>
      <c r="AJ10" s="91"/>
      <c r="AK10" s="91"/>
      <c r="AL10" s="91"/>
      <c r="AM10" s="91"/>
      <c r="AN10" s="91"/>
      <c r="AO10" s="91"/>
      <c r="AP10" s="91"/>
      <c r="AQ10" s="91"/>
      <c r="AR10" s="91"/>
      <c r="AS10" s="91"/>
      <c r="AT10" s="91"/>
      <c r="AU10" s="91"/>
      <c r="AV10" s="91"/>
      <c r="AW10" s="91"/>
      <c r="AX10" s="91"/>
      <c r="AY10" s="91">
        <f t="shared" si="3"/>
        <v>29817200</v>
      </c>
    </row>
    <row r="11" spans="2:51">
      <c r="B11" s="88">
        <v>6</v>
      </c>
      <c r="C11" s="81" t="s">
        <v>93</v>
      </c>
      <c r="D11" s="92">
        <f>+'Budget Tower-E'!C17</f>
        <v>32410000</v>
      </c>
      <c r="E11" s="91"/>
      <c r="F11" s="91"/>
      <c r="G11" s="91"/>
      <c r="H11" s="91"/>
      <c r="I11" s="91"/>
      <c r="J11" s="91"/>
      <c r="K11" s="91"/>
      <c r="L11" s="91"/>
      <c r="M11" s="91"/>
      <c r="N11" s="91"/>
      <c r="O11" s="91"/>
      <c r="P11" s="91"/>
      <c r="Q11" s="91"/>
      <c r="R11" s="91"/>
      <c r="S11" s="91"/>
      <c r="T11" s="91"/>
      <c r="U11" s="91"/>
      <c r="V11" s="91"/>
      <c r="W11" s="91"/>
      <c r="X11" s="91"/>
      <c r="Y11" s="91"/>
      <c r="Z11" s="91"/>
      <c r="AA11" s="91">
        <f t="shared" ref="AA11:AF11" si="9">+AB11</f>
        <v>1543333.3333333333</v>
      </c>
      <c r="AB11" s="91">
        <f t="shared" si="9"/>
        <v>1543333.3333333333</v>
      </c>
      <c r="AC11" s="91">
        <f t="shared" si="9"/>
        <v>1543333.3333333333</v>
      </c>
      <c r="AD11" s="91">
        <f t="shared" si="9"/>
        <v>1543333.3333333333</v>
      </c>
      <c r="AE11" s="91">
        <f t="shared" si="9"/>
        <v>1543333.3333333333</v>
      </c>
      <c r="AF11" s="91">
        <f t="shared" si="9"/>
        <v>1543333.3333333333</v>
      </c>
      <c r="AG11" s="91">
        <f>+AH11</f>
        <v>1543333.3333333333</v>
      </c>
      <c r="AH11" s="91">
        <f>+D11/21</f>
        <v>1543333.3333333333</v>
      </c>
      <c r="AI11" s="91">
        <f>+AH11</f>
        <v>1543333.3333333333</v>
      </c>
      <c r="AJ11" s="91">
        <f t="shared" ref="AJ11:AU11" si="10">+AI11</f>
        <v>1543333.3333333333</v>
      </c>
      <c r="AK11" s="91">
        <f t="shared" si="10"/>
        <v>1543333.3333333333</v>
      </c>
      <c r="AL11" s="91">
        <f t="shared" si="10"/>
        <v>1543333.3333333333</v>
      </c>
      <c r="AM11" s="91">
        <f t="shared" si="10"/>
        <v>1543333.3333333333</v>
      </c>
      <c r="AN11" s="91">
        <f t="shared" si="10"/>
        <v>1543333.3333333333</v>
      </c>
      <c r="AO11" s="91">
        <f t="shared" si="10"/>
        <v>1543333.3333333333</v>
      </c>
      <c r="AP11" s="91">
        <f t="shared" si="10"/>
        <v>1543333.3333333333</v>
      </c>
      <c r="AQ11" s="91">
        <f t="shared" si="10"/>
        <v>1543333.3333333333</v>
      </c>
      <c r="AR11" s="91">
        <f t="shared" si="10"/>
        <v>1543333.3333333333</v>
      </c>
      <c r="AS11" s="91">
        <f t="shared" si="10"/>
        <v>1543333.3333333333</v>
      </c>
      <c r="AT11" s="91">
        <f t="shared" si="10"/>
        <v>1543333.3333333333</v>
      </c>
      <c r="AU11" s="91">
        <f t="shared" si="10"/>
        <v>1543333.3333333333</v>
      </c>
      <c r="AV11" s="91"/>
      <c r="AW11" s="91"/>
      <c r="AX11" s="91"/>
      <c r="AY11" s="91">
        <f t="shared" si="3"/>
        <v>32409999.999999989</v>
      </c>
    </row>
    <row r="12" spans="2:51">
      <c r="B12" s="88">
        <v>7</v>
      </c>
      <c r="C12" s="81" t="s">
        <v>11</v>
      </c>
      <c r="D12" s="92">
        <f>+'Budget Tower-E'!C19</f>
        <v>4634291.3217387693</v>
      </c>
      <c r="E12" s="91"/>
      <c r="F12" s="91"/>
      <c r="G12" s="91"/>
      <c r="H12" s="91"/>
      <c r="I12" s="91"/>
      <c r="J12" s="91"/>
      <c r="K12" s="91"/>
      <c r="L12" s="91"/>
      <c r="M12" s="91"/>
      <c r="N12" s="91"/>
      <c r="O12" s="91"/>
      <c r="P12" s="91"/>
      <c r="Q12" s="91"/>
      <c r="R12" s="91"/>
      <c r="S12" s="91"/>
      <c r="T12" s="91"/>
      <c r="U12" s="91"/>
      <c r="V12" s="91">
        <f>+D12/20</f>
        <v>231714.56608693846</v>
      </c>
      <c r="W12" s="91">
        <f>+V12</f>
        <v>231714.56608693846</v>
      </c>
      <c r="X12" s="91">
        <f t="shared" ref="X12:AO12" si="11">+W12</f>
        <v>231714.56608693846</v>
      </c>
      <c r="Y12" s="91">
        <f t="shared" si="11"/>
        <v>231714.56608693846</v>
      </c>
      <c r="Z12" s="91">
        <f t="shared" si="11"/>
        <v>231714.56608693846</v>
      </c>
      <c r="AA12" s="91">
        <f t="shared" si="11"/>
        <v>231714.56608693846</v>
      </c>
      <c r="AB12" s="91">
        <f t="shared" si="11"/>
        <v>231714.56608693846</v>
      </c>
      <c r="AC12" s="91">
        <f t="shared" si="11"/>
        <v>231714.56608693846</v>
      </c>
      <c r="AD12" s="91">
        <f t="shared" si="11"/>
        <v>231714.56608693846</v>
      </c>
      <c r="AE12" s="91">
        <f t="shared" si="11"/>
        <v>231714.56608693846</v>
      </c>
      <c r="AF12" s="91">
        <f t="shared" si="11"/>
        <v>231714.56608693846</v>
      </c>
      <c r="AG12" s="91">
        <f t="shared" si="11"/>
        <v>231714.56608693846</v>
      </c>
      <c r="AH12" s="91">
        <f t="shared" si="11"/>
        <v>231714.56608693846</v>
      </c>
      <c r="AI12" s="91">
        <f t="shared" si="11"/>
        <v>231714.56608693846</v>
      </c>
      <c r="AJ12" s="91">
        <f t="shared" si="11"/>
        <v>231714.56608693846</v>
      </c>
      <c r="AK12" s="91">
        <f t="shared" si="11"/>
        <v>231714.56608693846</v>
      </c>
      <c r="AL12" s="91">
        <f t="shared" si="11"/>
        <v>231714.56608693846</v>
      </c>
      <c r="AM12" s="91">
        <f t="shared" si="11"/>
        <v>231714.56608693846</v>
      </c>
      <c r="AN12" s="91">
        <f t="shared" si="11"/>
        <v>231714.56608693846</v>
      </c>
      <c r="AO12" s="91">
        <f t="shared" si="11"/>
        <v>231714.56608693846</v>
      </c>
      <c r="AP12" s="91"/>
      <c r="AQ12" s="91"/>
      <c r="AR12" s="91"/>
      <c r="AS12" s="91"/>
      <c r="AT12" s="91"/>
      <c r="AU12" s="91"/>
      <c r="AV12" s="91"/>
      <c r="AW12" s="91"/>
      <c r="AX12" s="91"/>
      <c r="AY12" s="91">
        <f t="shared" si="3"/>
        <v>4634291.3217387702</v>
      </c>
    </row>
    <row r="13" spans="2:51">
      <c r="B13" s="88">
        <v>8</v>
      </c>
      <c r="C13" s="81" t="s">
        <v>12</v>
      </c>
      <c r="D13" s="92">
        <f>+'Budget Tower-E'!C21</f>
        <v>30595040</v>
      </c>
      <c r="E13" s="91"/>
      <c r="F13" s="91"/>
      <c r="G13" s="91"/>
      <c r="H13" s="91"/>
      <c r="I13" s="91"/>
      <c r="J13" s="91"/>
      <c r="K13" s="91"/>
      <c r="L13" s="91"/>
      <c r="M13" s="91"/>
      <c r="N13" s="91"/>
      <c r="O13" s="91"/>
      <c r="P13" s="91"/>
      <c r="Q13" s="91"/>
      <c r="R13" s="91"/>
      <c r="S13" s="91"/>
      <c r="T13" s="91"/>
      <c r="U13" s="91"/>
      <c r="V13" s="91"/>
      <c r="W13" s="91"/>
      <c r="X13" s="91"/>
      <c r="Y13" s="91">
        <f>+Z13</f>
        <v>1223801.6000000001</v>
      </c>
      <c r="Z13" s="91">
        <f>+AA13</f>
        <v>1223801.6000000001</v>
      </c>
      <c r="AA13" s="91">
        <f>+D13/25</f>
        <v>1223801.6000000001</v>
      </c>
      <c r="AB13" s="91">
        <f>+AA13</f>
        <v>1223801.6000000001</v>
      </c>
      <c r="AC13" s="91">
        <f t="shared" ref="AC13:AW13" si="12">+AB13</f>
        <v>1223801.6000000001</v>
      </c>
      <c r="AD13" s="91">
        <f t="shared" si="12"/>
        <v>1223801.6000000001</v>
      </c>
      <c r="AE13" s="91">
        <f t="shared" si="12"/>
        <v>1223801.6000000001</v>
      </c>
      <c r="AF13" s="91">
        <f t="shared" si="12"/>
        <v>1223801.6000000001</v>
      </c>
      <c r="AG13" s="91">
        <f t="shared" si="12"/>
        <v>1223801.6000000001</v>
      </c>
      <c r="AH13" s="91">
        <f t="shared" si="12"/>
        <v>1223801.6000000001</v>
      </c>
      <c r="AI13" s="91">
        <f t="shared" si="12"/>
        <v>1223801.6000000001</v>
      </c>
      <c r="AJ13" s="91">
        <f t="shared" si="12"/>
        <v>1223801.6000000001</v>
      </c>
      <c r="AK13" s="91">
        <f t="shared" si="12"/>
        <v>1223801.6000000001</v>
      </c>
      <c r="AL13" s="91">
        <f t="shared" si="12"/>
        <v>1223801.6000000001</v>
      </c>
      <c r="AM13" s="91">
        <f t="shared" si="12"/>
        <v>1223801.6000000001</v>
      </c>
      <c r="AN13" s="91">
        <f t="shared" si="12"/>
        <v>1223801.6000000001</v>
      </c>
      <c r="AO13" s="91">
        <f t="shared" si="12"/>
        <v>1223801.6000000001</v>
      </c>
      <c r="AP13" s="91">
        <f t="shared" si="12"/>
        <v>1223801.6000000001</v>
      </c>
      <c r="AQ13" s="91">
        <f t="shared" si="12"/>
        <v>1223801.6000000001</v>
      </c>
      <c r="AR13" s="91">
        <f t="shared" si="12"/>
        <v>1223801.6000000001</v>
      </c>
      <c r="AS13" s="91">
        <f t="shared" si="12"/>
        <v>1223801.6000000001</v>
      </c>
      <c r="AT13" s="91">
        <f t="shared" si="12"/>
        <v>1223801.6000000001</v>
      </c>
      <c r="AU13" s="91">
        <f t="shared" si="12"/>
        <v>1223801.6000000001</v>
      </c>
      <c r="AV13" s="91">
        <f t="shared" si="12"/>
        <v>1223801.6000000001</v>
      </c>
      <c r="AW13" s="91">
        <f t="shared" si="12"/>
        <v>1223801.6000000001</v>
      </c>
      <c r="AX13" s="91"/>
      <c r="AY13" s="91">
        <f t="shared" si="3"/>
        <v>30595040.000000015</v>
      </c>
    </row>
    <row r="14" spans="2:51">
      <c r="B14" s="93">
        <v>9</v>
      </c>
      <c r="C14" s="94" t="s">
        <v>13</v>
      </c>
      <c r="D14" s="90">
        <f>+'Budget Tower-E'!C23</f>
        <v>1555680</v>
      </c>
      <c r="E14" s="91"/>
      <c r="F14" s="91"/>
      <c r="G14" s="91"/>
      <c r="H14" s="91"/>
      <c r="I14" s="91"/>
      <c r="J14" s="91"/>
      <c r="K14" s="91"/>
      <c r="L14" s="91"/>
      <c r="M14" s="91"/>
      <c r="N14" s="91"/>
      <c r="O14" s="91"/>
      <c r="P14" s="91"/>
      <c r="Q14" s="91"/>
      <c r="R14" s="91"/>
      <c r="S14" s="91"/>
      <c r="T14" s="91"/>
      <c r="U14" s="91"/>
      <c r="V14" s="91"/>
      <c r="W14" s="91"/>
      <c r="X14" s="91"/>
      <c r="Y14" s="91"/>
      <c r="Z14" s="91"/>
      <c r="AA14" s="91"/>
      <c r="AB14" s="91"/>
      <c r="AC14" s="91"/>
      <c r="AD14" s="91"/>
      <c r="AE14" s="91"/>
      <c r="AF14" s="91"/>
      <c r="AG14" s="91"/>
      <c r="AH14" s="91"/>
      <c r="AI14" s="91"/>
      <c r="AJ14" s="91"/>
      <c r="AK14" s="91"/>
      <c r="AL14" s="91"/>
      <c r="AM14" s="91"/>
      <c r="AN14" s="91">
        <f t="shared" ref="AN14:AO14" si="13">+AO14</f>
        <v>388920</v>
      </c>
      <c r="AO14" s="91">
        <f t="shared" si="13"/>
        <v>388920</v>
      </c>
      <c r="AP14" s="91">
        <f>+AQ14</f>
        <v>388920</v>
      </c>
      <c r="AQ14" s="91">
        <f>+D14/4</f>
        <v>388920</v>
      </c>
      <c r="AR14" s="91"/>
      <c r="AS14" s="91"/>
      <c r="AT14" s="91"/>
      <c r="AU14" s="91"/>
      <c r="AV14" s="91"/>
      <c r="AW14" s="91"/>
      <c r="AX14" s="91"/>
      <c r="AY14" s="91">
        <f t="shared" si="3"/>
        <v>1555680</v>
      </c>
    </row>
    <row r="15" spans="2:51">
      <c r="B15" s="88">
        <v>10</v>
      </c>
      <c r="C15" s="81" t="s">
        <v>14</v>
      </c>
      <c r="D15" s="92">
        <f>+'Budget Tower-E'!C25</f>
        <v>45374000</v>
      </c>
      <c r="E15" s="91"/>
      <c r="F15" s="91"/>
      <c r="G15" s="91"/>
      <c r="H15" s="91"/>
      <c r="I15" s="91"/>
      <c r="J15" s="91"/>
      <c r="K15" s="91"/>
      <c r="L15" s="91"/>
      <c r="M15" s="91"/>
      <c r="N15" s="91"/>
      <c r="O15" s="91"/>
      <c r="P15" s="91"/>
      <c r="Q15" s="91"/>
      <c r="R15" s="91"/>
      <c r="S15" s="91"/>
      <c r="T15" s="91"/>
      <c r="U15" s="91">
        <f>+D15/25</f>
        <v>1814960</v>
      </c>
      <c r="V15" s="91">
        <f>+U15</f>
        <v>1814960</v>
      </c>
      <c r="W15" s="91">
        <f t="shared" ref="W15:AS15" si="14">+V15</f>
        <v>1814960</v>
      </c>
      <c r="X15" s="91">
        <f t="shared" si="14"/>
        <v>1814960</v>
      </c>
      <c r="Y15" s="91">
        <f t="shared" si="14"/>
        <v>1814960</v>
      </c>
      <c r="Z15" s="91">
        <f t="shared" si="14"/>
        <v>1814960</v>
      </c>
      <c r="AA15" s="91">
        <f t="shared" si="14"/>
        <v>1814960</v>
      </c>
      <c r="AB15" s="91">
        <f t="shared" si="14"/>
        <v>1814960</v>
      </c>
      <c r="AC15" s="91">
        <f t="shared" si="14"/>
        <v>1814960</v>
      </c>
      <c r="AD15" s="91">
        <f t="shared" si="14"/>
        <v>1814960</v>
      </c>
      <c r="AE15" s="91">
        <f t="shared" si="14"/>
        <v>1814960</v>
      </c>
      <c r="AF15" s="91">
        <f t="shared" si="14"/>
        <v>1814960</v>
      </c>
      <c r="AG15" s="91">
        <f t="shared" si="14"/>
        <v>1814960</v>
      </c>
      <c r="AH15" s="91">
        <f t="shared" si="14"/>
        <v>1814960</v>
      </c>
      <c r="AI15" s="91">
        <f t="shared" si="14"/>
        <v>1814960</v>
      </c>
      <c r="AJ15" s="91">
        <f t="shared" si="14"/>
        <v>1814960</v>
      </c>
      <c r="AK15" s="91">
        <f t="shared" si="14"/>
        <v>1814960</v>
      </c>
      <c r="AL15" s="91">
        <f t="shared" si="14"/>
        <v>1814960</v>
      </c>
      <c r="AM15" s="91">
        <f t="shared" si="14"/>
        <v>1814960</v>
      </c>
      <c r="AN15" s="91">
        <f t="shared" si="14"/>
        <v>1814960</v>
      </c>
      <c r="AO15" s="91">
        <f t="shared" si="14"/>
        <v>1814960</v>
      </c>
      <c r="AP15" s="91">
        <f t="shared" si="14"/>
        <v>1814960</v>
      </c>
      <c r="AQ15" s="91">
        <f t="shared" si="14"/>
        <v>1814960</v>
      </c>
      <c r="AR15" s="91">
        <f t="shared" si="14"/>
        <v>1814960</v>
      </c>
      <c r="AS15" s="91">
        <f t="shared" si="14"/>
        <v>1814960</v>
      </c>
      <c r="AT15" s="91"/>
      <c r="AU15" s="91"/>
      <c r="AV15" s="91"/>
      <c r="AW15" s="91"/>
      <c r="AX15" s="91"/>
      <c r="AY15" s="91">
        <f t="shared" si="3"/>
        <v>45374000</v>
      </c>
    </row>
    <row r="16" spans="2:51" ht="42.75">
      <c r="B16" s="88">
        <v>11</v>
      </c>
      <c r="C16" s="95" t="str">
        <f>+'Budget Tower-E'!B27</f>
        <v>SPECIAL FEATURES (AC, Gyser, RO, Modular Kitchen, Dish Washer, Cup board, Home Theater)</v>
      </c>
      <c r="D16" s="92">
        <f>+'Budget Tower-E'!C27</f>
        <v>66327503.423999995</v>
      </c>
      <c r="E16" s="91"/>
      <c r="F16" s="91"/>
      <c r="G16" s="91"/>
      <c r="H16" s="91"/>
      <c r="I16" s="91"/>
      <c r="J16" s="91"/>
      <c r="K16" s="91"/>
      <c r="L16" s="91"/>
      <c r="M16" s="91"/>
      <c r="N16" s="91"/>
      <c r="O16" s="91"/>
      <c r="P16" s="91"/>
      <c r="Q16" s="91"/>
      <c r="R16" s="91"/>
      <c r="S16" s="91"/>
      <c r="T16" s="91"/>
      <c r="U16" s="91"/>
      <c r="V16" s="91"/>
      <c r="W16" s="91"/>
      <c r="X16" s="91"/>
      <c r="Y16" s="91"/>
      <c r="Z16" s="91"/>
      <c r="AA16" s="91"/>
      <c r="AB16" s="91"/>
      <c r="AC16" s="91"/>
      <c r="AD16" s="91">
        <f t="shared" ref="AD16:AU16" si="15">+AE16</f>
        <v>3316375.1711999997</v>
      </c>
      <c r="AE16" s="91">
        <f t="shared" si="15"/>
        <v>3316375.1711999997</v>
      </c>
      <c r="AF16" s="91">
        <f t="shared" si="15"/>
        <v>3316375.1711999997</v>
      </c>
      <c r="AG16" s="91">
        <f t="shared" si="15"/>
        <v>3316375.1711999997</v>
      </c>
      <c r="AH16" s="91">
        <f t="shared" si="15"/>
        <v>3316375.1711999997</v>
      </c>
      <c r="AI16" s="91">
        <f t="shared" si="15"/>
        <v>3316375.1711999997</v>
      </c>
      <c r="AJ16" s="91">
        <f t="shared" si="15"/>
        <v>3316375.1711999997</v>
      </c>
      <c r="AK16" s="91">
        <f t="shared" si="15"/>
        <v>3316375.1711999997</v>
      </c>
      <c r="AL16" s="91">
        <f t="shared" si="15"/>
        <v>3316375.1711999997</v>
      </c>
      <c r="AM16" s="91">
        <f t="shared" si="15"/>
        <v>3316375.1711999997</v>
      </c>
      <c r="AN16" s="91">
        <f t="shared" si="15"/>
        <v>3316375.1711999997</v>
      </c>
      <c r="AO16" s="91">
        <f t="shared" si="15"/>
        <v>3316375.1711999997</v>
      </c>
      <c r="AP16" s="91">
        <f t="shared" si="15"/>
        <v>3316375.1711999997</v>
      </c>
      <c r="AQ16" s="91">
        <f t="shared" si="15"/>
        <v>3316375.1711999997</v>
      </c>
      <c r="AR16" s="91">
        <f t="shared" si="15"/>
        <v>3316375.1711999997</v>
      </c>
      <c r="AS16" s="91">
        <f t="shared" si="15"/>
        <v>3316375.1711999997</v>
      </c>
      <c r="AT16" s="91">
        <f t="shared" si="15"/>
        <v>3316375.1711999997</v>
      </c>
      <c r="AU16" s="91">
        <f t="shared" si="15"/>
        <v>3316375.1711999997</v>
      </c>
      <c r="AV16" s="91">
        <f>+AW16</f>
        <v>3316375.1711999997</v>
      </c>
      <c r="AW16" s="91">
        <f>+D16/20</f>
        <v>3316375.1711999997</v>
      </c>
      <c r="AX16" s="91"/>
      <c r="AY16" s="91">
        <f t="shared" si="3"/>
        <v>66327503.423999995</v>
      </c>
    </row>
    <row r="17" spans="2:51">
      <c r="B17" s="88">
        <v>12</v>
      </c>
      <c r="C17" s="81" t="s">
        <v>15</v>
      </c>
      <c r="D17" s="92">
        <f>+'Budget Tower-E'!C29</f>
        <v>2312777.6</v>
      </c>
      <c r="E17" s="91"/>
      <c r="F17" s="91"/>
      <c r="G17" s="91"/>
      <c r="H17" s="91"/>
      <c r="I17" s="91"/>
      <c r="J17" s="91"/>
      <c r="K17" s="91"/>
      <c r="L17" s="91"/>
      <c r="M17" s="91"/>
      <c r="N17" s="91"/>
      <c r="O17" s="91"/>
      <c r="P17" s="91"/>
      <c r="Q17" s="91"/>
      <c r="R17" s="91"/>
      <c r="S17" s="91"/>
      <c r="T17" s="91"/>
      <c r="U17" s="91"/>
      <c r="V17" s="91"/>
      <c r="W17" s="91"/>
      <c r="X17" s="91"/>
      <c r="Y17" s="91"/>
      <c r="Z17" s="91"/>
      <c r="AA17" s="91"/>
      <c r="AB17" s="91"/>
      <c r="AC17" s="91">
        <f>+D17/8</f>
        <v>289097.2</v>
      </c>
      <c r="AD17" s="91">
        <f>+AC17</f>
        <v>289097.2</v>
      </c>
      <c r="AE17" s="91">
        <f t="shared" ref="AE17:AJ17" si="16">+AD17</f>
        <v>289097.2</v>
      </c>
      <c r="AF17" s="91">
        <f t="shared" si="16"/>
        <v>289097.2</v>
      </c>
      <c r="AG17" s="91">
        <f t="shared" si="16"/>
        <v>289097.2</v>
      </c>
      <c r="AH17" s="91">
        <f t="shared" si="16"/>
        <v>289097.2</v>
      </c>
      <c r="AI17" s="91">
        <f t="shared" si="16"/>
        <v>289097.2</v>
      </c>
      <c r="AJ17" s="91">
        <f t="shared" si="16"/>
        <v>289097.2</v>
      </c>
      <c r="AK17" s="91"/>
      <c r="AL17" s="91"/>
      <c r="AM17" s="91"/>
      <c r="AN17" s="91"/>
      <c r="AO17" s="91"/>
      <c r="AP17" s="91"/>
      <c r="AQ17" s="91"/>
      <c r="AR17" s="91"/>
      <c r="AS17" s="91"/>
      <c r="AT17" s="91"/>
      <c r="AU17" s="91"/>
      <c r="AV17" s="91"/>
      <c r="AW17" s="91">
        <f>N17</f>
        <v>0</v>
      </c>
      <c r="AX17" s="91"/>
      <c r="AY17" s="91">
        <f t="shared" si="3"/>
        <v>2312777.6</v>
      </c>
    </row>
    <row r="18" spans="2:51">
      <c r="B18" s="88">
        <v>13</v>
      </c>
      <c r="C18" s="81" t="str">
        <f>+'Budget Tower-E'!B31</f>
        <v>ENTRY AND ELEVATION</v>
      </c>
      <c r="D18" s="92">
        <f>+'Budget Tower-E'!C31</f>
        <v>7778400</v>
      </c>
      <c r="E18" s="91"/>
      <c r="F18" s="91"/>
      <c r="G18" s="91"/>
      <c r="H18" s="91"/>
      <c r="I18" s="91"/>
      <c r="J18" s="91"/>
      <c r="K18" s="91"/>
      <c r="L18" s="91"/>
      <c r="M18" s="91"/>
      <c r="N18" s="91"/>
      <c r="O18" s="91"/>
      <c r="P18" s="91"/>
      <c r="Q18" s="91"/>
      <c r="R18" s="91"/>
      <c r="S18" s="91"/>
      <c r="T18" s="91"/>
      <c r="U18" s="91">
        <f>+D18/8</f>
        <v>972300</v>
      </c>
      <c r="V18" s="91">
        <f>+U18</f>
        <v>972300</v>
      </c>
      <c r="W18" s="91">
        <f t="shared" ref="W18:AB18" si="17">+V18</f>
        <v>972300</v>
      </c>
      <c r="X18" s="91">
        <f t="shared" si="17"/>
        <v>972300</v>
      </c>
      <c r="Y18" s="91">
        <f t="shared" si="17"/>
        <v>972300</v>
      </c>
      <c r="Z18" s="91">
        <f t="shared" si="17"/>
        <v>972300</v>
      </c>
      <c r="AA18" s="91">
        <f t="shared" si="17"/>
        <v>972300</v>
      </c>
      <c r="AB18" s="91">
        <f t="shared" si="17"/>
        <v>972300</v>
      </c>
      <c r="AC18" s="91"/>
      <c r="AD18" s="91"/>
      <c r="AE18" s="91"/>
      <c r="AF18" s="91"/>
      <c r="AG18" s="91"/>
      <c r="AH18" s="91"/>
      <c r="AI18" s="91"/>
      <c r="AJ18" s="91"/>
      <c r="AK18" s="91"/>
      <c r="AL18" s="91"/>
      <c r="AM18" s="91"/>
      <c r="AN18" s="91"/>
      <c r="AO18" s="91"/>
      <c r="AP18" s="91"/>
      <c r="AQ18" s="91"/>
      <c r="AR18" s="91"/>
      <c r="AS18" s="91"/>
      <c r="AT18" s="91"/>
      <c r="AU18" s="91"/>
      <c r="AV18" s="91"/>
      <c r="AW18" s="91"/>
      <c r="AX18" s="91"/>
      <c r="AY18" s="91">
        <f t="shared" si="3"/>
        <v>7778400</v>
      </c>
    </row>
    <row r="19" spans="2:51" ht="15.75">
      <c r="B19" s="88"/>
      <c r="C19" s="96" t="s">
        <v>16</v>
      </c>
      <c r="D19" s="97">
        <f>SUM(D6:D18)</f>
        <v>378965692.34573877</v>
      </c>
      <c r="E19" s="98">
        <f>SUM(E6:E18)</f>
        <v>933408</v>
      </c>
      <c r="F19" s="98">
        <f t="shared" ref="F19:AW19" si="18">SUM(F6:F18)</f>
        <v>933408</v>
      </c>
      <c r="G19" s="98">
        <f t="shared" si="18"/>
        <v>9962452.7058823518</v>
      </c>
      <c r="H19" s="98">
        <f t="shared" si="18"/>
        <v>9962452.7058823518</v>
      </c>
      <c r="I19" s="98">
        <f t="shared" si="18"/>
        <v>9962452.7058823518</v>
      </c>
      <c r="J19" s="98">
        <f t="shared" si="18"/>
        <v>9029044.7058823537</v>
      </c>
      <c r="K19" s="98">
        <f t="shared" si="18"/>
        <v>9029044.7058823537</v>
      </c>
      <c r="L19" s="98">
        <f t="shared" si="18"/>
        <v>9029044.7058823537</v>
      </c>
      <c r="M19" s="98">
        <f t="shared" si="18"/>
        <v>9029044.7058823537</v>
      </c>
      <c r="N19" s="98">
        <f t="shared" si="18"/>
        <v>10519904.705882354</v>
      </c>
      <c r="O19" s="98">
        <f t="shared" si="18"/>
        <v>10519904.705882354</v>
      </c>
      <c r="P19" s="98">
        <f t="shared" si="18"/>
        <v>10519904.705882354</v>
      </c>
      <c r="Q19" s="98">
        <f t="shared" si="18"/>
        <v>10519904.705882354</v>
      </c>
      <c r="R19" s="98">
        <f t="shared" si="18"/>
        <v>10519904.705882354</v>
      </c>
      <c r="S19" s="98">
        <f t="shared" si="18"/>
        <v>10519904.705882354</v>
      </c>
      <c r="T19" s="98">
        <f t="shared" si="18"/>
        <v>10519904.705882354</v>
      </c>
      <c r="U19" s="98">
        <f t="shared" si="18"/>
        <v>13307164.705882354</v>
      </c>
      <c r="V19" s="98">
        <f t="shared" si="18"/>
        <v>13538879.271969292</v>
      </c>
      <c r="W19" s="98">
        <f t="shared" si="18"/>
        <v>13538879.271969292</v>
      </c>
      <c r="X19" s="98">
        <f t="shared" si="18"/>
        <v>4509834.5660869386</v>
      </c>
      <c r="Y19" s="98">
        <f t="shared" si="18"/>
        <v>5733636.1660869382</v>
      </c>
      <c r="Z19" s="98">
        <f t="shared" si="18"/>
        <v>5733636.1660869382</v>
      </c>
      <c r="AA19" s="98">
        <f t="shared" si="18"/>
        <v>7276969.4994202722</v>
      </c>
      <c r="AB19" s="98">
        <f t="shared" si="18"/>
        <v>7276969.4994202722</v>
      </c>
      <c r="AC19" s="98">
        <f t="shared" si="18"/>
        <v>6593766.6994202724</v>
      </c>
      <c r="AD19" s="98">
        <f t="shared" si="18"/>
        <v>9910141.8706202712</v>
      </c>
      <c r="AE19" s="98">
        <f t="shared" si="18"/>
        <v>9910141.8706202712</v>
      </c>
      <c r="AF19" s="98">
        <f t="shared" si="18"/>
        <v>9910141.8706202712</v>
      </c>
      <c r="AG19" s="98">
        <f t="shared" si="18"/>
        <v>9910141.8706202712</v>
      </c>
      <c r="AH19" s="98">
        <f t="shared" si="18"/>
        <v>8419281.8706202712</v>
      </c>
      <c r="AI19" s="98">
        <f t="shared" si="18"/>
        <v>8419281.8706202712</v>
      </c>
      <c r="AJ19" s="98">
        <f t="shared" si="18"/>
        <v>8419281.8706202712</v>
      </c>
      <c r="AK19" s="98">
        <f t="shared" si="18"/>
        <v>8130184.6706202719</v>
      </c>
      <c r="AL19" s="98">
        <f t="shared" si="18"/>
        <v>8130184.6706202719</v>
      </c>
      <c r="AM19" s="98">
        <f t="shared" si="18"/>
        <v>8130184.6706202719</v>
      </c>
      <c r="AN19" s="98">
        <f t="shared" si="18"/>
        <v>8519104.6706202719</v>
      </c>
      <c r="AO19" s="98">
        <f t="shared" si="18"/>
        <v>8519104.6706202719</v>
      </c>
      <c r="AP19" s="98">
        <f t="shared" si="18"/>
        <v>8287390.1045333333</v>
      </c>
      <c r="AQ19" s="98">
        <f t="shared" si="18"/>
        <v>8287390.1045333333</v>
      </c>
      <c r="AR19" s="98">
        <f t="shared" si="18"/>
        <v>7898470.1045333333</v>
      </c>
      <c r="AS19" s="98">
        <f t="shared" si="18"/>
        <v>7898470.1045333333</v>
      </c>
      <c r="AT19" s="98">
        <f t="shared" si="18"/>
        <v>6083510.1045333333</v>
      </c>
      <c r="AU19" s="98">
        <f t="shared" si="18"/>
        <v>6083510.1045333333</v>
      </c>
      <c r="AV19" s="98">
        <f t="shared" si="18"/>
        <v>4540176.7711999994</v>
      </c>
      <c r="AW19" s="98">
        <f t="shared" si="18"/>
        <v>4540176.7711999994</v>
      </c>
      <c r="AX19" s="98"/>
      <c r="AY19" s="98">
        <f t="shared" si="3"/>
        <v>378965692.34573865</v>
      </c>
    </row>
    <row r="20" spans="2:51" ht="15.75">
      <c r="B20" s="88"/>
      <c r="C20" s="96"/>
      <c r="D20" s="97">
        <f>+D19/10000000</f>
        <v>37.896569234573874</v>
      </c>
      <c r="E20" s="99">
        <f>+E19/10000000</f>
        <v>9.3340800000000002E-2</v>
      </c>
      <c r="F20" s="99">
        <f t="shared" ref="F20:AY20" si="19">+F19/10000000</f>
        <v>9.3340800000000002E-2</v>
      </c>
      <c r="G20" s="99">
        <f t="shared" si="19"/>
        <v>0.9962452705882352</v>
      </c>
      <c r="H20" s="99">
        <f t="shared" si="19"/>
        <v>0.9962452705882352</v>
      </c>
      <c r="I20" s="99">
        <f t="shared" si="19"/>
        <v>0.9962452705882352</v>
      </c>
      <c r="J20" s="99">
        <f t="shared" si="19"/>
        <v>0.90290447058823542</v>
      </c>
      <c r="K20" s="99">
        <f t="shared" si="19"/>
        <v>0.90290447058823542</v>
      </c>
      <c r="L20" s="99">
        <f t="shared" si="19"/>
        <v>0.90290447058823542</v>
      </c>
      <c r="M20" s="99">
        <f t="shared" si="19"/>
        <v>0.90290447058823542</v>
      </c>
      <c r="N20" s="99">
        <f t="shared" si="19"/>
        <v>1.0519904705882355</v>
      </c>
      <c r="O20" s="99">
        <f t="shared" si="19"/>
        <v>1.0519904705882355</v>
      </c>
      <c r="P20" s="99">
        <f t="shared" si="19"/>
        <v>1.0519904705882355</v>
      </c>
      <c r="Q20" s="99">
        <f t="shared" si="19"/>
        <v>1.0519904705882355</v>
      </c>
      <c r="R20" s="99">
        <f t="shared" si="19"/>
        <v>1.0519904705882355</v>
      </c>
      <c r="S20" s="99">
        <f t="shared" si="19"/>
        <v>1.0519904705882355</v>
      </c>
      <c r="T20" s="99">
        <f t="shared" si="19"/>
        <v>1.0519904705882355</v>
      </c>
      <c r="U20" s="99">
        <f t="shared" si="19"/>
        <v>1.3307164705882353</v>
      </c>
      <c r="V20" s="99">
        <f t="shared" si="19"/>
        <v>1.3538879271969293</v>
      </c>
      <c r="W20" s="99">
        <f t="shared" si="19"/>
        <v>1.3538879271969293</v>
      </c>
      <c r="X20" s="99">
        <f t="shared" si="19"/>
        <v>0.45098345660869388</v>
      </c>
      <c r="Y20" s="99">
        <f t="shared" si="19"/>
        <v>0.57336361660869384</v>
      </c>
      <c r="Z20" s="99">
        <f t="shared" si="19"/>
        <v>0.57336361660869384</v>
      </c>
      <c r="AA20" s="99">
        <f t="shared" si="19"/>
        <v>0.72769694994202727</v>
      </c>
      <c r="AB20" s="99">
        <f t="shared" si="19"/>
        <v>0.72769694994202727</v>
      </c>
      <c r="AC20" s="99">
        <f t="shared" si="19"/>
        <v>0.65937666994202726</v>
      </c>
      <c r="AD20" s="99">
        <f t="shared" si="19"/>
        <v>0.99101418706202715</v>
      </c>
      <c r="AE20" s="99">
        <f t="shared" si="19"/>
        <v>0.99101418706202715</v>
      </c>
      <c r="AF20" s="99">
        <f t="shared" si="19"/>
        <v>0.99101418706202715</v>
      </c>
      <c r="AG20" s="99">
        <f t="shared" si="19"/>
        <v>0.99101418706202715</v>
      </c>
      <c r="AH20" s="99">
        <f t="shared" si="19"/>
        <v>0.8419281870620271</v>
      </c>
      <c r="AI20" s="99">
        <f t="shared" si="19"/>
        <v>0.8419281870620271</v>
      </c>
      <c r="AJ20" s="99">
        <f t="shared" si="19"/>
        <v>0.8419281870620271</v>
      </c>
      <c r="AK20" s="99">
        <f t="shared" si="19"/>
        <v>0.81301846706202718</v>
      </c>
      <c r="AL20" s="99">
        <f t="shared" si="19"/>
        <v>0.81301846706202718</v>
      </c>
      <c r="AM20" s="99">
        <f t="shared" si="19"/>
        <v>0.81301846706202718</v>
      </c>
      <c r="AN20" s="99">
        <f t="shared" si="19"/>
        <v>0.85191046706202722</v>
      </c>
      <c r="AO20" s="99">
        <f t="shared" si="19"/>
        <v>0.85191046706202722</v>
      </c>
      <c r="AP20" s="99">
        <f t="shared" si="19"/>
        <v>0.82873901045333331</v>
      </c>
      <c r="AQ20" s="99">
        <f t="shared" si="19"/>
        <v>0.82873901045333331</v>
      </c>
      <c r="AR20" s="99">
        <f t="shared" si="19"/>
        <v>0.78984701045333339</v>
      </c>
      <c r="AS20" s="99">
        <f t="shared" si="19"/>
        <v>0.78984701045333339</v>
      </c>
      <c r="AT20" s="99">
        <f t="shared" si="19"/>
        <v>0.60835101045333329</v>
      </c>
      <c r="AU20" s="99">
        <f t="shared" si="19"/>
        <v>0.60835101045333329</v>
      </c>
      <c r="AV20" s="99">
        <f t="shared" si="19"/>
        <v>0.45401767711999996</v>
      </c>
      <c r="AW20" s="99">
        <f t="shared" si="19"/>
        <v>0.45401767711999996</v>
      </c>
      <c r="AX20" s="99"/>
      <c r="AY20" s="99">
        <f t="shared" si="19"/>
        <v>37.896569234573867</v>
      </c>
    </row>
    <row r="21" spans="2:51" ht="15.75">
      <c r="B21" s="86" t="s">
        <v>17</v>
      </c>
      <c r="C21" s="100" t="s">
        <v>18</v>
      </c>
      <c r="D21" s="100"/>
      <c r="E21" s="91"/>
      <c r="F21" s="91"/>
      <c r="G21" s="91"/>
      <c r="H21" s="91"/>
      <c r="I21" s="91"/>
      <c r="J21" s="91"/>
      <c r="K21" s="91"/>
      <c r="L21" s="91"/>
      <c r="M21" s="91"/>
      <c r="N21" s="91"/>
      <c r="O21" s="91"/>
      <c r="P21" s="91"/>
      <c r="Q21" s="91"/>
      <c r="R21" s="91"/>
      <c r="S21" s="91"/>
      <c r="T21" s="91"/>
      <c r="U21" s="91"/>
      <c r="V21" s="91"/>
      <c r="W21" s="91"/>
      <c r="X21" s="91"/>
      <c r="Y21" s="91"/>
      <c r="Z21" s="91"/>
      <c r="AA21" s="91"/>
      <c r="AB21" s="91"/>
      <c r="AC21" s="91"/>
      <c r="AD21" s="91"/>
      <c r="AE21" s="91"/>
      <c r="AF21" s="91"/>
      <c r="AG21" s="91"/>
      <c r="AH21" s="91"/>
      <c r="AI21" s="91"/>
      <c r="AJ21" s="91"/>
      <c r="AK21" s="91"/>
      <c r="AL21" s="91"/>
      <c r="AM21" s="91"/>
      <c r="AN21" s="91"/>
      <c r="AO21" s="91"/>
      <c r="AP21" s="91"/>
      <c r="AQ21" s="91"/>
      <c r="AR21" s="91"/>
      <c r="AS21" s="91"/>
      <c r="AT21" s="91"/>
      <c r="AU21" s="91"/>
      <c r="AV21" s="91"/>
      <c r="AW21" s="91"/>
      <c r="AX21" s="91"/>
      <c r="AY21" s="91"/>
    </row>
    <row r="22" spans="2:51">
      <c r="B22" s="88">
        <v>1</v>
      </c>
      <c r="C22" s="81" t="s">
        <v>19</v>
      </c>
      <c r="D22" s="92">
        <f>+'Budget Tower-E'!C36</f>
        <v>18149600</v>
      </c>
      <c r="E22" s="91"/>
      <c r="F22" s="91"/>
      <c r="G22" s="91"/>
      <c r="H22" s="91"/>
      <c r="I22" s="91"/>
      <c r="J22" s="91"/>
      <c r="K22" s="91"/>
      <c r="L22" s="91"/>
      <c r="M22" s="91"/>
      <c r="N22" s="91"/>
      <c r="O22" s="91"/>
      <c r="P22" s="91"/>
      <c r="Q22" s="91"/>
      <c r="R22" s="91"/>
      <c r="S22" s="91">
        <f>+D22/25</f>
        <v>725984</v>
      </c>
      <c r="T22" s="91">
        <f>+S22</f>
        <v>725984</v>
      </c>
      <c r="U22" s="91">
        <f t="shared" ref="U22:AQ22" si="20">+T22</f>
        <v>725984</v>
      </c>
      <c r="V22" s="91">
        <f t="shared" si="20"/>
        <v>725984</v>
      </c>
      <c r="W22" s="91">
        <f t="shared" si="20"/>
        <v>725984</v>
      </c>
      <c r="X22" s="91">
        <f t="shared" si="20"/>
        <v>725984</v>
      </c>
      <c r="Y22" s="91">
        <f t="shared" si="20"/>
        <v>725984</v>
      </c>
      <c r="Z22" s="91">
        <f t="shared" si="20"/>
        <v>725984</v>
      </c>
      <c r="AA22" s="91">
        <f t="shared" si="20"/>
        <v>725984</v>
      </c>
      <c r="AB22" s="91">
        <f t="shared" si="20"/>
        <v>725984</v>
      </c>
      <c r="AC22" s="91">
        <f t="shared" si="20"/>
        <v>725984</v>
      </c>
      <c r="AD22" s="91">
        <f t="shared" si="20"/>
        <v>725984</v>
      </c>
      <c r="AE22" s="91">
        <f t="shared" si="20"/>
        <v>725984</v>
      </c>
      <c r="AF22" s="91">
        <f t="shared" si="20"/>
        <v>725984</v>
      </c>
      <c r="AG22" s="91">
        <f t="shared" si="20"/>
        <v>725984</v>
      </c>
      <c r="AH22" s="91">
        <f t="shared" si="20"/>
        <v>725984</v>
      </c>
      <c r="AI22" s="91">
        <f t="shared" si="20"/>
        <v>725984</v>
      </c>
      <c r="AJ22" s="91">
        <f t="shared" si="20"/>
        <v>725984</v>
      </c>
      <c r="AK22" s="91">
        <f t="shared" si="20"/>
        <v>725984</v>
      </c>
      <c r="AL22" s="91">
        <f t="shared" si="20"/>
        <v>725984</v>
      </c>
      <c r="AM22" s="91">
        <f t="shared" si="20"/>
        <v>725984</v>
      </c>
      <c r="AN22" s="91">
        <f t="shared" si="20"/>
        <v>725984</v>
      </c>
      <c r="AO22" s="91">
        <f t="shared" si="20"/>
        <v>725984</v>
      </c>
      <c r="AP22" s="91">
        <f t="shared" si="20"/>
        <v>725984</v>
      </c>
      <c r="AQ22" s="91">
        <f t="shared" si="20"/>
        <v>725984</v>
      </c>
      <c r="AR22" s="91"/>
      <c r="AS22" s="91"/>
      <c r="AT22" s="91"/>
      <c r="AU22" s="91"/>
      <c r="AV22" s="91"/>
      <c r="AW22" s="91"/>
      <c r="AX22" s="91"/>
      <c r="AY22" s="91">
        <f>SUM(E22:AW22)</f>
        <v>18149600</v>
      </c>
    </row>
    <row r="23" spans="2:51">
      <c r="B23" s="88">
        <v>2</v>
      </c>
      <c r="C23" s="81" t="s">
        <v>20</v>
      </c>
      <c r="D23" s="92">
        <f>+'Budget Tower-E'!C38</f>
        <v>18149600</v>
      </c>
      <c r="E23" s="91"/>
      <c r="F23" s="91"/>
      <c r="G23" s="91"/>
      <c r="H23" s="91"/>
      <c r="I23" s="91"/>
      <c r="J23" s="91"/>
      <c r="K23" s="91"/>
      <c r="L23" s="91"/>
      <c r="M23" s="91"/>
      <c r="N23" s="91"/>
      <c r="O23" s="91"/>
      <c r="P23" s="91"/>
      <c r="Q23" s="91"/>
      <c r="R23" s="91"/>
      <c r="S23" s="91"/>
      <c r="T23" s="91"/>
      <c r="U23" s="91"/>
      <c r="V23" s="91"/>
      <c r="W23" s="91"/>
      <c r="X23" s="91">
        <f>+D23/15</f>
        <v>1209973.3333333333</v>
      </c>
      <c r="Y23" s="91">
        <f>+X23</f>
        <v>1209973.3333333333</v>
      </c>
      <c r="Z23" s="91">
        <f t="shared" ref="Z23:AL23" si="21">+Y23</f>
        <v>1209973.3333333333</v>
      </c>
      <c r="AA23" s="91">
        <f t="shared" si="21"/>
        <v>1209973.3333333333</v>
      </c>
      <c r="AB23" s="91">
        <f t="shared" si="21"/>
        <v>1209973.3333333333</v>
      </c>
      <c r="AC23" s="91">
        <f t="shared" si="21"/>
        <v>1209973.3333333333</v>
      </c>
      <c r="AD23" s="91">
        <f t="shared" si="21"/>
        <v>1209973.3333333333</v>
      </c>
      <c r="AE23" s="91">
        <f t="shared" si="21"/>
        <v>1209973.3333333333</v>
      </c>
      <c r="AF23" s="91">
        <f t="shared" si="21"/>
        <v>1209973.3333333333</v>
      </c>
      <c r="AG23" s="91">
        <f t="shared" si="21"/>
        <v>1209973.3333333333</v>
      </c>
      <c r="AH23" s="91">
        <f t="shared" si="21"/>
        <v>1209973.3333333333</v>
      </c>
      <c r="AI23" s="91">
        <f t="shared" si="21"/>
        <v>1209973.3333333333</v>
      </c>
      <c r="AJ23" s="91">
        <f t="shared" si="21"/>
        <v>1209973.3333333333</v>
      </c>
      <c r="AK23" s="91">
        <f t="shared" si="21"/>
        <v>1209973.3333333333</v>
      </c>
      <c r="AL23" s="91">
        <f t="shared" si="21"/>
        <v>1209973.3333333333</v>
      </c>
      <c r="AM23" s="91"/>
      <c r="AN23" s="91"/>
      <c r="AO23" s="91"/>
      <c r="AP23" s="91"/>
      <c r="AQ23" s="91"/>
      <c r="AR23" s="91"/>
      <c r="AS23" s="91"/>
      <c r="AT23" s="91"/>
      <c r="AU23" s="91"/>
      <c r="AV23" s="91"/>
      <c r="AW23" s="91"/>
      <c r="AX23" s="91"/>
      <c r="AY23" s="91">
        <f>SUM(E23:AW23)</f>
        <v>18149600</v>
      </c>
    </row>
    <row r="24" spans="2:51">
      <c r="B24" s="88">
        <v>3</v>
      </c>
      <c r="C24" s="81" t="s">
        <v>21</v>
      </c>
      <c r="D24" s="92">
        <f>+'Budget Tower-E'!C44</f>
        <v>7778400</v>
      </c>
      <c r="E24" s="91"/>
      <c r="F24" s="91"/>
      <c r="G24" s="91"/>
      <c r="H24" s="91"/>
      <c r="I24" s="91"/>
      <c r="J24" s="91"/>
      <c r="K24" s="91"/>
      <c r="L24" s="91"/>
      <c r="M24" s="91"/>
      <c r="N24" s="91"/>
      <c r="O24" s="91"/>
      <c r="P24" s="91"/>
      <c r="Q24" s="91"/>
      <c r="R24" s="91"/>
      <c r="S24" s="91"/>
      <c r="T24" s="91"/>
      <c r="U24" s="91"/>
      <c r="V24" s="91"/>
      <c r="W24" s="91"/>
      <c r="X24" s="91"/>
      <c r="Y24" s="91"/>
      <c r="Z24" s="91"/>
      <c r="AA24" s="91"/>
      <c r="AB24" s="91"/>
      <c r="AC24" s="91"/>
      <c r="AD24" s="91"/>
      <c r="AE24" s="91"/>
      <c r="AF24" s="91"/>
      <c r="AG24" s="91"/>
      <c r="AH24" s="91">
        <f>+D24/8</f>
        <v>972300</v>
      </c>
      <c r="AI24" s="91">
        <f>+AH24</f>
        <v>972300</v>
      </c>
      <c r="AJ24" s="91">
        <f t="shared" ref="AJ24:AO24" si="22">+AI24</f>
        <v>972300</v>
      </c>
      <c r="AK24" s="91">
        <f t="shared" si="22"/>
        <v>972300</v>
      </c>
      <c r="AL24" s="91">
        <f t="shared" si="22"/>
        <v>972300</v>
      </c>
      <c r="AM24" s="91">
        <f t="shared" si="22"/>
        <v>972300</v>
      </c>
      <c r="AN24" s="91">
        <f t="shared" si="22"/>
        <v>972300</v>
      </c>
      <c r="AO24" s="91">
        <f t="shared" si="22"/>
        <v>972300</v>
      </c>
      <c r="AP24" s="91"/>
      <c r="AQ24" s="91"/>
      <c r="AR24" s="91"/>
      <c r="AS24" s="91"/>
      <c r="AT24" s="91"/>
      <c r="AU24" s="91"/>
      <c r="AV24" s="91"/>
      <c r="AW24" s="91"/>
      <c r="AX24" s="91"/>
      <c r="AY24" s="91">
        <f>SUM(E24:AW24)</f>
        <v>7778400</v>
      </c>
    </row>
    <row r="25" spans="2:51">
      <c r="B25" s="88">
        <v>4</v>
      </c>
      <c r="C25" s="81" t="s">
        <v>22</v>
      </c>
      <c r="D25" s="92">
        <f>+'Budget Tower-E'!C40</f>
        <v>12964000</v>
      </c>
      <c r="E25" s="91"/>
      <c r="F25" s="91"/>
      <c r="G25" s="91"/>
      <c r="H25" s="91"/>
      <c r="I25" s="91"/>
      <c r="J25" s="91"/>
      <c r="K25" s="91"/>
      <c r="L25" s="91"/>
      <c r="M25" s="91"/>
      <c r="N25" s="91"/>
      <c r="O25" s="91"/>
      <c r="P25" s="91"/>
      <c r="Q25" s="91"/>
      <c r="R25" s="91"/>
      <c r="S25" s="91"/>
      <c r="T25" s="91"/>
      <c r="U25" s="91"/>
      <c r="V25" s="91"/>
      <c r="W25" s="91"/>
      <c r="X25" s="91"/>
      <c r="Y25" s="91"/>
      <c r="Z25" s="91"/>
      <c r="AA25" s="91"/>
      <c r="AB25" s="91"/>
      <c r="AC25" s="91"/>
      <c r="AD25" s="91"/>
      <c r="AE25" s="91"/>
      <c r="AF25" s="91"/>
      <c r="AG25" s="91"/>
      <c r="AH25" s="91">
        <f>+D25/8</f>
        <v>1620500</v>
      </c>
      <c r="AI25" s="91">
        <f>+AH25</f>
        <v>1620500</v>
      </c>
      <c r="AJ25" s="91">
        <f t="shared" ref="AJ25:AO25" si="23">+AI25</f>
        <v>1620500</v>
      </c>
      <c r="AK25" s="91">
        <f t="shared" si="23"/>
        <v>1620500</v>
      </c>
      <c r="AL25" s="91">
        <f t="shared" si="23"/>
        <v>1620500</v>
      </c>
      <c r="AM25" s="91">
        <f t="shared" si="23"/>
        <v>1620500</v>
      </c>
      <c r="AN25" s="91">
        <f t="shared" si="23"/>
        <v>1620500</v>
      </c>
      <c r="AO25" s="91">
        <f t="shared" si="23"/>
        <v>1620500</v>
      </c>
      <c r="AP25" s="91"/>
      <c r="AQ25" s="91"/>
      <c r="AR25" s="91"/>
      <c r="AS25" s="91"/>
      <c r="AT25" s="91"/>
      <c r="AU25" s="91"/>
      <c r="AV25" s="91"/>
      <c r="AW25" s="91"/>
      <c r="AX25" s="91"/>
      <c r="AY25" s="91">
        <f>SUM(E25:AW25)</f>
        <v>12964000</v>
      </c>
    </row>
    <row r="26" spans="2:51">
      <c r="B26" s="88">
        <v>5</v>
      </c>
      <c r="C26" s="81" t="s">
        <v>23</v>
      </c>
      <c r="D26" s="92">
        <f>+'Budget Tower-E'!C42</f>
        <v>12964000</v>
      </c>
      <c r="E26" s="91"/>
      <c r="F26" s="91"/>
      <c r="G26" s="91"/>
      <c r="H26" s="91"/>
      <c r="I26" s="91"/>
      <c r="J26" s="91"/>
      <c r="K26" s="91"/>
      <c r="L26" s="91"/>
      <c r="M26" s="91"/>
      <c r="N26" s="91"/>
      <c r="O26" s="91"/>
      <c r="P26" s="91"/>
      <c r="Q26" s="91"/>
      <c r="R26" s="91"/>
      <c r="S26" s="91"/>
      <c r="T26" s="91"/>
      <c r="U26" s="91"/>
      <c r="V26" s="91"/>
      <c r="W26" s="91"/>
      <c r="X26" s="91">
        <f>+D26/15</f>
        <v>864266.66666666663</v>
      </c>
      <c r="Y26" s="91">
        <f>+X26</f>
        <v>864266.66666666663</v>
      </c>
      <c r="Z26" s="91">
        <f t="shared" ref="Z26:AO27" si="24">+Y26</f>
        <v>864266.66666666663</v>
      </c>
      <c r="AA26" s="91">
        <f t="shared" si="24"/>
        <v>864266.66666666663</v>
      </c>
      <c r="AB26" s="91">
        <f t="shared" si="24"/>
        <v>864266.66666666663</v>
      </c>
      <c r="AC26" s="91">
        <f t="shared" si="24"/>
        <v>864266.66666666663</v>
      </c>
      <c r="AD26" s="91">
        <f t="shared" si="24"/>
        <v>864266.66666666663</v>
      </c>
      <c r="AE26" s="91">
        <f t="shared" si="24"/>
        <v>864266.66666666663</v>
      </c>
      <c r="AF26" s="91">
        <f t="shared" si="24"/>
        <v>864266.66666666663</v>
      </c>
      <c r="AG26" s="91">
        <f t="shared" si="24"/>
        <v>864266.66666666663</v>
      </c>
      <c r="AH26" s="91">
        <f t="shared" si="24"/>
        <v>864266.66666666663</v>
      </c>
      <c r="AI26" s="91">
        <f t="shared" si="24"/>
        <v>864266.66666666663</v>
      </c>
      <c r="AJ26" s="91">
        <f t="shared" si="24"/>
        <v>864266.66666666663</v>
      </c>
      <c r="AK26" s="91">
        <f t="shared" si="24"/>
        <v>864266.66666666663</v>
      </c>
      <c r="AL26" s="91">
        <f t="shared" si="24"/>
        <v>864266.66666666663</v>
      </c>
      <c r="AM26" s="91"/>
      <c r="AN26" s="91"/>
      <c r="AO26" s="91"/>
      <c r="AP26" s="91"/>
      <c r="AQ26" s="91"/>
      <c r="AR26" s="91"/>
      <c r="AS26" s="91"/>
      <c r="AT26" s="91"/>
      <c r="AU26" s="91"/>
      <c r="AV26" s="91"/>
      <c r="AW26" s="91"/>
      <c r="AX26" s="91"/>
      <c r="AY26" s="91">
        <f>SUM(E26:AW26)</f>
        <v>12963999.999999998</v>
      </c>
    </row>
    <row r="27" spans="2:51">
      <c r="B27" s="88">
        <v>6</v>
      </c>
      <c r="C27" s="81" t="str">
        <f>+'Budget Tower-E'!B48</f>
        <v>CLUB</v>
      </c>
      <c r="D27" s="92">
        <f>+'Budget Tower-E'!C48</f>
        <v>12964000</v>
      </c>
      <c r="E27" s="91"/>
      <c r="F27" s="91"/>
      <c r="G27" s="91"/>
      <c r="H27" s="91"/>
      <c r="I27" s="91"/>
      <c r="J27" s="91"/>
      <c r="K27" s="91"/>
      <c r="L27" s="91"/>
      <c r="M27" s="91"/>
      <c r="N27" s="91"/>
      <c r="O27" s="91"/>
      <c r="P27" s="91"/>
      <c r="Q27" s="91"/>
      <c r="R27" s="91"/>
      <c r="S27" s="91"/>
      <c r="T27" s="91"/>
      <c r="U27" s="91"/>
      <c r="V27" s="91"/>
      <c r="W27" s="91"/>
      <c r="X27" s="91"/>
      <c r="Y27" s="91"/>
      <c r="Z27" s="91"/>
      <c r="AA27" s="91"/>
      <c r="AB27" s="91"/>
      <c r="AC27" s="91"/>
      <c r="AD27" s="91"/>
      <c r="AE27" s="91"/>
      <c r="AF27" s="91"/>
      <c r="AG27" s="91"/>
      <c r="AH27" s="91"/>
      <c r="AI27" s="91"/>
      <c r="AJ27" s="91"/>
      <c r="AK27" s="91">
        <f>+D27/10</f>
        <v>1296400</v>
      </c>
      <c r="AL27" s="91">
        <f t="shared" si="24"/>
        <v>1296400</v>
      </c>
      <c r="AM27" s="91">
        <f t="shared" si="24"/>
        <v>1296400</v>
      </c>
      <c r="AN27" s="91">
        <f t="shared" si="24"/>
        <v>1296400</v>
      </c>
      <c r="AO27" s="91">
        <f t="shared" si="24"/>
        <v>1296400</v>
      </c>
      <c r="AP27" s="91">
        <f t="shared" ref="AP27:AT27" si="25">+AO27</f>
        <v>1296400</v>
      </c>
      <c r="AQ27" s="91">
        <f t="shared" si="25"/>
        <v>1296400</v>
      </c>
      <c r="AR27" s="91">
        <f t="shared" si="25"/>
        <v>1296400</v>
      </c>
      <c r="AS27" s="91">
        <f t="shared" si="25"/>
        <v>1296400</v>
      </c>
      <c r="AT27" s="91">
        <f t="shared" si="25"/>
        <v>1296400</v>
      </c>
      <c r="AU27" s="91"/>
      <c r="AV27" s="91"/>
      <c r="AW27" s="91"/>
      <c r="AX27" s="91"/>
      <c r="AY27" s="91"/>
    </row>
    <row r="28" spans="2:51" ht="15.75">
      <c r="B28" s="81"/>
      <c r="C28" s="96" t="s">
        <v>24</v>
      </c>
      <c r="D28" s="97">
        <f t="shared" ref="D28:AW28" si="26">SUM(D22:D27)</f>
        <v>82969600</v>
      </c>
      <c r="E28" s="97">
        <f t="shared" si="26"/>
        <v>0</v>
      </c>
      <c r="F28" s="97">
        <f t="shared" si="26"/>
        <v>0</v>
      </c>
      <c r="G28" s="97">
        <f t="shared" si="26"/>
        <v>0</v>
      </c>
      <c r="H28" s="97">
        <f t="shared" si="26"/>
        <v>0</v>
      </c>
      <c r="I28" s="97">
        <f t="shared" si="26"/>
        <v>0</v>
      </c>
      <c r="J28" s="97">
        <f t="shared" si="26"/>
        <v>0</v>
      </c>
      <c r="K28" s="97">
        <f t="shared" si="26"/>
        <v>0</v>
      </c>
      <c r="L28" s="97">
        <f t="shared" si="26"/>
        <v>0</v>
      </c>
      <c r="M28" s="97">
        <f t="shared" si="26"/>
        <v>0</v>
      </c>
      <c r="N28" s="97">
        <f t="shared" si="26"/>
        <v>0</v>
      </c>
      <c r="O28" s="97">
        <f t="shared" si="26"/>
        <v>0</v>
      </c>
      <c r="P28" s="97">
        <f t="shared" si="26"/>
        <v>0</v>
      </c>
      <c r="Q28" s="97">
        <f t="shared" si="26"/>
        <v>0</v>
      </c>
      <c r="R28" s="97">
        <f t="shared" si="26"/>
        <v>0</v>
      </c>
      <c r="S28" s="97">
        <f t="shared" si="26"/>
        <v>725984</v>
      </c>
      <c r="T28" s="97">
        <f t="shared" si="26"/>
        <v>725984</v>
      </c>
      <c r="U28" s="97">
        <f t="shared" si="26"/>
        <v>725984</v>
      </c>
      <c r="V28" s="97">
        <f t="shared" si="26"/>
        <v>725984</v>
      </c>
      <c r="W28" s="97">
        <f t="shared" si="26"/>
        <v>725984</v>
      </c>
      <c r="X28" s="97">
        <f t="shared" si="26"/>
        <v>2800224</v>
      </c>
      <c r="Y28" s="97">
        <f t="shared" si="26"/>
        <v>2800224</v>
      </c>
      <c r="Z28" s="97">
        <f t="shared" si="26"/>
        <v>2800224</v>
      </c>
      <c r="AA28" s="97">
        <f t="shared" si="26"/>
        <v>2800224</v>
      </c>
      <c r="AB28" s="97">
        <f t="shared" si="26"/>
        <v>2800224</v>
      </c>
      <c r="AC28" s="97">
        <f t="shared" si="26"/>
        <v>2800224</v>
      </c>
      <c r="AD28" s="97">
        <f t="shared" si="26"/>
        <v>2800224</v>
      </c>
      <c r="AE28" s="97">
        <f t="shared" si="26"/>
        <v>2800224</v>
      </c>
      <c r="AF28" s="97">
        <f t="shared" si="26"/>
        <v>2800224</v>
      </c>
      <c r="AG28" s="97">
        <f t="shared" si="26"/>
        <v>2800224</v>
      </c>
      <c r="AH28" s="97">
        <f t="shared" si="26"/>
        <v>5393024</v>
      </c>
      <c r="AI28" s="97">
        <f t="shared" si="26"/>
        <v>5393024</v>
      </c>
      <c r="AJ28" s="97">
        <f t="shared" si="26"/>
        <v>5393024</v>
      </c>
      <c r="AK28" s="97">
        <f t="shared" si="26"/>
        <v>6689424</v>
      </c>
      <c r="AL28" s="97">
        <f t="shared" si="26"/>
        <v>6689424</v>
      </c>
      <c r="AM28" s="97">
        <f t="shared" si="26"/>
        <v>4615184</v>
      </c>
      <c r="AN28" s="97">
        <f t="shared" si="26"/>
        <v>4615184</v>
      </c>
      <c r="AO28" s="97">
        <f t="shared" si="26"/>
        <v>4615184</v>
      </c>
      <c r="AP28" s="97">
        <f t="shared" si="26"/>
        <v>2022384</v>
      </c>
      <c r="AQ28" s="97">
        <f t="shared" si="26"/>
        <v>2022384</v>
      </c>
      <c r="AR28" s="97">
        <f t="shared" si="26"/>
        <v>1296400</v>
      </c>
      <c r="AS28" s="97">
        <f t="shared" si="26"/>
        <v>1296400</v>
      </c>
      <c r="AT28" s="97">
        <f t="shared" si="26"/>
        <v>1296400</v>
      </c>
      <c r="AU28" s="97">
        <f t="shared" si="26"/>
        <v>0</v>
      </c>
      <c r="AV28" s="97">
        <f t="shared" si="26"/>
        <v>0</v>
      </c>
      <c r="AW28" s="97">
        <f t="shared" si="26"/>
        <v>0</v>
      </c>
      <c r="AX28" s="97"/>
      <c r="AY28" s="97">
        <f t="shared" ref="AY28:AY30" si="27">SUM(E28:AW28)</f>
        <v>82969600</v>
      </c>
    </row>
    <row r="29" spans="2:51" ht="15.75">
      <c r="B29" s="81"/>
      <c r="C29" s="81"/>
      <c r="D29" s="97">
        <f>+D28/10^7</f>
        <v>8.2969600000000003</v>
      </c>
      <c r="E29" s="99">
        <f t="shared" ref="E29:AW29" si="28">+E28/10^7</f>
        <v>0</v>
      </c>
      <c r="F29" s="99">
        <f t="shared" si="28"/>
        <v>0</v>
      </c>
      <c r="G29" s="99">
        <f t="shared" si="28"/>
        <v>0</v>
      </c>
      <c r="H29" s="99">
        <f t="shared" si="28"/>
        <v>0</v>
      </c>
      <c r="I29" s="99">
        <f t="shared" si="28"/>
        <v>0</v>
      </c>
      <c r="J29" s="99">
        <f t="shared" si="28"/>
        <v>0</v>
      </c>
      <c r="K29" s="99">
        <f t="shared" si="28"/>
        <v>0</v>
      </c>
      <c r="L29" s="99">
        <f t="shared" si="28"/>
        <v>0</v>
      </c>
      <c r="M29" s="99">
        <f t="shared" si="28"/>
        <v>0</v>
      </c>
      <c r="N29" s="99">
        <f t="shared" si="28"/>
        <v>0</v>
      </c>
      <c r="O29" s="99">
        <f t="shared" si="28"/>
        <v>0</v>
      </c>
      <c r="P29" s="99">
        <f t="shared" si="28"/>
        <v>0</v>
      </c>
      <c r="Q29" s="99">
        <f t="shared" si="28"/>
        <v>0</v>
      </c>
      <c r="R29" s="99">
        <f t="shared" si="28"/>
        <v>0</v>
      </c>
      <c r="S29" s="99">
        <f t="shared" si="28"/>
        <v>7.2598399999999993E-2</v>
      </c>
      <c r="T29" s="99">
        <f t="shared" si="28"/>
        <v>7.2598399999999993E-2</v>
      </c>
      <c r="U29" s="99">
        <f t="shared" si="28"/>
        <v>7.2598399999999993E-2</v>
      </c>
      <c r="V29" s="99">
        <f t="shared" si="28"/>
        <v>7.2598399999999993E-2</v>
      </c>
      <c r="W29" s="99">
        <f t="shared" si="28"/>
        <v>7.2598399999999993E-2</v>
      </c>
      <c r="X29" s="99">
        <f t="shared" si="28"/>
        <v>0.2800224</v>
      </c>
      <c r="Y29" s="99">
        <f t="shared" si="28"/>
        <v>0.2800224</v>
      </c>
      <c r="Z29" s="99">
        <f t="shared" si="28"/>
        <v>0.2800224</v>
      </c>
      <c r="AA29" s="99">
        <f t="shared" si="28"/>
        <v>0.2800224</v>
      </c>
      <c r="AB29" s="99">
        <f t="shared" si="28"/>
        <v>0.2800224</v>
      </c>
      <c r="AC29" s="99">
        <f t="shared" si="28"/>
        <v>0.2800224</v>
      </c>
      <c r="AD29" s="99">
        <f t="shared" si="28"/>
        <v>0.2800224</v>
      </c>
      <c r="AE29" s="99">
        <f t="shared" si="28"/>
        <v>0.2800224</v>
      </c>
      <c r="AF29" s="99">
        <f t="shared" si="28"/>
        <v>0.2800224</v>
      </c>
      <c r="AG29" s="99">
        <f t="shared" si="28"/>
        <v>0.2800224</v>
      </c>
      <c r="AH29" s="99">
        <f t="shared" si="28"/>
        <v>0.53930239999999996</v>
      </c>
      <c r="AI29" s="99">
        <f t="shared" si="28"/>
        <v>0.53930239999999996</v>
      </c>
      <c r="AJ29" s="99">
        <f t="shared" si="28"/>
        <v>0.53930239999999996</v>
      </c>
      <c r="AK29" s="99">
        <f t="shared" si="28"/>
        <v>0.66894240000000005</v>
      </c>
      <c r="AL29" s="99">
        <f t="shared" si="28"/>
        <v>0.66894240000000005</v>
      </c>
      <c r="AM29" s="99">
        <f t="shared" si="28"/>
        <v>0.4615184</v>
      </c>
      <c r="AN29" s="99">
        <f t="shared" si="28"/>
        <v>0.4615184</v>
      </c>
      <c r="AO29" s="99">
        <f t="shared" si="28"/>
        <v>0.4615184</v>
      </c>
      <c r="AP29" s="99">
        <f t="shared" si="28"/>
        <v>0.20223840000000001</v>
      </c>
      <c r="AQ29" s="99">
        <f t="shared" si="28"/>
        <v>0.20223840000000001</v>
      </c>
      <c r="AR29" s="99">
        <f t="shared" si="28"/>
        <v>0.12964000000000001</v>
      </c>
      <c r="AS29" s="99">
        <f t="shared" si="28"/>
        <v>0.12964000000000001</v>
      </c>
      <c r="AT29" s="99">
        <f t="shared" si="28"/>
        <v>0.12964000000000001</v>
      </c>
      <c r="AU29" s="99">
        <f t="shared" si="28"/>
        <v>0</v>
      </c>
      <c r="AV29" s="99">
        <f t="shared" si="28"/>
        <v>0</v>
      </c>
      <c r="AW29" s="99">
        <f t="shared" si="28"/>
        <v>0</v>
      </c>
      <c r="AX29" s="99"/>
      <c r="AY29" s="99">
        <f>+AY28/10^7</f>
        <v>8.2969600000000003</v>
      </c>
    </row>
    <row r="30" spans="2:51" ht="15.75">
      <c r="B30" s="86" t="s">
        <v>69</v>
      </c>
      <c r="C30" s="86" t="s">
        <v>101</v>
      </c>
      <c r="D30" s="97">
        <f>'Budget Tower-E'!C80</f>
        <v>92610518</v>
      </c>
      <c r="E30" s="97"/>
      <c r="F30" s="97"/>
      <c r="G30" s="97">
        <f>D30/8</f>
        <v>11576314.75</v>
      </c>
      <c r="H30" s="97">
        <f t="shared" ref="H30:N30" si="29">G30</f>
        <v>11576314.75</v>
      </c>
      <c r="I30" s="97">
        <f t="shared" si="29"/>
        <v>11576314.75</v>
      </c>
      <c r="J30" s="97">
        <f t="shared" si="29"/>
        <v>11576314.75</v>
      </c>
      <c r="K30" s="97">
        <f t="shared" si="29"/>
        <v>11576314.75</v>
      </c>
      <c r="L30" s="97">
        <f t="shared" si="29"/>
        <v>11576314.75</v>
      </c>
      <c r="M30" s="97">
        <f t="shared" si="29"/>
        <v>11576314.75</v>
      </c>
      <c r="N30" s="97">
        <f t="shared" si="29"/>
        <v>11576314.75</v>
      </c>
      <c r="O30" s="97"/>
      <c r="P30" s="97"/>
      <c r="Q30" s="97"/>
      <c r="R30" s="97"/>
      <c r="S30" s="97"/>
      <c r="T30" s="97"/>
      <c r="U30" s="97"/>
      <c r="V30" s="97"/>
      <c r="W30" s="97"/>
      <c r="X30" s="97"/>
      <c r="Y30" s="97"/>
      <c r="Z30" s="97"/>
      <c r="AA30" s="97"/>
      <c r="AB30" s="97"/>
      <c r="AC30" s="97"/>
      <c r="AD30" s="97"/>
      <c r="AE30" s="97"/>
      <c r="AF30" s="97"/>
      <c r="AG30" s="97"/>
      <c r="AH30" s="97"/>
      <c r="AI30" s="97"/>
      <c r="AJ30" s="97"/>
      <c r="AK30" s="97"/>
      <c r="AL30" s="97"/>
      <c r="AM30" s="97"/>
      <c r="AN30" s="97"/>
      <c r="AO30" s="97"/>
      <c r="AP30" s="97"/>
      <c r="AQ30" s="97"/>
      <c r="AR30" s="97"/>
      <c r="AS30" s="97"/>
      <c r="AT30" s="97"/>
      <c r="AU30" s="97"/>
      <c r="AV30" s="97"/>
      <c r="AW30" s="97"/>
      <c r="AX30" s="97"/>
      <c r="AY30" s="97">
        <f t="shared" si="27"/>
        <v>92610518</v>
      </c>
    </row>
    <row r="31" spans="2:51" ht="15.75">
      <c r="B31" s="101"/>
      <c r="C31" s="86"/>
      <c r="D31" s="97">
        <f>+D30/10000000</f>
        <v>9.2610518000000006</v>
      </c>
      <c r="E31" s="99"/>
      <c r="F31" s="99"/>
      <c r="G31" s="99">
        <v>0.77937500000000004</v>
      </c>
      <c r="H31" s="99">
        <v>0.77937500000000004</v>
      </c>
      <c r="I31" s="99">
        <v>0.77937500000000004</v>
      </c>
      <c r="J31" s="99">
        <v>0.77937500000000004</v>
      </c>
      <c r="K31" s="99">
        <v>0.77937500000000004</v>
      </c>
      <c r="L31" s="99">
        <v>0.77937500000000004</v>
      </c>
      <c r="M31" s="99">
        <v>0.77937500000000004</v>
      </c>
      <c r="N31" s="99">
        <v>0.77937500000000004</v>
      </c>
      <c r="O31" s="99"/>
      <c r="P31" s="99"/>
      <c r="Q31" s="99"/>
      <c r="R31" s="99"/>
      <c r="S31" s="99"/>
      <c r="T31" s="99"/>
      <c r="U31" s="99"/>
      <c r="V31" s="99"/>
      <c r="W31" s="99"/>
      <c r="X31" s="99"/>
      <c r="Y31" s="99"/>
      <c r="Z31" s="99"/>
      <c r="AA31" s="99"/>
      <c r="AB31" s="99"/>
      <c r="AC31" s="99"/>
      <c r="AD31" s="99"/>
      <c r="AE31" s="99"/>
      <c r="AF31" s="99"/>
      <c r="AG31" s="99"/>
      <c r="AH31" s="99"/>
      <c r="AI31" s="99"/>
      <c r="AJ31" s="99"/>
      <c r="AK31" s="99"/>
      <c r="AL31" s="99"/>
      <c r="AM31" s="99"/>
      <c r="AN31" s="99"/>
      <c r="AO31" s="99"/>
      <c r="AP31" s="99"/>
      <c r="AQ31" s="99"/>
      <c r="AR31" s="99"/>
      <c r="AS31" s="99"/>
      <c r="AT31" s="99"/>
      <c r="AU31" s="99"/>
      <c r="AV31" s="99"/>
      <c r="AW31" s="99"/>
      <c r="AX31" s="99"/>
      <c r="AY31" s="99"/>
    </row>
    <row r="32" spans="2:51" ht="31.5">
      <c r="B32" s="81"/>
      <c r="C32" s="102" t="s">
        <v>100</v>
      </c>
      <c r="D32" s="103">
        <f>D19+D28+D30</f>
        <v>554545810.34573901</v>
      </c>
      <c r="E32" s="103">
        <f t="shared" ref="E32:AW32" si="30">E19+E28+E30</f>
        <v>933408</v>
      </c>
      <c r="F32" s="103">
        <f t="shared" si="30"/>
        <v>933408</v>
      </c>
      <c r="G32" s="103">
        <f t="shared" si="30"/>
        <v>21538767.455882348</v>
      </c>
      <c r="H32" s="103">
        <f t="shared" si="30"/>
        <v>21538767.455882348</v>
      </c>
      <c r="I32" s="103">
        <f t="shared" si="30"/>
        <v>21538767.455882348</v>
      </c>
      <c r="J32" s="103">
        <f t="shared" si="30"/>
        <v>20605359.455882348</v>
      </c>
      <c r="K32" s="103">
        <f t="shared" si="30"/>
        <v>20605359.455882348</v>
      </c>
      <c r="L32" s="103">
        <f t="shared" si="30"/>
        <v>20605359.455882348</v>
      </c>
      <c r="M32" s="103">
        <f t="shared" si="30"/>
        <v>20605359.455882348</v>
      </c>
      <c r="N32" s="103">
        <f t="shared" si="30"/>
        <v>22096219.4558824</v>
      </c>
      <c r="O32" s="103">
        <f t="shared" si="30"/>
        <v>10519904.7058824</v>
      </c>
      <c r="P32" s="103">
        <f t="shared" si="30"/>
        <v>10519904.7058824</v>
      </c>
      <c r="Q32" s="103">
        <f t="shared" si="30"/>
        <v>10519904.7058824</v>
      </c>
      <c r="R32" s="103">
        <f t="shared" si="30"/>
        <v>10519904.7058824</v>
      </c>
      <c r="S32" s="103">
        <f t="shared" si="30"/>
        <v>11245888.7058824</v>
      </c>
      <c r="T32" s="103">
        <f t="shared" si="30"/>
        <v>11245888.7058824</v>
      </c>
      <c r="U32" s="103">
        <f t="shared" si="30"/>
        <v>14033148.7058824</v>
      </c>
      <c r="V32" s="103">
        <f t="shared" si="30"/>
        <v>14264863.2719693</v>
      </c>
      <c r="W32" s="103">
        <f t="shared" si="30"/>
        <v>14264863.2719693</v>
      </c>
      <c r="X32" s="103">
        <f t="shared" si="30"/>
        <v>7310058.5660869395</v>
      </c>
      <c r="Y32" s="103">
        <f t="shared" si="30"/>
        <v>8533860.1660869401</v>
      </c>
      <c r="Z32" s="103">
        <f t="shared" si="30"/>
        <v>8533860.1660869401</v>
      </c>
      <c r="AA32" s="103">
        <f t="shared" si="30"/>
        <v>10077193.4994203</v>
      </c>
      <c r="AB32" s="103">
        <f t="shared" si="30"/>
        <v>10077193.4994203</v>
      </c>
      <c r="AC32" s="103">
        <f t="shared" si="30"/>
        <v>9393990.6994202696</v>
      </c>
      <c r="AD32" s="103">
        <f t="shared" si="30"/>
        <v>12710365.870620299</v>
      </c>
      <c r="AE32" s="103">
        <f t="shared" si="30"/>
        <v>12710365.870620299</v>
      </c>
      <c r="AF32" s="103">
        <f t="shared" si="30"/>
        <v>12710365.870620299</v>
      </c>
      <c r="AG32" s="103">
        <f t="shared" si="30"/>
        <v>12710365.870620299</v>
      </c>
      <c r="AH32" s="103">
        <f t="shared" si="30"/>
        <v>13812305.870620299</v>
      </c>
      <c r="AI32" s="103">
        <f t="shared" si="30"/>
        <v>13812305.870620299</v>
      </c>
      <c r="AJ32" s="103">
        <f t="shared" si="30"/>
        <v>13812305.870620299</v>
      </c>
      <c r="AK32" s="103">
        <f t="shared" si="30"/>
        <v>14819608.6706203</v>
      </c>
      <c r="AL32" s="103">
        <f t="shared" si="30"/>
        <v>14819608.6706203</v>
      </c>
      <c r="AM32" s="103">
        <f t="shared" si="30"/>
        <v>12745368.6706203</v>
      </c>
      <c r="AN32" s="103">
        <f t="shared" si="30"/>
        <v>13134288.6706203</v>
      </c>
      <c r="AO32" s="103">
        <f t="shared" si="30"/>
        <v>13134288.6706203</v>
      </c>
      <c r="AP32" s="103">
        <f t="shared" si="30"/>
        <v>10309774.1045333</v>
      </c>
      <c r="AQ32" s="103">
        <f t="shared" si="30"/>
        <v>10309774.1045333</v>
      </c>
      <c r="AR32" s="103">
        <f t="shared" si="30"/>
        <v>9194870.1045333296</v>
      </c>
      <c r="AS32" s="103">
        <f t="shared" si="30"/>
        <v>9194870.1045333296</v>
      </c>
      <c r="AT32" s="103">
        <f t="shared" si="30"/>
        <v>7379910.1045333296</v>
      </c>
      <c r="AU32" s="103">
        <f t="shared" si="30"/>
        <v>6083510.1045333296</v>
      </c>
      <c r="AV32" s="103">
        <f t="shared" si="30"/>
        <v>4540176.7712000003</v>
      </c>
      <c r="AW32" s="103">
        <f t="shared" si="30"/>
        <v>4540176.7712000003</v>
      </c>
      <c r="AX32" s="103"/>
      <c r="AY32" s="103">
        <f>AY19+AY28+AY30</f>
        <v>554545810.34573901</v>
      </c>
    </row>
    <row r="33" spans="2:51" ht="15.75">
      <c r="B33" s="81"/>
      <c r="C33" s="104"/>
      <c r="D33" s="103"/>
      <c r="E33" s="103"/>
      <c r="F33" s="103"/>
      <c r="G33" s="103"/>
      <c r="H33" s="103"/>
      <c r="I33" s="103"/>
      <c r="J33" s="103"/>
      <c r="K33" s="103"/>
      <c r="L33" s="103"/>
      <c r="M33" s="103"/>
      <c r="N33" s="103"/>
      <c r="O33" s="103"/>
      <c r="P33" s="103"/>
      <c r="Q33" s="103"/>
      <c r="R33" s="103"/>
      <c r="S33" s="103"/>
      <c r="T33" s="103"/>
      <c r="U33" s="103"/>
      <c r="V33" s="103"/>
      <c r="W33" s="103"/>
      <c r="X33" s="103"/>
      <c r="Y33" s="103"/>
      <c r="Z33" s="103"/>
      <c r="AA33" s="103"/>
      <c r="AB33" s="103"/>
      <c r="AC33" s="103"/>
      <c r="AD33" s="103"/>
      <c r="AE33" s="103"/>
      <c r="AF33" s="103"/>
      <c r="AG33" s="103"/>
      <c r="AH33" s="103"/>
      <c r="AI33" s="103"/>
      <c r="AJ33" s="103"/>
      <c r="AK33" s="103"/>
      <c r="AL33" s="103"/>
      <c r="AM33" s="103"/>
      <c r="AN33" s="103"/>
      <c r="AO33" s="103"/>
      <c r="AP33" s="103"/>
      <c r="AQ33" s="103"/>
      <c r="AR33" s="103"/>
      <c r="AS33" s="103"/>
      <c r="AT33" s="103"/>
      <c r="AU33" s="103"/>
      <c r="AV33" s="103"/>
      <c r="AW33" s="103"/>
      <c r="AX33" s="103"/>
      <c r="AY33" s="103"/>
    </row>
    <row r="34" spans="2:51" s="105" customFormat="1" ht="15.75">
      <c r="B34" s="106"/>
      <c r="C34" s="107" t="s">
        <v>25</v>
      </c>
      <c r="D34" s="108">
        <f t="shared" ref="D34:AW34" si="31">D32</f>
        <v>554545810.34573901</v>
      </c>
      <c r="E34" s="108">
        <f t="shared" si="31"/>
        <v>933408</v>
      </c>
      <c r="F34" s="108">
        <f t="shared" si="31"/>
        <v>933408</v>
      </c>
      <c r="G34" s="108">
        <f t="shared" si="31"/>
        <v>21538767.455882348</v>
      </c>
      <c r="H34" s="108">
        <f t="shared" si="31"/>
        <v>21538767.455882348</v>
      </c>
      <c r="I34" s="108">
        <f t="shared" si="31"/>
        <v>21538767.455882348</v>
      </c>
      <c r="J34" s="108">
        <f t="shared" si="31"/>
        <v>20605359.455882348</v>
      </c>
      <c r="K34" s="108">
        <f t="shared" si="31"/>
        <v>20605359.455882348</v>
      </c>
      <c r="L34" s="108">
        <f t="shared" si="31"/>
        <v>20605359.455882348</v>
      </c>
      <c r="M34" s="108">
        <f t="shared" si="31"/>
        <v>20605359.455882348</v>
      </c>
      <c r="N34" s="108">
        <f t="shared" si="31"/>
        <v>22096219.4558824</v>
      </c>
      <c r="O34" s="108">
        <f t="shared" si="31"/>
        <v>10519904.7058824</v>
      </c>
      <c r="P34" s="108">
        <f t="shared" si="31"/>
        <v>10519904.7058824</v>
      </c>
      <c r="Q34" s="108">
        <f t="shared" si="31"/>
        <v>10519904.7058824</v>
      </c>
      <c r="R34" s="108">
        <f t="shared" si="31"/>
        <v>10519904.7058824</v>
      </c>
      <c r="S34" s="108">
        <f t="shared" si="31"/>
        <v>11245888.7058824</v>
      </c>
      <c r="T34" s="108">
        <f t="shared" si="31"/>
        <v>11245888.7058824</v>
      </c>
      <c r="U34" s="108">
        <f t="shared" si="31"/>
        <v>14033148.7058824</v>
      </c>
      <c r="V34" s="108">
        <f t="shared" si="31"/>
        <v>14264863.2719693</v>
      </c>
      <c r="W34" s="108">
        <f t="shared" si="31"/>
        <v>14264863.2719693</v>
      </c>
      <c r="X34" s="108">
        <f t="shared" si="31"/>
        <v>7310058.5660869395</v>
      </c>
      <c r="Y34" s="108">
        <f t="shared" si="31"/>
        <v>8533860.1660869401</v>
      </c>
      <c r="Z34" s="108">
        <f t="shared" si="31"/>
        <v>8533860.1660869401</v>
      </c>
      <c r="AA34" s="108">
        <f t="shared" si="31"/>
        <v>10077193.4994203</v>
      </c>
      <c r="AB34" s="108">
        <f t="shared" si="31"/>
        <v>10077193.4994203</v>
      </c>
      <c r="AC34" s="108">
        <f t="shared" si="31"/>
        <v>9393990.6994202696</v>
      </c>
      <c r="AD34" s="108">
        <f t="shared" si="31"/>
        <v>12710365.870620299</v>
      </c>
      <c r="AE34" s="108">
        <f t="shared" si="31"/>
        <v>12710365.870620299</v>
      </c>
      <c r="AF34" s="108">
        <f t="shared" si="31"/>
        <v>12710365.870620299</v>
      </c>
      <c r="AG34" s="108">
        <f t="shared" si="31"/>
        <v>12710365.870620299</v>
      </c>
      <c r="AH34" s="108">
        <f t="shared" si="31"/>
        <v>13812305.870620299</v>
      </c>
      <c r="AI34" s="108">
        <f t="shared" si="31"/>
        <v>13812305.870620299</v>
      </c>
      <c r="AJ34" s="108">
        <f t="shared" si="31"/>
        <v>13812305.870620299</v>
      </c>
      <c r="AK34" s="108">
        <f t="shared" si="31"/>
        <v>14819608.6706203</v>
      </c>
      <c r="AL34" s="108">
        <f t="shared" si="31"/>
        <v>14819608.6706203</v>
      </c>
      <c r="AM34" s="108">
        <f t="shared" si="31"/>
        <v>12745368.6706203</v>
      </c>
      <c r="AN34" s="108">
        <f t="shared" si="31"/>
        <v>13134288.6706203</v>
      </c>
      <c r="AO34" s="108">
        <f t="shared" si="31"/>
        <v>13134288.6706203</v>
      </c>
      <c r="AP34" s="108">
        <f t="shared" si="31"/>
        <v>10309774.1045333</v>
      </c>
      <c r="AQ34" s="108">
        <f t="shared" si="31"/>
        <v>10309774.1045333</v>
      </c>
      <c r="AR34" s="108">
        <f t="shared" si="31"/>
        <v>9194870.1045333296</v>
      </c>
      <c r="AS34" s="108">
        <f t="shared" si="31"/>
        <v>9194870.1045333296</v>
      </c>
      <c r="AT34" s="108">
        <f t="shared" si="31"/>
        <v>7379910.1045333296</v>
      </c>
      <c r="AU34" s="108">
        <f t="shared" si="31"/>
        <v>6083510.1045333296</v>
      </c>
      <c r="AV34" s="108">
        <f t="shared" si="31"/>
        <v>4540176.7712000003</v>
      </c>
      <c r="AW34" s="108">
        <f t="shared" si="31"/>
        <v>4540176.7712000003</v>
      </c>
      <c r="AX34" s="108"/>
      <c r="AY34" s="108">
        <f>AY32</f>
        <v>554545810.34573901</v>
      </c>
    </row>
    <row r="35" spans="2:51" ht="15.75">
      <c r="B35" s="109"/>
      <c r="C35" s="110" t="s">
        <v>26</v>
      </c>
      <c r="D35" s="111">
        <f>D34/10^7</f>
        <v>55.454581034573899</v>
      </c>
      <c r="E35" s="111">
        <f t="shared" ref="E35:AY35" si="32">E34/10^7</f>
        <v>9.3340800000000002E-2</v>
      </c>
      <c r="F35" s="111">
        <f t="shared" si="32"/>
        <v>9.3340800000000002E-2</v>
      </c>
      <c r="G35" s="111">
        <f t="shared" si="32"/>
        <v>2.1538767455882346</v>
      </c>
      <c r="H35" s="111">
        <f t="shared" si="32"/>
        <v>2.1538767455882346</v>
      </c>
      <c r="I35" s="111">
        <f t="shared" si="32"/>
        <v>2.1538767455882346</v>
      </c>
      <c r="J35" s="111">
        <f t="shared" si="32"/>
        <v>2.0605359455882346</v>
      </c>
      <c r="K35" s="111">
        <f t="shared" si="32"/>
        <v>2.0605359455882346</v>
      </c>
      <c r="L35" s="111">
        <f t="shared" si="32"/>
        <v>2.0605359455882346</v>
      </c>
      <c r="M35" s="111">
        <f t="shared" si="32"/>
        <v>2.0605359455882346</v>
      </c>
      <c r="N35" s="111">
        <f t="shared" si="32"/>
        <v>2.20962194558824</v>
      </c>
      <c r="O35" s="111">
        <f t="shared" si="32"/>
        <v>1.0519904705882401</v>
      </c>
      <c r="P35" s="111">
        <f t="shared" si="32"/>
        <v>1.0519904705882401</v>
      </c>
      <c r="Q35" s="111">
        <f t="shared" si="32"/>
        <v>1.0519904705882401</v>
      </c>
      <c r="R35" s="111">
        <f t="shared" si="32"/>
        <v>1.0519904705882401</v>
      </c>
      <c r="S35" s="111">
        <f t="shared" si="32"/>
        <v>1.1245888705882401</v>
      </c>
      <c r="T35" s="111">
        <f t="shared" si="32"/>
        <v>1.1245888705882401</v>
      </c>
      <c r="U35" s="111">
        <f t="shared" si="32"/>
        <v>1.4033148705882401</v>
      </c>
      <c r="V35" s="111">
        <f t="shared" si="32"/>
        <v>1.4264863271969299</v>
      </c>
      <c r="W35" s="111">
        <f t="shared" si="32"/>
        <v>1.4264863271969299</v>
      </c>
      <c r="X35" s="111">
        <f t="shared" si="32"/>
        <v>0.73100585660869399</v>
      </c>
      <c r="Y35" s="111">
        <f>Y34/10^7</f>
        <v>0.85338601660869406</v>
      </c>
      <c r="Z35" s="111">
        <f t="shared" si="32"/>
        <v>0.85338601660869406</v>
      </c>
      <c r="AA35" s="111">
        <f t="shared" si="32"/>
        <v>1.0077193499420301</v>
      </c>
      <c r="AB35" s="111">
        <f t="shared" si="32"/>
        <v>1.0077193499420301</v>
      </c>
      <c r="AC35" s="111">
        <f t="shared" si="32"/>
        <v>0.93939906994202693</v>
      </c>
      <c r="AD35" s="111">
        <f t="shared" si="32"/>
        <v>1.2710365870620299</v>
      </c>
      <c r="AE35" s="111">
        <f t="shared" si="32"/>
        <v>1.2710365870620299</v>
      </c>
      <c r="AF35" s="111">
        <f t="shared" si="32"/>
        <v>1.2710365870620299</v>
      </c>
      <c r="AG35" s="111">
        <f t="shared" si="32"/>
        <v>1.2710365870620299</v>
      </c>
      <c r="AH35" s="111">
        <f t="shared" si="32"/>
        <v>1.3812305870620298</v>
      </c>
      <c r="AI35" s="111">
        <f t="shared" si="32"/>
        <v>1.3812305870620298</v>
      </c>
      <c r="AJ35" s="111">
        <f t="shared" si="32"/>
        <v>1.3812305870620298</v>
      </c>
      <c r="AK35" s="111">
        <f t="shared" si="32"/>
        <v>1.4819608670620299</v>
      </c>
      <c r="AL35" s="111">
        <f t="shared" si="32"/>
        <v>1.4819608670620299</v>
      </c>
      <c r="AM35" s="111">
        <f t="shared" si="32"/>
        <v>1.2745368670620301</v>
      </c>
      <c r="AN35" s="111">
        <f t="shared" si="32"/>
        <v>1.31342886706203</v>
      </c>
      <c r="AO35" s="111">
        <f t="shared" si="32"/>
        <v>1.31342886706203</v>
      </c>
      <c r="AP35" s="111">
        <f t="shared" si="32"/>
        <v>1.03097741045333</v>
      </c>
      <c r="AQ35" s="111">
        <f t="shared" si="32"/>
        <v>1.03097741045333</v>
      </c>
      <c r="AR35" s="111">
        <f t="shared" si="32"/>
        <v>0.91948701045333292</v>
      </c>
      <c r="AS35" s="111">
        <f t="shared" si="32"/>
        <v>0.91948701045333292</v>
      </c>
      <c r="AT35" s="111">
        <f t="shared" si="32"/>
        <v>0.73799101045333293</v>
      </c>
      <c r="AU35" s="111">
        <f t="shared" si="32"/>
        <v>0.60835101045333295</v>
      </c>
      <c r="AV35" s="111">
        <f t="shared" si="32"/>
        <v>0.45401767712000002</v>
      </c>
      <c r="AW35" s="111">
        <f t="shared" si="32"/>
        <v>0.45401767712000002</v>
      </c>
      <c r="AX35" s="111"/>
      <c r="AY35" s="111">
        <f t="shared" si="32"/>
        <v>55.454581034573899</v>
      </c>
    </row>
  </sheetData>
  <mergeCells count="3">
    <mergeCell ref="B3:D3"/>
    <mergeCell ref="E3:AW3"/>
    <mergeCell ref="E4:AW4"/>
  </mergeCells>
  <pageMargins left="0.70866141732283472" right="0.70866141732283472" top="0.74803149606299213" bottom="0.74803149606299213" header="0.31496062992125984" footer="0.31496062992125984"/>
  <pageSetup paperSize="8" scale="57"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4"/>
  <sheetViews>
    <sheetView tabSelected="1" zoomScaleNormal="100" workbookViewId="0">
      <selection sqref="A1:F1"/>
    </sheetView>
  </sheetViews>
  <sheetFormatPr defaultColWidth="8.7109375" defaultRowHeight="16.5"/>
  <cols>
    <col min="1" max="1" width="7.28515625" style="112" bestFit="1" customWidth="1"/>
    <col min="2" max="2" width="99.28515625" style="112" customWidth="1"/>
    <col min="3" max="3" width="5.85546875" style="112" bestFit="1" customWidth="1"/>
    <col min="4" max="4" width="6" style="112" bestFit="1" customWidth="1"/>
    <col min="5" max="5" width="6.42578125" style="112" bestFit="1" customWidth="1"/>
    <col min="6" max="6" width="10.85546875" style="112" bestFit="1" customWidth="1"/>
    <col min="7" max="7" width="8.7109375" style="112"/>
    <col min="8" max="8" width="12.5703125" style="112" bestFit="1" customWidth="1"/>
    <col min="9" max="16384" width="8.7109375" style="112"/>
  </cols>
  <sheetData>
    <row r="1" spans="1:6" ht="21" customHeight="1">
      <c r="A1" s="324" t="s">
        <v>445</v>
      </c>
      <c r="B1" s="324"/>
      <c r="C1" s="324"/>
      <c r="D1" s="324"/>
      <c r="E1" s="324"/>
      <c r="F1" s="324"/>
    </row>
    <row r="2" spans="1:6">
      <c r="A2" s="113" t="s">
        <v>1</v>
      </c>
      <c r="B2" s="113" t="s">
        <v>2</v>
      </c>
      <c r="C2" s="113" t="s">
        <v>261</v>
      </c>
      <c r="D2" s="113" t="s">
        <v>273</v>
      </c>
      <c r="E2" s="114" t="s">
        <v>274</v>
      </c>
      <c r="F2" s="114" t="s">
        <v>3</v>
      </c>
    </row>
    <row r="3" spans="1:6">
      <c r="A3" s="115"/>
      <c r="B3" s="116" t="s">
        <v>275</v>
      </c>
      <c r="C3" s="117"/>
      <c r="D3" s="118"/>
      <c r="E3" s="118"/>
      <c r="F3" s="118"/>
    </row>
    <row r="4" spans="1:6" ht="27">
      <c r="A4" s="115">
        <v>1</v>
      </c>
      <c r="B4" s="119" t="s">
        <v>276</v>
      </c>
      <c r="C4" s="117"/>
      <c r="D4" s="118"/>
      <c r="E4" s="118"/>
      <c r="F4" s="118"/>
    </row>
    <row r="5" spans="1:6">
      <c r="A5" s="115">
        <v>2</v>
      </c>
      <c r="B5" s="119" t="s">
        <v>277</v>
      </c>
      <c r="C5" s="117"/>
      <c r="D5" s="118"/>
      <c r="E5" s="118"/>
      <c r="F5" s="118"/>
    </row>
    <row r="6" spans="1:6" ht="40.5">
      <c r="A6" s="115">
        <v>3</v>
      </c>
      <c r="B6" s="119" t="s">
        <v>278</v>
      </c>
      <c r="C6" s="117"/>
      <c r="D6" s="118"/>
      <c r="E6" s="118"/>
      <c r="F6" s="118"/>
    </row>
    <row r="7" spans="1:6" ht="27">
      <c r="A7" s="115">
        <v>4</v>
      </c>
      <c r="B7" s="119" t="s">
        <v>279</v>
      </c>
      <c r="C7" s="117"/>
      <c r="D7" s="118"/>
      <c r="E7" s="118"/>
      <c r="F7" s="118"/>
    </row>
    <row r="8" spans="1:6">
      <c r="A8" s="115">
        <v>5</v>
      </c>
      <c r="B8" s="119" t="s">
        <v>280</v>
      </c>
      <c r="C8" s="117"/>
      <c r="D8" s="118"/>
      <c r="E8" s="118"/>
      <c r="F8" s="118"/>
    </row>
    <row r="9" spans="1:6" ht="27">
      <c r="A9" s="115">
        <v>6</v>
      </c>
      <c r="B9" s="119" t="s">
        <v>281</v>
      </c>
      <c r="C9" s="117"/>
      <c r="D9" s="118"/>
      <c r="E9" s="118"/>
      <c r="F9" s="118"/>
    </row>
    <row r="10" spans="1:6" ht="40.5">
      <c r="A10" s="115">
        <v>7</v>
      </c>
      <c r="B10" s="119" t="s">
        <v>282</v>
      </c>
      <c r="C10" s="117"/>
      <c r="D10" s="118"/>
      <c r="E10" s="118"/>
      <c r="F10" s="118"/>
    </row>
    <row r="11" spans="1:6" ht="54">
      <c r="A11" s="115">
        <v>8</v>
      </c>
      <c r="B11" s="119" t="s">
        <v>283</v>
      </c>
      <c r="C11" s="117"/>
      <c r="D11" s="118"/>
      <c r="E11" s="118"/>
      <c r="F11" s="118"/>
    </row>
    <row r="12" spans="1:6" ht="54">
      <c r="A12" s="115">
        <v>9</v>
      </c>
      <c r="B12" s="119" t="s">
        <v>284</v>
      </c>
      <c r="C12" s="117"/>
      <c r="D12" s="118"/>
      <c r="E12" s="118"/>
      <c r="F12" s="118"/>
    </row>
    <row r="13" spans="1:6" ht="27">
      <c r="A13" s="115">
        <v>10</v>
      </c>
      <c r="B13" s="119" t="s">
        <v>285</v>
      </c>
      <c r="C13" s="117"/>
      <c r="D13" s="118"/>
      <c r="E13" s="118"/>
      <c r="F13" s="118"/>
    </row>
    <row r="14" spans="1:6" ht="27">
      <c r="A14" s="115">
        <v>11</v>
      </c>
      <c r="B14" s="119" t="s">
        <v>286</v>
      </c>
      <c r="C14" s="117"/>
      <c r="D14" s="118"/>
      <c r="E14" s="118"/>
      <c r="F14" s="118"/>
    </row>
    <row r="15" spans="1:6" ht="40.5">
      <c r="A15" s="115">
        <v>12</v>
      </c>
      <c r="B15" s="119" t="s">
        <v>287</v>
      </c>
      <c r="C15" s="117"/>
      <c r="D15" s="118"/>
      <c r="E15" s="118"/>
      <c r="F15" s="118"/>
    </row>
    <row r="16" spans="1:6" ht="40.5">
      <c r="A16" s="115">
        <v>13</v>
      </c>
      <c r="B16" s="119" t="s">
        <v>288</v>
      </c>
      <c r="C16" s="117"/>
      <c r="D16" s="118"/>
      <c r="E16" s="118"/>
      <c r="F16" s="118"/>
    </row>
    <row r="17" spans="1:6" ht="27">
      <c r="A17" s="115">
        <v>14</v>
      </c>
      <c r="B17" s="119" t="s">
        <v>289</v>
      </c>
      <c r="C17" s="117"/>
      <c r="D17" s="118"/>
      <c r="E17" s="118"/>
      <c r="F17" s="118"/>
    </row>
    <row r="18" spans="1:6" ht="27">
      <c r="A18" s="115">
        <v>15</v>
      </c>
      <c r="B18" s="119" t="s">
        <v>290</v>
      </c>
      <c r="C18" s="117"/>
      <c r="D18" s="118"/>
      <c r="E18" s="118"/>
      <c r="F18" s="118"/>
    </row>
    <row r="19" spans="1:6" ht="27">
      <c r="A19" s="115">
        <v>16</v>
      </c>
      <c r="B19" s="119" t="s">
        <v>291</v>
      </c>
      <c r="C19" s="117"/>
      <c r="D19" s="118"/>
      <c r="E19" s="118"/>
      <c r="F19" s="118"/>
    </row>
    <row r="20" spans="1:6" ht="67.5">
      <c r="A20" s="115">
        <v>17</v>
      </c>
      <c r="B20" s="119" t="s">
        <v>292</v>
      </c>
      <c r="C20" s="117"/>
      <c r="D20" s="118"/>
      <c r="E20" s="118"/>
      <c r="F20" s="118"/>
    </row>
    <row r="21" spans="1:6" ht="54">
      <c r="A21" s="115">
        <v>18</v>
      </c>
      <c r="B21" s="119" t="s">
        <v>293</v>
      </c>
      <c r="C21" s="117"/>
      <c r="D21" s="118"/>
      <c r="E21" s="118"/>
      <c r="F21" s="118"/>
    </row>
    <row r="22" spans="1:6" ht="27">
      <c r="A22" s="115">
        <v>19</v>
      </c>
      <c r="B22" s="119" t="s">
        <v>294</v>
      </c>
      <c r="C22" s="117"/>
      <c r="D22" s="118"/>
      <c r="E22" s="118"/>
      <c r="F22" s="118"/>
    </row>
    <row r="23" spans="1:6" ht="27">
      <c r="A23" s="115">
        <v>20</v>
      </c>
      <c r="B23" s="119" t="s">
        <v>295</v>
      </c>
      <c r="C23" s="117"/>
      <c r="D23" s="118"/>
      <c r="E23" s="118"/>
      <c r="F23" s="118"/>
    </row>
    <row r="24" spans="1:6" ht="40.5">
      <c r="A24" s="115">
        <v>21</v>
      </c>
      <c r="B24" s="119" t="s">
        <v>296</v>
      </c>
      <c r="C24" s="117"/>
      <c r="D24" s="118"/>
      <c r="E24" s="118"/>
      <c r="F24" s="118"/>
    </row>
    <row r="25" spans="1:6" ht="54">
      <c r="A25" s="115">
        <v>22</v>
      </c>
      <c r="B25" s="119" t="s">
        <v>297</v>
      </c>
      <c r="C25" s="117"/>
      <c r="D25" s="118"/>
      <c r="E25" s="118"/>
      <c r="F25" s="118"/>
    </row>
    <row r="26" spans="1:6" ht="27">
      <c r="A26" s="115">
        <v>23</v>
      </c>
      <c r="B26" s="119" t="s">
        <v>298</v>
      </c>
      <c r="C26" s="117"/>
      <c r="D26" s="118"/>
      <c r="E26" s="118"/>
      <c r="F26" s="118"/>
    </row>
    <row r="27" spans="1:6">
      <c r="A27" s="115">
        <v>24</v>
      </c>
      <c r="B27" s="119" t="s">
        <v>299</v>
      </c>
      <c r="C27" s="117"/>
      <c r="D27" s="118"/>
      <c r="E27" s="118"/>
      <c r="F27" s="118"/>
    </row>
    <row r="28" spans="1:6" ht="54">
      <c r="A28" s="115">
        <v>25</v>
      </c>
      <c r="B28" s="119" t="s">
        <v>300</v>
      </c>
      <c r="C28" s="117"/>
      <c r="D28" s="118"/>
      <c r="E28" s="118"/>
      <c r="F28" s="118"/>
    </row>
    <row r="29" spans="1:6" ht="27">
      <c r="A29" s="115">
        <v>26</v>
      </c>
      <c r="B29" s="119" t="s">
        <v>301</v>
      </c>
      <c r="C29" s="117"/>
      <c r="D29" s="118"/>
      <c r="E29" s="118"/>
      <c r="F29" s="118"/>
    </row>
    <row r="30" spans="1:6" ht="27">
      <c r="A30" s="115">
        <v>27</v>
      </c>
      <c r="B30" s="119" t="s">
        <v>302</v>
      </c>
      <c r="C30" s="117"/>
      <c r="D30" s="118"/>
      <c r="E30" s="118"/>
      <c r="F30" s="118"/>
    </row>
    <row r="31" spans="1:6">
      <c r="A31" s="115"/>
      <c r="B31" s="119"/>
      <c r="C31" s="117"/>
      <c r="D31" s="118"/>
      <c r="E31" s="118"/>
      <c r="F31" s="118"/>
    </row>
    <row r="32" spans="1:6">
      <c r="A32" s="115"/>
      <c r="B32" s="116" t="s">
        <v>303</v>
      </c>
      <c r="C32" s="117"/>
      <c r="D32" s="118"/>
      <c r="E32" s="118"/>
      <c r="F32" s="118"/>
    </row>
    <row r="33" spans="1:8" ht="95.25" customHeight="1">
      <c r="A33" s="120" t="s">
        <v>304</v>
      </c>
      <c r="B33" s="121" t="s">
        <v>461</v>
      </c>
      <c r="C33" s="113" t="s">
        <v>138</v>
      </c>
      <c r="D33" s="298">
        <v>1000</v>
      </c>
      <c r="E33" s="122"/>
      <c r="F33" s="123">
        <f>$D33*E33</f>
        <v>0</v>
      </c>
    </row>
    <row r="34" spans="1:8" ht="55.5">
      <c r="A34" s="124"/>
      <c r="B34" s="125" t="s">
        <v>305</v>
      </c>
      <c r="C34" s="126"/>
      <c r="D34" s="299"/>
      <c r="E34" s="127"/>
      <c r="F34" s="128"/>
    </row>
    <row r="35" spans="1:8" ht="84">
      <c r="A35" s="115" t="s">
        <v>306</v>
      </c>
      <c r="B35" s="129" t="s">
        <v>307</v>
      </c>
      <c r="C35" s="114" t="s">
        <v>140</v>
      </c>
      <c r="D35" s="300">
        <v>1500</v>
      </c>
      <c r="E35" s="130"/>
      <c r="F35" s="131">
        <f>$D35*E35</f>
        <v>0</v>
      </c>
    </row>
    <row r="36" spans="1:8" ht="57">
      <c r="A36" s="115" t="s">
        <v>308</v>
      </c>
      <c r="B36" s="119" t="s">
        <v>309</v>
      </c>
      <c r="C36" s="114" t="s">
        <v>138</v>
      </c>
      <c r="D36" s="300">
        <v>2400</v>
      </c>
      <c r="E36" s="130"/>
      <c r="F36" s="131">
        <f>$D36*E36</f>
        <v>0</v>
      </c>
    </row>
    <row r="37" spans="1:8">
      <c r="A37" s="115"/>
      <c r="B37" s="116" t="s">
        <v>310</v>
      </c>
      <c r="C37" s="114"/>
      <c r="D37" s="300"/>
      <c r="E37" s="130"/>
      <c r="F37" s="131">
        <f>SUBTOTAL(9,F33:F36)</f>
        <v>0</v>
      </c>
    </row>
    <row r="38" spans="1:8">
      <c r="A38" s="115"/>
      <c r="B38" s="119"/>
      <c r="C38" s="114"/>
      <c r="D38" s="300"/>
      <c r="E38" s="130"/>
      <c r="F38" s="132"/>
    </row>
    <row r="39" spans="1:8">
      <c r="A39" s="115">
        <v>2</v>
      </c>
      <c r="B39" s="116" t="s">
        <v>311</v>
      </c>
      <c r="C39" s="133"/>
      <c r="D39" s="301"/>
      <c r="E39" s="134"/>
      <c r="F39" s="132"/>
    </row>
    <row r="40" spans="1:8" ht="96">
      <c r="A40" s="115"/>
      <c r="B40" s="119" t="s">
        <v>312</v>
      </c>
      <c r="C40" s="133"/>
      <c r="D40" s="301"/>
      <c r="E40" s="134"/>
      <c r="F40" s="132"/>
    </row>
    <row r="41" spans="1:8" ht="99">
      <c r="A41" s="115">
        <v>2.1</v>
      </c>
      <c r="B41" s="129" t="s">
        <v>462</v>
      </c>
      <c r="C41" s="114" t="s">
        <v>138</v>
      </c>
      <c r="D41" s="300">
        <v>100</v>
      </c>
      <c r="E41" s="131"/>
      <c r="F41" s="131">
        <f>$D41*E41</f>
        <v>0</v>
      </c>
      <c r="H41" s="309"/>
    </row>
    <row r="42" spans="1:8" ht="43.5">
      <c r="A42" s="115" t="s">
        <v>313</v>
      </c>
      <c r="B42" s="119" t="s">
        <v>463</v>
      </c>
      <c r="C42" s="114" t="s">
        <v>138</v>
      </c>
      <c r="D42" s="300">
        <v>50</v>
      </c>
      <c r="E42" s="131"/>
      <c r="F42" s="131">
        <f>$D42*E42</f>
        <v>0</v>
      </c>
    </row>
    <row r="43" spans="1:8" ht="55.5">
      <c r="A43" s="115" t="s">
        <v>314</v>
      </c>
      <c r="B43" s="119" t="s">
        <v>464</v>
      </c>
      <c r="C43" s="114" t="s">
        <v>140</v>
      </c>
      <c r="D43" s="300">
        <v>200</v>
      </c>
      <c r="E43" s="131"/>
      <c r="F43" s="131">
        <f>$D43*E43</f>
        <v>0</v>
      </c>
    </row>
    <row r="44" spans="1:8">
      <c r="A44" s="115"/>
      <c r="B44" s="119"/>
      <c r="C44" s="114"/>
      <c r="D44" s="300"/>
      <c r="E44" s="131"/>
      <c r="F44" s="131"/>
    </row>
    <row r="45" spans="1:8">
      <c r="A45" s="115" t="s">
        <v>315</v>
      </c>
      <c r="B45" s="116" t="s">
        <v>316</v>
      </c>
      <c r="C45" s="133"/>
      <c r="D45" s="301"/>
      <c r="E45" s="136"/>
      <c r="F45" s="131"/>
    </row>
    <row r="46" spans="1:8" ht="142.5" customHeight="1">
      <c r="A46" s="115"/>
      <c r="B46" s="292" t="s">
        <v>438</v>
      </c>
      <c r="C46" s="133"/>
      <c r="D46" s="301"/>
      <c r="E46" s="136"/>
      <c r="F46" s="131"/>
    </row>
    <row r="47" spans="1:8" ht="27">
      <c r="A47" s="115" t="s">
        <v>317</v>
      </c>
      <c r="B47" s="119" t="s">
        <v>467</v>
      </c>
      <c r="C47" s="114" t="s">
        <v>138</v>
      </c>
      <c r="D47" s="300">
        <v>2080</v>
      </c>
      <c r="E47" s="131"/>
      <c r="F47" s="131">
        <f>$D47*E47</f>
        <v>0</v>
      </c>
    </row>
    <row r="48" spans="1:8" ht="40.5">
      <c r="A48" s="115" t="s">
        <v>318</v>
      </c>
      <c r="B48" s="119" t="s">
        <v>319</v>
      </c>
      <c r="C48" s="133"/>
      <c r="D48" s="301"/>
      <c r="E48" s="136"/>
      <c r="F48" s="131"/>
    </row>
    <row r="49" spans="1:6">
      <c r="A49" s="294" t="s">
        <v>320</v>
      </c>
      <c r="B49" s="119" t="s">
        <v>465</v>
      </c>
      <c r="C49" s="114" t="s">
        <v>138</v>
      </c>
      <c r="D49" s="300">
        <v>2200</v>
      </c>
      <c r="E49" s="131"/>
      <c r="F49" s="131">
        <f t="shared" ref="F49:F51" si="0">$D49*E49</f>
        <v>0</v>
      </c>
    </row>
    <row r="50" spans="1:6">
      <c r="A50" s="294" t="s">
        <v>321</v>
      </c>
      <c r="B50" s="119" t="s">
        <v>466</v>
      </c>
      <c r="C50" s="114" t="s">
        <v>138</v>
      </c>
      <c r="D50" s="300">
        <v>2440</v>
      </c>
      <c r="E50" s="131"/>
      <c r="F50" s="131">
        <f t="shared" si="0"/>
        <v>0</v>
      </c>
    </row>
    <row r="51" spans="1:6">
      <c r="A51" s="115" t="s">
        <v>322</v>
      </c>
      <c r="B51" s="119" t="s">
        <v>323</v>
      </c>
      <c r="C51" s="114" t="s">
        <v>138</v>
      </c>
      <c r="D51" s="300">
        <v>70</v>
      </c>
      <c r="E51" s="131"/>
      <c r="F51" s="131">
        <f t="shared" si="0"/>
        <v>0</v>
      </c>
    </row>
    <row r="52" spans="1:6">
      <c r="A52" s="115"/>
      <c r="B52" s="119"/>
      <c r="C52" s="114"/>
      <c r="D52" s="300"/>
      <c r="E52" s="131"/>
      <c r="F52" s="131"/>
    </row>
    <row r="53" spans="1:6" ht="40.5">
      <c r="A53" s="115" t="s">
        <v>324</v>
      </c>
      <c r="B53" s="119" t="s">
        <v>325</v>
      </c>
      <c r="C53" s="133"/>
      <c r="D53" s="301"/>
      <c r="E53" s="136"/>
      <c r="F53" s="131"/>
    </row>
    <row r="54" spans="1:6">
      <c r="A54" s="115" t="s">
        <v>326</v>
      </c>
      <c r="B54" s="119" t="s">
        <v>465</v>
      </c>
      <c r="C54" s="290" t="s">
        <v>138</v>
      </c>
      <c r="D54" s="304">
        <v>860</v>
      </c>
      <c r="E54" s="136"/>
      <c r="F54" s="291">
        <f t="shared" ref="F54:F57" si="1">$D54*E54</f>
        <v>0</v>
      </c>
    </row>
    <row r="55" spans="1:6">
      <c r="A55" s="115" t="s">
        <v>327</v>
      </c>
      <c r="B55" s="119" t="s">
        <v>466</v>
      </c>
      <c r="C55" s="114" t="s">
        <v>138</v>
      </c>
      <c r="D55" s="304">
        <v>950</v>
      </c>
      <c r="E55" s="131"/>
      <c r="F55" s="131">
        <f t="shared" si="1"/>
        <v>0</v>
      </c>
    </row>
    <row r="56" spans="1:6">
      <c r="A56" s="115" t="s">
        <v>328</v>
      </c>
      <c r="B56" s="119" t="s">
        <v>323</v>
      </c>
      <c r="C56" s="114" t="s">
        <v>138</v>
      </c>
      <c r="D56" s="300">
        <v>30</v>
      </c>
      <c r="E56" s="131"/>
      <c r="F56" s="131">
        <f t="shared" si="1"/>
        <v>0</v>
      </c>
    </row>
    <row r="57" spans="1:6" ht="57">
      <c r="A57" s="115" t="s">
        <v>468</v>
      </c>
      <c r="B57" s="119" t="s">
        <v>329</v>
      </c>
      <c r="C57" s="114" t="s">
        <v>140</v>
      </c>
      <c r="D57" s="300">
        <v>1625</v>
      </c>
      <c r="E57" s="131"/>
      <c r="F57" s="131">
        <f t="shared" si="1"/>
        <v>0</v>
      </c>
    </row>
    <row r="58" spans="1:6">
      <c r="A58" s="115"/>
      <c r="B58" s="116"/>
      <c r="C58" s="114"/>
      <c r="D58" s="300"/>
      <c r="E58" s="131"/>
      <c r="F58" s="131"/>
    </row>
    <row r="59" spans="1:6">
      <c r="A59" s="115"/>
      <c r="B59" s="116" t="s">
        <v>330</v>
      </c>
      <c r="C59" s="114"/>
      <c r="D59" s="300"/>
      <c r="E59" s="131"/>
      <c r="F59" s="131">
        <f>SUBTOTAL(9,F41:F58)</f>
        <v>0</v>
      </c>
    </row>
    <row r="60" spans="1:6">
      <c r="A60" s="115"/>
      <c r="B60" s="119"/>
      <c r="C60" s="114"/>
      <c r="D60" s="300"/>
      <c r="E60" s="131"/>
      <c r="F60" s="131"/>
    </row>
    <row r="61" spans="1:6">
      <c r="A61" s="115">
        <v>3</v>
      </c>
      <c r="B61" s="116" t="s">
        <v>331</v>
      </c>
      <c r="C61" s="133"/>
      <c r="D61" s="301"/>
      <c r="E61" s="136"/>
      <c r="F61" s="131"/>
    </row>
    <row r="62" spans="1:6" ht="185.25" customHeight="1">
      <c r="A62" s="120"/>
      <c r="B62" s="121" t="s">
        <v>448</v>
      </c>
      <c r="C62" s="137"/>
      <c r="D62" s="302"/>
      <c r="E62" s="138"/>
      <c r="F62" s="123"/>
    </row>
    <row r="63" spans="1:6" ht="27">
      <c r="A63" s="115" t="s">
        <v>332</v>
      </c>
      <c r="B63" s="119" t="s">
        <v>469</v>
      </c>
      <c r="C63" s="114" t="s">
        <v>140</v>
      </c>
      <c r="D63" s="300">
        <v>2150</v>
      </c>
      <c r="E63" s="131"/>
      <c r="F63" s="131">
        <f>$D63*E63</f>
        <v>0</v>
      </c>
    </row>
    <row r="64" spans="1:6" ht="40.5">
      <c r="A64" s="115" t="s">
        <v>333</v>
      </c>
      <c r="B64" s="119" t="s">
        <v>319</v>
      </c>
      <c r="C64" s="133"/>
      <c r="D64" s="301"/>
      <c r="E64" s="136"/>
      <c r="F64" s="131"/>
    </row>
    <row r="65" spans="1:6">
      <c r="A65" s="115" t="s">
        <v>334</v>
      </c>
      <c r="B65" s="119" t="s">
        <v>465</v>
      </c>
      <c r="C65" s="114" t="s">
        <v>140</v>
      </c>
      <c r="D65" s="300">
        <v>17600</v>
      </c>
      <c r="E65" s="131"/>
      <c r="F65" s="131">
        <f t="shared" ref="F65:F67" si="2">$D65*E65</f>
        <v>0</v>
      </c>
    </row>
    <row r="66" spans="1:6">
      <c r="A66" s="115" t="s">
        <v>335</v>
      </c>
      <c r="B66" s="119" t="s">
        <v>466</v>
      </c>
      <c r="C66" s="114" t="s">
        <v>140</v>
      </c>
      <c r="D66" s="300">
        <v>18800</v>
      </c>
      <c r="E66" s="131"/>
      <c r="F66" s="131">
        <f t="shared" si="2"/>
        <v>0</v>
      </c>
    </row>
    <row r="67" spans="1:6">
      <c r="A67" s="115" t="s">
        <v>470</v>
      </c>
      <c r="B67" s="119" t="s">
        <v>323</v>
      </c>
      <c r="C67" s="114" t="s">
        <v>140</v>
      </c>
      <c r="D67" s="300">
        <v>400</v>
      </c>
      <c r="E67" s="131"/>
      <c r="F67" s="131">
        <f t="shared" si="2"/>
        <v>0</v>
      </c>
    </row>
    <row r="68" spans="1:6">
      <c r="A68" s="115"/>
      <c r="B68" s="142"/>
      <c r="C68" s="114"/>
      <c r="D68" s="300"/>
      <c r="E68" s="131"/>
      <c r="F68" s="131"/>
    </row>
    <row r="69" spans="1:6" ht="40.5">
      <c r="A69" s="115" t="s">
        <v>336</v>
      </c>
      <c r="B69" s="119" t="s">
        <v>325</v>
      </c>
      <c r="C69" s="133"/>
      <c r="D69" s="301"/>
      <c r="E69" s="136"/>
      <c r="F69" s="131"/>
    </row>
    <row r="70" spans="1:6">
      <c r="A70" s="115" t="s">
        <v>337</v>
      </c>
      <c r="B70" s="119" t="s">
        <v>465</v>
      </c>
      <c r="C70" s="114" t="s">
        <v>140</v>
      </c>
      <c r="D70" s="300">
        <v>7825</v>
      </c>
      <c r="E70" s="131"/>
      <c r="F70" s="131">
        <f t="shared" ref="F70:F72" si="3">$D70*E70</f>
        <v>0</v>
      </c>
    </row>
    <row r="71" spans="1:6">
      <c r="A71" s="115" t="s">
        <v>338</v>
      </c>
      <c r="B71" s="119" t="s">
        <v>466</v>
      </c>
      <c r="C71" s="114" t="s">
        <v>140</v>
      </c>
      <c r="D71" s="300">
        <v>8200</v>
      </c>
      <c r="E71" s="131"/>
      <c r="F71" s="131">
        <f t="shared" si="3"/>
        <v>0</v>
      </c>
    </row>
    <row r="72" spans="1:6">
      <c r="A72" s="115" t="s">
        <v>339</v>
      </c>
      <c r="B72" s="119" t="s">
        <v>323</v>
      </c>
      <c r="C72" s="114" t="s">
        <v>140</v>
      </c>
      <c r="D72" s="300">
        <v>150</v>
      </c>
      <c r="E72" s="131"/>
      <c r="F72" s="131">
        <f t="shared" si="3"/>
        <v>0</v>
      </c>
    </row>
    <row r="73" spans="1:6">
      <c r="A73" s="115"/>
      <c r="B73" s="119"/>
      <c r="C73" s="114"/>
      <c r="D73" s="300"/>
      <c r="E73" s="131"/>
      <c r="F73" s="131"/>
    </row>
    <row r="74" spans="1:6" ht="43.5">
      <c r="A74" s="115" t="s">
        <v>340</v>
      </c>
      <c r="B74" s="119" t="s">
        <v>449</v>
      </c>
      <c r="C74" s="114" t="s">
        <v>140</v>
      </c>
      <c r="D74" s="300">
        <v>1000</v>
      </c>
      <c r="E74" s="131"/>
      <c r="F74" s="131">
        <f>$D74*E74</f>
        <v>0</v>
      </c>
    </row>
    <row r="75" spans="1:6">
      <c r="A75" s="115"/>
      <c r="B75" s="116" t="s">
        <v>341</v>
      </c>
      <c r="C75" s="114"/>
      <c r="D75" s="300"/>
      <c r="E75" s="131"/>
      <c r="F75" s="131">
        <f>SUBTOTAL(9,F63:F74)</f>
        <v>0</v>
      </c>
    </row>
    <row r="76" spans="1:6">
      <c r="A76" s="115"/>
      <c r="B76" s="142"/>
      <c r="C76" s="114"/>
      <c r="D76" s="300"/>
      <c r="E76" s="131"/>
      <c r="F76" s="131"/>
    </row>
    <row r="77" spans="1:6">
      <c r="A77" s="113">
        <v>4</v>
      </c>
      <c r="B77" s="296" t="s">
        <v>259</v>
      </c>
      <c r="C77" s="137"/>
      <c r="D77" s="302"/>
      <c r="E77" s="138"/>
      <c r="F77" s="123"/>
    </row>
    <row r="78" spans="1:6" ht="124.5">
      <c r="A78" s="124"/>
      <c r="B78" s="297" t="s">
        <v>439</v>
      </c>
      <c r="C78" s="139"/>
      <c r="D78" s="303"/>
      <c r="E78" s="140"/>
      <c r="F78" s="141"/>
    </row>
    <row r="79" spans="1:6" ht="27">
      <c r="A79" s="115" t="s">
        <v>342</v>
      </c>
      <c r="B79" s="119" t="s">
        <v>343</v>
      </c>
      <c r="C79" s="133"/>
      <c r="D79" s="301"/>
      <c r="E79" s="136"/>
      <c r="F79" s="131"/>
    </row>
    <row r="80" spans="1:6">
      <c r="A80" s="115" t="s">
        <v>344</v>
      </c>
      <c r="B80" s="293" t="s">
        <v>440</v>
      </c>
      <c r="C80" s="114" t="s">
        <v>171</v>
      </c>
      <c r="D80" s="300">
        <v>150</v>
      </c>
      <c r="E80" s="131"/>
      <c r="F80" s="131">
        <f t="shared" ref="F80:F82" si="4">$D80*E80</f>
        <v>0</v>
      </c>
    </row>
    <row r="81" spans="1:6">
      <c r="A81" s="115" t="s">
        <v>345</v>
      </c>
      <c r="B81" s="293" t="s">
        <v>441</v>
      </c>
      <c r="C81" s="114" t="s">
        <v>171</v>
      </c>
      <c r="D81" s="300">
        <v>805</v>
      </c>
      <c r="E81" s="131"/>
      <c r="F81" s="131">
        <f t="shared" si="4"/>
        <v>0</v>
      </c>
    </row>
    <row r="82" spans="1:6">
      <c r="A82" s="294" t="s">
        <v>346</v>
      </c>
      <c r="B82" s="119" t="s">
        <v>323</v>
      </c>
      <c r="C82" s="114" t="s">
        <v>171</v>
      </c>
      <c r="D82" s="300">
        <v>10</v>
      </c>
      <c r="E82" s="131"/>
      <c r="F82" s="131">
        <f t="shared" si="4"/>
        <v>0</v>
      </c>
    </row>
    <row r="83" spans="1:6">
      <c r="A83" s="115"/>
      <c r="B83" s="116" t="s">
        <v>347</v>
      </c>
      <c r="C83" s="114"/>
      <c r="D83" s="300"/>
      <c r="E83" s="131"/>
      <c r="F83" s="131">
        <f>SUBTOTAL(9,F79:F82)</f>
        <v>0</v>
      </c>
    </row>
    <row r="84" spans="1:6">
      <c r="A84" s="115"/>
      <c r="B84" s="119"/>
      <c r="C84" s="114"/>
      <c r="D84" s="300"/>
      <c r="E84" s="131"/>
      <c r="F84" s="131"/>
    </row>
    <row r="85" spans="1:6">
      <c r="A85" s="115">
        <v>5</v>
      </c>
      <c r="B85" s="116" t="s">
        <v>348</v>
      </c>
      <c r="C85" s="133"/>
      <c r="D85" s="301"/>
      <c r="E85" s="136"/>
      <c r="F85" s="131"/>
    </row>
    <row r="86" spans="1:6" ht="40.5">
      <c r="A86" s="115"/>
      <c r="B86" s="119" t="s">
        <v>436</v>
      </c>
      <c r="C86" s="133"/>
      <c r="D86" s="301"/>
      <c r="E86" s="136"/>
      <c r="F86" s="131"/>
    </row>
    <row r="87" spans="1:6">
      <c r="A87" s="115" t="s">
        <v>349</v>
      </c>
      <c r="B87" s="295" t="s">
        <v>446</v>
      </c>
      <c r="C87" s="114"/>
      <c r="D87" s="300"/>
      <c r="E87" s="131"/>
      <c r="F87" s="131"/>
    </row>
    <row r="88" spans="1:6" ht="40.5">
      <c r="A88" s="115"/>
      <c r="B88" s="119" t="s">
        <v>350</v>
      </c>
      <c r="C88" s="114" t="s">
        <v>138</v>
      </c>
      <c r="D88" s="300">
        <v>100</v>
      </c>
      <c r="E88" s="131"/>
      <c r="F88" s="131">
        <f>$D88*E88</f>
        <v>0</v>
      </c>
    </row>
    <row r="89" spans="1:6">
      <c r="A89" s="115" t="s">
        <v>351</v>
      </c>
      <c r="B89" s="295" t="s">
        <v>446</v>
      </c>
      <c r="C89" s="114"/>
      <c r="D89" s="300"/>
      <c r="E89" s="131"/>
      <c r="F89" s="131"/>
    </row>
    <row r="90" spans="1:6" ht="72">
      <c r="A90" s="115"/>
      <c r="B90" s="119" t="s">
        <v>352</v>
      </c>
      <c r="C90" s="114" t="s">
        <v>140</v>
      </c>
      <c r="D90" s="300">
        <v>1000</v>
      </c>
      <c r="E90" s="131"/>
      <c r="F90" s="131">
        <f>$D90*E90</f>
        <v>0</v>
      </c>
    </row>
    <row r="91" spans="1:6">
      <c r="A91" s="115" t="s">
        <v>353</v>
      </c>
      <c r="B91" s="295" t="s">
        <v>447</v>
      </c>
      <c r="C91" s="114"/>
      <c r="D91" s="300"/>
      <c r="E91" s="131"/>
      <c r="F91" s="131"/>
    </row>
    <row r="92" spans="1:6" ht="40.5">
      <c r="A92" s="115" t="s">
        <v>354</v>
      </c>
      <c r="B92" s="119" t="s">
        <v>355</v>
      </c>
      <c r="C92" s="114"/>
      <c r="D92" s="300"/>
      <c r="E92" s="131"/>
      <c r="F92" s="131"/>
    </row>
    <row r="93" spans="1:6">
      <c r="A93" s="115" t="s">
        <v>356</v>
      </c>
      <c r="B93" s="119" t="s">
        <v>465</v>
      </c>
      <c r="C93" s="114" t="s">
        <v>138</v>
      </c>
      <c r="D93" s="300">
        <v>1185</v>
      </c>
      <c r="E93" s="131"/>
      <c r="F93" s="131">
        <f t="shared" ref="F93:F94" si="5">$D93*E93</f>
        <v>0</v>
      </c>
    </row>
    <row r="94" spans="1:6">
      <c r="A94" s="115" t="s">
        <v>357</v>
      </c>
      <c r="B94" s="119" t="s">
        <v>466</v>
      </c>
      <c r="C94" s="114" t="s">
        <v>138</v>
      </c>
      <c r="D94" s="300">
        <v>1355</v>
      </c>
      <c r="E94" s="131"/>
      <c r="F94" s="131">
        <f t="shared" si="5"/>
        <v>0</v>
      </c>
    </row>
    <row r="95" spans="1:6">
      <c r="A95" s="115" t="s">
        <v>358</v>
      </c>
      <c r="B95" s="295" t="s">
        <v>447</v>
      </c>
      <c r="C95" s="114"/>
      <c r="D95" s="300"/>
      <c r="E95" s="131"/>
      <c r="F95" s="131"/>
    </row>
    <row r="96" spans="1:6" ht="72">
      <c r="A96" s="115" t="s">
        <v>359</v>
      </c>
      <c r="B96" s="119" t="s">
        <v>360</v>
      </c>
      <c r="C96" s="114"/>
      <c r="D96" s="300"/>
      <c r="E96" s="131"/>
      <c r="F96" s="131"/>
    </row>
    <row r="97" spans="1:6">
      <c r="A97" s="115" t="s">
        <v>356</v>
      </c>
      <c r="B97" s="119" t="s">
        <v>465</v>
      </c>
      <c r="C97" s="114" t="s">
        <v>140</v>
      </c>
      <c r="D97" s="300">
        <v>7100</v>
      </c>
      <c r="E97" s="131"/>
      <c r="F97" s="131">
        <f t="shared" ref="F97:F98" si="6">$D97*E97</f>
        <v>0</v>
      </c>
    </row>
    <row r="98" spans="1:6">
      <c r="A98" s="115" t="s">
        <v>357</v>
      </c>
      <c r="B98" s="119" t="s">
        <v>466</v>
      </c>
      <c r="C98" s="114" t="s">
        <v>140</v>
      </c>
      <c r="D98" s="300">
        <v>8155</v>
      </c>
      <c r="E98" s="131"/>
      <c r="F98" s="131">
        <f t="shared" si="6"/>
        <v>0</v>
      </c>
    </row>
    <row r="99" spans="1:6">
      <c r="A99" s="115" t="s">
        <v>361</v>
      </c>
      <c r="B99" s="116" t="s">
        <v>362</v>
      </c>
      <c r="C99" s="114"/>
      <c r="D99" s="300"/>
      <c r="E99" s="131"/>
      <c r="F99" s="131"/>
    </row>
    <row r="100" spans="1:6" ht="40.5">
      <c r="A100" s="115"/>
      <c r="B100" s="119" t="s">
        <v>363</v>
      </c>
      <c r="C100" s="114" t="s">
        <v>138</v>
      </c>
      <c r="D100" s="300">
        <v>40</v>
      </c>
      <c r="E100" s="131"/>
      <c r="F100" s="131">
        <f>$D100*E100</f>
        <v>0</v>
      </c>
    </row>
    <row r="101" spans="1:6">
      <c r="A101" s="115"/>
      <c r="B101" s="116" t="s">
        <v>364</v>
      </c>
      <c r="C101" s="114"/>
      <c r="D101" s="300"/>
      <c r="E101" s="131"/>
      <c r="F101" s="131">
        <f>SUBTOTAL(9,F87:F100)</f>
        <v>0</v>
      </c>
    </row>
    <row r="102" spans="1:6">
      <c r="A102" s="115"/>
      <c r="B102" s="135"/>
      <c r="C102" s="114"/>
      <c r="D102" s="300"/>
      <c r="E102" s="131"/>
      <c r="F102" s="131"/>
    </row>
    <row r="103" spans="1:6">
      <c r="A103" s="115">
        <v>6</v>
      </c>
      <c r="B103" s="116" t="s">
        <v>365</v>
      </c>
      <c r="C103" s="133"/>
      <c r="D103" s="301"/>
      <c r="E103" s="136"/>
      <c r="F103" s="131"/>
    </row>
    <row r="104" spans="1:6" ht="40.5">
      <c r="A104" s="115"/>
      <c r="B104" s="119" t="s">
        <v>475</v>
      </c>
      <c r="C104" s="133"/>
      <c r="D104" s="301"/>
      <c r="E104" s="136"/>
      <c r="F104" s="131"/>
    </row>
    <row r="105" spans="1:6">
      <c r="A105" s="115"/>
      <c r="B105" s="135"/>
      <c r="C105" s="114"/>
      <c r="D105" s="300"/>
      <c r="E105" s="131"/>
      <c r="F105" s="131"/>
    </row>
    <row r="106" spans="1:6">
      <c r="A106" s="115" t="s">
        <v>366</v>
      </c>
      <c r="B106" s="116" t="s">
        <v>442</v>
      </c>
      <c r="C106" s="114"/>
      <c r="D106" s="300"/>
      <c r="E106" s="131"/>
      <c r="F106" s="131"/>
    </row>
    <row r="107" spans="1:6" ht="55.5">
      <c r="A107" s="115"/>
      <c r="B107" s="129" t="s">
        <v>368</v>
      </c>
      <c r="C107" s="114"/>
      <c r="D107" s="300"/>
      <c r="E107" s="131"/>
      <c r="F107" s="131"/>
    </row>
    <row r="108" spans="1:6">
      <c r="A108" s="115" t="s">
        <v>356</v>
      </c>
      <c r="B108" s="119" t="s">
        <v>465</v>
      </c>
      <c r="C108" s="114" t="s">
        <v>140</v>
      </c>
      <c r="D108" s="300">
        <v>19970</v>
      </c>
      <c r="E108" s="131"/>
      <c r="F108" s="131">
        <f t="shared" ref="F108:F109" si="7">$D108*E108</f>
        <v>0</v>
      </c>
    </row>
    <row r="109" spans="1:6">
      <c r="A109" s="115" t="s">
        <v>357</v>
      </c>
      <c r="B109" s="119" t="s">
        <v>466</v>
      </c>
      <c r="C109" s="114" t="s">
        <v>140</v>
      </c>
      <c r="D109" s="300">
        <v>22825</v>
      </c>
      <c r="E109" s="131"/>
      <c r="F109" s="131">
        <f t="shared" si="7"/>
        <v>0</v>
      </c>
    </row>
    <row r="110" spans="1:6">
      <c r="A110" s="115" t="s">
        <v>367</v>
      </c>
      <c r="B110" s="116" t="s">
        <v>442</v>
      </c>
      <c r="C110" s="114"/>
      <c r="D110" s="300"/>
      <c r="E110" s="131"/>
      <c r="F110" s="131"/>
    </row>
    <row r="111" spans="1:6" ht="55.5">
      <c r="A111" s="115"/>
      <c r="B111" s="129" t="s">
        <v>369</v>
      </c>
      <c r="C111" s="114"/>
      <c r="D111" s="300"/>
      <c r="E111" s="131"/>
      <c r="F111" s="131"/>
    </row>
    <row r="112" spans="1:6">
      <c r="A112" s="115" t="s">
        <v>356</v>
      </c>
      <c r="B112" s="119" t="s">
        <v>465</v>
      </c>
      <c r="C112" s="114" t="s">
        <v>140</v>
      </c>
      <c r="D112" s="300">
        <v>9135</v>
      </c>
      <c r="E112" s="131"/>
      <c r="F112" s="131">
        <f t="shared" ref="F112:F113" si="8">$D112*E112</f>
        <v>0</v>
      </c>
    </row>
    <row r="113" spans="1:6">
      <c r="A113" s="115" t="s">
        <v>357</v>
      </c>
      <c r="B113" s="119" t="s">
        <v>466</v>
      </c>
      <c r="C113" s="114" t="s">
        <v>140</v>
      </c>
      <c r="D113" s="300">
        <v>10440</v>
      </c>
      <c r="E113" s="131"/>
      <c r="F113" s="131">
        <f t="shared" si="8"/>
        <v>0</v>
      </c>
    </row>
    <row r="114" spans="1:6" ht="82.5">
      <c r="A114" s="115">
        <v>6.3</v>
      </c>
      <c r="B114" s="129" t="s">
        <v>476</v>
      </c>
      <c r="C114" s="114" t="s">
        <v>140</v>
      </c>
      <c r="D114" s="300">
        <v>19200</v>
      </c>
      <c r="E114" s="131"/>
      <c r="F114" s="131">
        <f>$D114*E114</f>
        <v>0</v>
      </c>
    </row>
    <row r="115" spans="1:6" ht="69">
      <c r="A115" s="115">
        <v>6.4</v>
      </c>
      <c r="B115" s="129" t="s">
        <v>477</v>
      </c>
      <c r="C115" s="114" t="s">
        <v>140</v>
      </c>
      <c r="D115" s="300">
        <v>1000</v>
      </c>
      <c r="E115" s="131"/>
      <c r="F115" s="131">
        <f>$D115*E115</f>
        <v>0</v>
      </c>
    </row>
    <row r="116" spans="1:6">
      <c r="A116" s="115"/>
      <c r="B116" s="116" t="s">
        <v>370</v>
      </c>
      <c r="C116" s="114"/>
      <c r="D116" s="300"/>
      <c r="E116" s="131"/>
      <c r="F116" s="131">
        <f>SUBTOTAL(9,F105:F115)</f>
        <v>0</v>
      </c>
    </row>
    <row r="117" spans="1:6">
      <c r="A117" s="115"/>
      <c r="B117" s="135"/>
      <c r="C117" s="114"/>
      <c r="D117" s="300"/>
      <c r="E117" s="131"/>
      <c r="F117" s="131"/>
    </row>
    <row r="118" spans="1:6">
      <c r="A118" s="114">
        <v>7</v>
      </c>
      <c r="B118" s="116" t="s">
        <v>371</v>
      </c>
      <c r="C118" s="133"/>
      <c r="D118" s="301"/>
      <c r="E118" s="136"/>
      <c r="F118" s="131"/>
    </row>
    <row r="119" spans="1:6">
      <c r="A119" s="114"/>
      <c r="B119" s="116" t="s">
        <v>372</v>
      </c>
      <c r="C119" s="133"/>
      <c r="D119" s="301"/>
      <c r="E119" s="136"/>
      <c r="F119" s="131"/>
    </row>
    <row r="120" spans="1:6" ht="27">
      <c r="A120" s="115" t="s">
        <v>373</v>
      </c>
      <c r="B120" s="119" t="s">
        <v>374</v>
      </c>
      <c r="C120" s="133"/>
      <c r="D120" s="301"/>
      <c r="E120" s="136"/>
      <c r="F120" s="131"/>
    </row>
    <row r="121" spans="1:6" ht="54">
      <c r="A121" s="115" t="s">
        <v>375</v>
      </c>
      <c r="B121" s="119" t="s">
        <v>376</v>
      </c>
      <c r="C121" s="133"/>
      <c r="D121" s="301"/>
      <c r="E121" s="136"/>
      <c r="F121" s="131"/>
    </row>
    <row r="122" spans="1:6" ht="40.5">
      <c r="A122" s="115" t="s">
        <v>377</v>
      </c>
      <c r="B122" s="119" t="s">
        <v>378</v>
      </c>
      <c r="C122" s="133"/>
      <c r="D122" s="301"/>
      <c r="E122" s="136"/>
      <c r="F122" s="131"/>
    </row>
    <row r="123" spans="1:6" ht="27">
      <c r="A123" s="115" t="s">
        <v>379</v>
      </c>
      <c r="B123" s="119" t="s">
        <v>380</v>
      </c>
      <c r="C123" s="133"/>
      <c r="D123" s="301"/>
      <c r="E123" s="136"/>
      <c r="F123" s="131"/>
    </row>
    <row r="124" spans="1:6">
      <c r="A124" s="115" t="s">
        <v>381</v>
      </c>
      <c r="B124" s="119" t="s">
        <v>382</v>
      </c>
      <c r="C124" s="133"/>
      <c r="D124" s="301"/>
      <c r="E124" s="136"/>
      <c r="F124" s="131"/>
    </row>
    <row r="125" spans="1:6">
      <c r="A125" s="115" t="s">
        <v>383</v>
      </c>
      <c r="B125" s="119" t="s">
        <v>384</v>
      </c>
      <c r="C125" s="133"/>
      <c r="D125" s="301"/>
      <c r="E125" s="136"/>
      <c r="F125" s="131"/>
    </row>
    <row r="126" spans="1:6">
      <c r="A126" s="115" t="s">
        <v>385</v>
      </c>
      <c r="B126" s="119" t="s">
        <v>386</v>
      </c>
      <c r="C126" s="133"/>
      <c r="D126" s="301"/>
      <c r="E126" s="136"/>
      <c r="F126" s="131"/>
    </row>
    <row r="127" spans="1:6">
      <c r="A127" s="115" t="s">
        <v>387</v>
      </c>
      <c r="B127" s="119" t="s">
        <v>388</v>
      </c>
      <c r="C127" s="133"/>
      <c r="D127" s="301"/>
      <c r="E127" s="136"/>
      <c r="F127" s="131"/>
    </row>
    <row r="128" spans="1:6">
      <c r="A128" s="115" t="s">
        <v>389</v>
      </c>
      <c r="B128" s="119" t="s">
        <v>390</v>
      </c>
      <c r="C128" s="133"/>
      <c r="D128" s="301"/>
      <c r="E128" s="136"/>
      <c r="F128" s="131"/>
    </row>
    <row r="129" spans="1:6">
      <c r="A129" s="115" t="s">
        <v>391</v>
      </c>
      <c r="B129" s="119" t="s">
        <v>392</v>
      </c>
      <c r="C129" s="133"/>
      <c r="D129" s="301"/>
      <c r="E129" s="136"/>
      <c r="F129" s="131"/>
    </row>
    <row r="130" spans="1:6" ht="27">
      <c r="A130" s="115" t="s">
        <v>393</v>
      </c>
      <c r="B130" s="119" t="s">
        <v>394</v>
      </c>
      <c r="C130" s="133"/>
      <c r="D130" s="301"/>
      <c r="E130" s="136"/>
      <c r="F130" s="131"/>
    </row>
    <row r="131" spans="1:6" ht="99">
      <c r="A131" s="115" t="s">
        <v>395</v>
      </c>
      <c r="B131" s="129" t="s">
        <v>450</v>
      </c>
      <c r="C131" s="114" t="s">
        <v>260</v>
      </c>
      <c r="D131" s="300">
        <v>39665</v>
      </c>
      <c r="E131" s="131">
        <v>118</v>
      </c>
      <c r="F131" s="131">
        <f>$D131*E131</f>
        <v>4680470</v>
      </c>
    </row>
    <row r="132" spans="1:6">
      <c r="A132" s="115"/>
      <c r="B132" s="116" t="s">
        <v>396</v>
      </c>
      <c r="C132" s="114"/>
      <c r="D132" s="300"/>
      <c r="E132" s="131"/>
      <c r="F132" s="131">
        <f>SUBTOTAL(9,F131)</f>
        <v>4680470</v>
      </c>
    </row>
    <row r="133" spans="1:6">
      <c r="A133" s="115"/>
      <c r="B133" s="119"/>
      <c r="C133" s="114"/>
      <c r="D133" s="300"/>
      <c r="E133" s="131"/>
      <c r="F133" s="131"/>
    </row>
    <row r="134" spans="1:6">
      <c r="A134" s="114">
        <v>8</v>
      </c>
      <c r="B134" s="116" t="s">
        <v>46</v>
      </c>
      <c r="C134" s="114"/>
      <c r="D134" s="300"/>
      <c r="E134" s="131"/>
      <c r="F134" s="131"/>
    </row>
    <row r="135" spans="1:6">
      <c r="A135" s="115"/>
      <c r="B135" s="119" t="s">
        <v>397</v>
      </c>
      <c r="C135" s="114"/>
      <c r="D135" s="300"/>
      <c r="E135" s="131"/>
      <c r="F135" s="131"/>
    </row>
    <row r="136" spans="1:6">
      <c r="A136" s="115" t="s">
        <v>86</v>
      </c>
      <c r="B136" s="119" t="s">
        <v>398</v>
      </c>
      <c r="C136" s="114"/>
      <c r="D136" s="300"/>
      <c r="E136" s="131"/>
      <c r="F136" s="131"/>
    </row>
    <row r="137" spans="1:6" ht="27">
      <c r="A137" s="115" t="s">
        <v>399</v>
      </c>
      <c r="B137" s="119" t="s">
        <v>400</v>
      </c>
      <c r="C137" s="114"/>
      <c r="D137" s="300"/>
      <c r="E137" s="131"/>
      <c r="F137" s="131"/>
    </row>
    <row r="138" spans="1:6" ht="27">
      <c r="A138" s="115" t="s">
        <v>401</v>
      </c>
      <c r="B138" s="119" t="s">
        <v>402</v>
      </c>
      <c r="C138" s="114"/>
      <c r="D138" s="300"/>
      <c r="E138" s="131"/>
      <c r="F138" s="131"/>
    </row>
    <row r="139" spans="1:6" ht="27">
      <c r="A139" s="115" t="s">
        <v>403</v>
      </c>
      <c r="B139" s="119" t="s">
        <v>404</v>
      </c>
      <c r="C139" s="114"/>
      <c r="D139" s="300"/>
      <c r="E139" s="131"/>
      <c r="F139" s="131"/>
    </row>
    <row r="140" spans="1:6">
      <c r="A140" s="115" t="s">
        <v>405</v>
      </c>
      <c r="B140" s="119" t="s">
        <v>406</v>
      </c>
      <c r="C140" s="114"/>
      <c r="D140" s="300"/>
      <c r="E140" s="131"/>
      <c r="F140" s="131"/>
    </row>
    <row r="141" spans="1:6">
      <c r="A141" s="115" t="s">
        <v>407</v>
      </c>
      <c r="B141" s="119" t="s">
        <v>408</v>
      </c>
      <c r="C141" s="114"/>
      <c r="D141" s="300"/>
      <c r="E141" s="131"/>
      <c r="F141" s="131"/>
    </row>
    <row r="142" spans="1:6" ht="84">
      <c r="A142" s="115">
        <v>1</v>
      </c>
      <c r="B142" s="129" t="s">
        <v>478</v>
      </c>
      <c r="C142" s="114" t="s">
        <v>138</v>
      </c>
      <c r="D142" s="300">
        <v>50</v>
      </c>
      <c r="E142" s="131">
        <v>85000</v>
      </c>
      <c r="F142" s="131">
        <f>$D142*E142</f>
        <v>4250000</v>
      </c>
    </row>
    <row r="143" spans="1:6">
      <c r="A143" s="115"/>
      <c r="B143" s="116" t="s">
        <v>409</v>
      </c>
      <c r="C143" s="114"/>
      <c r="D143" s="300"/>
      <c r="E143" s="131"/>
      <c r="F143" s="131">
        <f>SUBTOTAL(9,F142)</f>
        <v>4250000</v>
      </c>
    </row>
    <row r="144" spans="1:6">
      <c r="A144" s="115"/>
      <c r="B144" s="119"/>
      <c r="C144" s="114"/>
      <c r="D144" s="300"/>
      <c r="E144" s="131"/>
      <c r="F144" s="131"/>
    </row>
    <row r="145" spans="1:6">
      <c r="A145" s="114">
        <v>9</v>
      </c>
      <c r="B145" s="116" t="s">
        <v>410</v>
      </c>
      <c r="C145" s="114"/>
      <c r="D145" s="300"/>
      <c r="E145" s="131"/>
      <c r="F145" s="131"/>
    </row>
    <row r="146" spans="1:6" ht="67.5">
      <c r="A146" s="115">
        <v>1</v>
      </c>
      <c r="B146" s="119" t="s">
        <v>411</v>
      </c>
      <c r="C146" s="114"/>
      <c r="D146" s="300"/>
      <c r="E146" s="131"/>
      <c r="F146" s="131"/>
    </row>
    <row r="147" spans="1:6" ht="54">
      <c r="A147" s="115">
        <v>2</v>
      </c>
      <c r="B147" s="119" t="s">
        <v>412</v>
      </c>
      <c r="C147" s="114"/>
      <c r="D147" s="300"/>
      <c r="E147" s="131"/>
      <c r="F147" s="131"/>
    </row>
    <row r="148" spans="1:6" ht="27">
      <c r="A148" s="115">
        <v>3</v>
      </c>
      <c r="B148" s="119" t="s">
        <v>413</v>
      </c>
      <c r="C148" s="114"/>
      <c r="D148" s="300"/>
      <c r="E148" s="131"/>
      <c r="F148" s="131"/>
    </row>
    <row r="149" spans="1:6" ht="40.5">
      <c r="A149" s="115">
        <v>4</v>
      </c>
      <c r="B149" s="119" t="s">
        <v>414</v>
      </c>
      <c r="C149" s="114"/>
      <c r="D149" s="300"/>
      <c r="E149" s="131"/>
      <c r="F149" s="131"/>
    </row>
    <row r="150" spans="1:6" ht="67.5">
      <c r="A150" s="115">
        <v>5</v>
      </c>
      <c r="B150" s="119" t="s">
        <v>415</v>
      </c>
      <c r="C150" s="114"/>
      <c r="D150" s="300"/>
      <c r="E150" s="131"/>
      <c r="F150" s="131"/>
    </row>
    <row r="151" spans="1:6">
      <c r="A151" s="115">
        <v>6</v>
      </c>
      <c r="B151" s="119" t="s">
        <v>416</v>
      </c>
      <c r="C151" s="114"/>
      <c r="D151" s="300"/>
      <c r="E151" s="131"/>
      <c r="F151" s="131"/>
    </row>
    <row r="152" spans="1:6">
      <c r="A152" s="115">
        <v>7</v>
      </c>
      <c r="B152" s="119" t="s">
        <v>408</v>
      </c>
      <c r="C152" s="114"/>
      <c r="D152" s="300"/>
      <c r="E152" s="131"/>
      <c r="F152" s="131"/>
    </row>
    <row r="153" spans="1:6" ht="40.5">
      <c r="A153" s="115">
        <v>8</v>
      </c>
      <c r="B153" s="119" t="s">
        <v>417</v>
      </c>
      <c r="C153" s="114"/>
      <c r="D153" s="300"/>
      <c r="E153" s="131"/>
      <c r="F153" s="131"/>
    </row>
    <row r="154" spans="1:6" ht="27">
      <c r="A154" s="115">
        <v>9</v>
      </c>
      <c r="B154" s="119" t="s">
        <v>418</v>
      </c>
      <c r="C154" s="114"/>
      <c r="D154" s="300"/>
      <c r="E154" s="131"/>
      <c r="F154" s="131"/>
    </row>
    <row r="155" spans="1:6">
      <c r="A155" s="115"/>
      <c r="B155" s="116" t="s">
        <v>419</v>
      </c>
      <c r="C155" s="114"/>
      <c r="D155" s="300"/>
      <c r="E155" s="131"/>
      <c r="F155" s="131"/>
    </row>
    <row r="156" spans="1:6" ht="243">
      <c r="A156" s="120">
        <v>1</v>
      </c>
      <c r="B156" s="121" t="s">
        <v>420</v>
      </c>
      <c r="C156" s="325" t="s">
        <v>140</v>
      </c>
      <c r="D156" s="326">
        <v>1000</v>
      </c>
      <c r="E156" s="327">
        <v>1150</v>
      </c>
      <c r="F156" s="327">
        <f>$D156*E156</f>
        <v>1150000</v>
      </c>
    </row>
    <row r="157" spans="1:6" ht="96">
      <c r="A157" s="124"/>
      <c r="B157" s="143" t="s">
        <v>421</v>
      </c>
      <c r="C157" s="325"/>
      <c r="D157" s="326"/>
      <c r="E157" s="327"/>
      <c r="F157" s="327"/>
    </row>
    <row r="158" spans="1:6">
      <c r="A158" s="115"/>
      <c r="B158" s="116" t="s">
        <v>422</v>
      </c>
      <c r="C158" s="114"/>
      <c r="D158" s="300"/>
      <c r="E158" s="131"/>
      <c r="F158" s="131">
        <f>SUBTOTAL(9,F156:F157)</f>
        <v>1150000</v>
      </c>
    </row>
    <row r="159" spans="1:6">
      <c r="A159" s="115"/>
      <c r="B159" s="119"/>
      <c r="C159" s="114"/>
      <c r="D159" s="300"/>
      <c r="E159" s="131"/>
      <c r="F159" s="131"/>
    </row>
    <row r="160" spans="1:6">
      <c r="A160" s="144"/>
      <c r="B160" s="145" t="s">
        <v>423</v>
      </c>
      <c r="C160" s="144"/>
      <c r="D160" s="305"/>
      <c r="E160" s="146"/>
      <c r="F160" s="131">
        <f>SUBTOTAL(9,F32:F158)</f>
        <v>10080470</v>
      </c>
    </row>
    <row r="161" spans="1:6">
      <c r="A161" s="142"/>
      <c r="B161" s="142"/>
      <c r="C161" s="147"/>
      <c r="D161" s="306"/>
      <c r="E161" s="148"/>
      <c r="F161" s="148"/>
    </row>
    <row r="162" spans="1:6">
      <c r="A162" s="142"/>
      <c r="B162" s="149" t="s">
        <v>451</v>
      </c>
      <c r="C162" s="147"/>
      <c r="D162" s="306"/>
      <c r="E162" s="148"/>
      <c r="F162" s="148"/>
    </row>
    <row r="163" spans="1:6">
      <c r="A163" s="142"/>
      <c r="B163" s="149" t="s">
        <v>452</v>
      </c>
      <c r="C163" s="147"/>
      <c r="D163" s="306"/>
      <c r="E163" s="148"/>
      <c r="F163" s="148"/>
    </row>
    <row r="164" spans="1:6">
      <c r="A164" s="142"/>
      <c r="B164" s="142" t="s">
        <v>437</v>
      </c>
      <c r="C164" s="147"/>
      <c r="D164" s="306"/>
      <c r="E164" s="148"/>
      <c r="F164" s="148"/>
    </row>
    <row r="165" spans="1:6">
      <c r="A165" s="142"/>
      <c r="B165" s="142" t="s">
        <v>453</v>
      </c>
      <c r="C165" s="147"/>
      <c r="D165" s="306"/>
      <c r="E165" s="148"/>
      <c r="F165" s="148"/>
    </row>
    <row r="166" spans="1:6">
      <c r="A166" s="142"/>
      <c r="B166" s="142"/>
      <c r="C166" s="147"/>
      <c r="D166" s="306"/>
      <c r="E166" s="148"/>
      <c r="F166" s="148"/>
    </row>
    <row r="167" spans="1:6">
      <c r="A167" s="142"/>
      <c r="B167" s="147" t="s">
        <v>424</v>
      </c>
      <c r="C167" s="147"/>
      <c r="D167" s="306"/>
      <c r="E167" s="148"/>
      <c r="F167" s="148"/>
    </row>
    <row r="168" spans="1:6" ht="33">
      <c r="A168" s="142"/>
      <c r="B168" s="149" t="s">
        <v>425</v>
      </c>
      <c r="C168" s="147"/>
      <c r="D168" s="306"/>
      <c r="E168" s="148"/>
      <c r="F168" s="148"/>
    </row>
    <row r="169" spans="1:6" ht="33">
      <c r="A169" s="142"/>
      <c r="B169" s="149" t="s">
        <v>426</v>
      </c>
      <c r="C169" s="147"/>
      <c r="D169" s="306"/>
      <c r="E169" s="148"/>
      <c r="F169" s="148"/>
    </row>
    <row r="170" spans="1:6" ht="33">
      <c r="A170" s="142"/>
      <c r="B170" s="149" t="s">
        <v>427</v>
      </c>
      <c r="C170" s="147"/>
      <c r="D170" s="306"/>
      <c r="E170" s="148"/>
      <c r="F170" s="148"/>
    </row>
    <row r="171" spans="1:6" ht="66">
      <c r="A171" s="142"/>
      <c r="B171" s="149" t="s">
        <v>428</v>
      </c>
      <c r="C171" s="147"/>
      <c r="D171" s="306"/>
      <c r="E171" s="148"/>
      <c r="F171" s="148"/>
    </row>
    <row r="172" spans="1:6">
      <c r="A172" s="142"/>
      <c r="B172" s="149" t="s">
        <v>458</v>
      </c>
      <c r="C172" s="147"/>
      <c r="D172" s="306"/>
      <c r="E172" s="148"/>
      <c r="F172" s="148"/>
    </row>
    <row r="173" spans="1:6">
      <c r="A173" s="142"/>
      <c r="B173" s="142" t="s">
        <v>454</v>
      </c>
      <c r="C173" s="147"/>
      <c r="D173" s="306"/>
      <c r="E173" s="148"/>
      <c r="F173" s="148"/>
    </row>
    <row r="174" spans="1:6">
      <c r="A174" s="142"/>
      <c r="B174" s="147" t="s">
        <v>429</v>
      </c>
      <c r="C174" s="147"/>
      <c r="D174" s="306"/>
      <c r="E174" s="148"/>
      <c r="F174" s="148"/>
    </row>
    <row r="175" spans="1:6" ht="66">
      <c r="A175" s="142"/>
      <c r="B175" s="149" t="s">
        <v>430</v>
      </c>
      <c r="C175" s="147"/>
      <c r="D175" s="306"/>
      <c r="E175" s="148"/>
      <c r="F175" s="148"/>
    </row>
    <row r="176" spans="1:6" ht="36" customHeight="1">
      <c r="A176" s="142"/>
      <c r="B176" s="149" t="s">
        <v>431</v>
      </c>
      <c r="C176" s="147"/>
      <c r="D176" s="306"/>
      <c r="E176" s="148"/>
      <c r="F176" s="148"/>
    </row>
    <row r="177" spans="1:6" ht="49.5">
      <c r="A177" s="142"/>
      <c r="B177" s="149" t="s">
        <v>432</v>
      </c>
      <c r="C177" s="147"/>
      <c r="D177" s="306"/>
      <c r="E177" s="148"/>
      <c r="F177" s="148"/>
    </row>
    <row r="178" spans="1:6" ht="33">
      <c r="A178" s="142"/>
      <c r="B178" s="149" t="s">
        <v>455</v>
      </c>
      <c r="C178" s="147"/>
      <c r="D178" s="306"/>
      <c r="E178" s="148"/>
      <c r="F178" s="148"/>
    </row>
    <row r="179" spans="1:6" ht="49.5">
      <c r="A179" s="142"/>
      <c r="B179" s="149" t="s">
        <v>433</v>
      </c>
      <c r="C179" s="147"/>
      <c r="D179" s="306"/>
      <c r="E179" s="148"/>
      <c r="F179" s="148"/>
    </row>
    <row r="180" spans="1:6">
      <c r="A180" s="142"/>
      <c r="B180" s="142" t="s">
        <v>456</v>
      </c>
      <c r="C180" s="147"/>
      <c r="D180" s="306"/>
      <c r="E180" s="148"/>
      <c r="F180" s="148"/>
    </row>
    <row r="181" spans="1:6">
      <c r="A181" s="142"/>
      <c r="B181" s="142" t="s">
        <v>443</v>
      </c>
      <c r="C181" s="147"/>
      <c r="D181" s="306"/>
      <c r="E181" s="148"/>
      <c r="F181" s="148"/>
    </row>
    <row r="182" spans="1:6">
      <c r="A182" s="142"/>
      <c r="B182" s="149" t="s">
        <v>457</v>
      </c>
      <c r="C182" s="147"/>
      <c r="D182" s="306"/>
      <c r="E182" s="148"/>
      <c r="F182" s="148"/>
    </row>
    <row r="183" spans="1:6">
      <c r="A183" s="142"/>
      <c r="B183" s="142" t="s">
        <v>434</v>
      </c>
      <c r="C183" s="147"/>
      <c r="D183" s="306"/>
      <c r="E183" s="148"/>
      <c r="F183" s="148"/>
    </row>
    <row r="184" spans="1:6">
      <c r="A184" s="142"/>
      <c r="B184" s="142" t="s">
        <v>444</v>
      </c>
      <c r="C184" s="147"/>
      <c r="D184" s="306"/>
      <c r="E184" s="148"/>
      <c r="F184" s="148"/>
    </row>
    <row r="185" spans="1:6">
      <c r="A185" s="142"/>
      <c r="B185" s="142" t="s">
        <v>459</v>
      </c>
      <c r="C185" s="147"/>
      <c r="D185" s="306"/>
      <c r="E185" s="148"/>
      <c r="F185" s="148"/>
    </row>
    <row r="186" spans="1:6">
      <c r="A186" s="142"/>
      <c r="B186" s="142" t="s">
        <v>460</v>
      </c>
      <c r="C186" s="147"/>
      <c r="D186" s="306"/>
      <c r="E186" s="148"/>
      <c r="F186" s="148"/>
    </row>
    <row r="187" spans="1:6" ht="33">
      <c r="A187" s="142"/>
      <c r="B187" s="149" t="s">
        <v>435</v>
      </c>
      <c r="C187" s="147"/>
      <c r="D187" s="306"/>
      <c r="E187" s="148"/>
      <c r="F187" s="148"/>
    </row>
    <row r="188" spans="1:6">
      <c r="A188" s="142"/>
      <c r="B188" s="142"/>
      <c r="C188" s="142"/>
      <c r="D188" s="307"/>
      <c r="E188" s="308"/>
      <c r="F188" s="308"/>
    </row>
    <row r="189" spans="1:6">
      <c r="A189" s="142"/>
      <c r="B189" s="147" t="s">
        <v>471</v>
      </c>
      <c r="C189" s="142"/>
      <c r="D189" s="307"/>
      <c r="E189" s="308"/>
      <c r="F189" s="308"/>
    </row>
    <row r="190" spans="1:6">
      <c r="A190" s="142"/>
      <c r="B190" s="142" t="s">
        <v>472</v>
      </c>
      <c r="C190" s="142"/>
      <c r="D190" s="307"/>
      <c r="E190" s="308"/>
      <c r="F190" s="308"/>
    </row>
    <row r="191" spans="1:6">
      <c r="A191" s="142"/>
      <c r="B191" s="142" t="s">
        <v>473</v>
      </c>
      <c r="C191" s="142"/>
      <c r="D191" s="307"/>
      <c r="E191" s="308"/>
      <c r="F191" s="308"/>
    </row>
    <row r="192" spans="1:6">
      <c r="A192" s="142"/>
      <c r="B192" s="142" t="s">
        <v>474</v>
      </c>
      <c r="C192" s="142"/>
      <c r="D192" s="307"/>
      <c r="E192" s="308"/>
      <c r="F192" s="308"/>
    </row>
    <row r="193" spans="1:6">
      <c r="A193" s="142"/>
      <c r="B193" s="142"/>
      <c r="C193" s="142"/>
      <c r="D193" s="307"/>
      <c r="E193" s="308"/>
      <c r="F193" s="308"/>
    </row>
    <row r="194" spans="1:6">
      <c r="E194" s="150"/>
      <c r="F194" s="150"/>
    </row>
  </sheetData>
  <mergeCells count="5">
    <mergeCell ref="A1:F1"/>
    <mergeCell ref="C156:C157"/>
    <mergeCell ref="D156:D157"/>
    <mergeCell ref="E156:E157"/>
    <mergeCell ref="F156:F157"/>
  </mergeCells>
  <printOptions horizontalCentered="1"/>
  <pageMargins left="0" right="0" top="0.31496062992126" bottom="0.511811023622047" header="0.31496062992126" footer="0.31496062992126"/>
  <pageSetup paperSize="9" scale="75" orientation="portrait" r:id="rId1"/>
  <headerFooter>
    <oddFooter>&amp;C&amp;P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9"/>
  <sheetViews>
    <sheetView topLeftCell="A42" zoomScale="85" workbookViewId="0">
      <selection activeCell="I47" sqref="I47"/>
    </sheetView>
  </sheetViews>
  <sheetFormatPr defaultColWidth="10" defaultRowHeight="15"/>
  <cols>
    <col min="2" max="2" width="63.85546875" customWidth="1"/>
    <col min="4" max="4" width="14.5703125" bestFit="1" customWidth="1"/>
    <col min="5" max="5" width="13.140625" bestFit="1" customWidth="1"/>
    <col min="6" max="6" width="18.5703125" bestFit="1" customWidth="1"/>
  </cols>
  <sheetData>
    <row r="1" spans="1:6">
      <c r="A1" s="328" t="s">
        <v>126</v>
      </c>
      <c r="B1" s="330" t="s">
        <v>128</v>
      </c>
      <c r="C1" s="332" t="s">
        <v>129</v>
      </c>
      <c r="D1" s="334" t="s">
        <v>130</v>
      </c>
      <c r="E1" s="335"/>
      <c r="F1" s="336"/>
    </row>
    <row r="2" spans="1:6">
      <c r="A2" s="329"/>
      <c r="B2" s="331"/>
      <c r="C2" s="333"/>
      <c r="D2" s="151" t="s">
        <v>131</v>
      </c>
      <c r="E2" s="152" t="s">
        <v>132</v>
      </c>
      <c r="F2" s="153" t="s">
        <v>133</v>
      </c>
    </row>
    <row r="3" spans="1:6" ht="16.5">
      <c r="A3" s="154" t="s">
        <v>134</v>
      </c>
      <c r="B3" s="155" t="s">
        <v>135</v>
      </c>
      <c r="C3" s="156"/>
      <c r="D3" s="157"/>
      <c r="E3" s="158"/>
      <c r="F3" s="159"/>
    </row>
    <row r="4" spans="1:6" ht="18">
      <c r="A4" s="160">
        <v>1</v>
      </c>
      <c r="B4" s="161" t="s">
        <v>136</v>
      </c>
      <c r="C4" s="162"/>
      <c r="D4" s="163"/>
      <c r="E4" s="164"/>
      <c r="F4" s="165"/>
    </row>
    <row r="5" spans="1:6" ht="16.5">
      <c r="A5" s="166">
        <v>1.1000000000000001</v>
      </c>
      <c r="B5" s="167" t="s">
        <v>137</v>
      </c>
      <c r="C5" s="168" t="s">
        <v>138</v>
      </c>
      <c r="D5" s="169"/>
      <c r="E5" s="170"/>
      <c r="F5" s="171"/>
    </row>
    <row r="6" spans="1:6" ht="16.5">
      <c r="A6" s="166">
        <v>1.3</v>
      </c>
      <c r="B6" s="167" t="s">
        <v>139</v>
      </c>
      <c r="C6" s="168" t="s">
        <v>138</v>
      </c>
      <c r="D6" s="169"/>
      <c r="E6" s="170"/>
      <c r="F6" s="171"/>
    </row>
    <row r="7" spans="1:6" ht="18">
      <c r="A7" s="166"/>
      <c r="B7" s="167"/>
      <c r="C7" s="172"/>
      <c r="D7" s="173"/>
      <c r="E7" s="174"/>
      <c r="F7" s="175"/>
    </row>
    <row r="8" spans="1:6" ht="18">
      <c r="A8" s="176">
        <v>2</v>
      </c>
      <c r="B8" s="177" t="s">
        <v>141</v>
      </c>
      <c r="C8" s="162"/>
      <c r="D8" s="163"/>
      <c r="E8" s="178"/>
      <c r="F8" s="165"/>
    </row>
    <row r="9" spans="1:6" ht="16.5">
      <c r="A9" s="179"/>
      <c r="B9" s="180" t="s">
        <v>142</v>
      </c>
      <c r="C9" s="168"/>
      <c r="D9" s="181"/>
      <c r="E9" s="182"/>
      <c r="F9" s="183"/>
    </row>
    <row r="10" spans="1:6" ht="33">
      <c r="A10" s="179">
        <v>2.1</v>
      </c>
      <c r="B10" s="184" t="s">
        <v>143</v>
      </c>
      <c r="C10" s="168" t="s">
        <v>138</v>
      </c>
      <c r="D10" s="169"/>
      <c r="E10" s="170"/>
      <c r="F10" s="171"/>
    </row>
    <row r="11" spans="1:6" ht="33">
      <c r="A11" s="179">
        <v>2.2000000000000002</v>
      </c>
      <c r="B11" s="167" t="s">
        <v>144</v>
      </c>
      <c r="C11" s="168"/>
      <c r="D11" s="185"/>
      <c r="E11" s="186"/>
      <c r="F11" s="171"/>
    </row>
    <row r="12" spans="1:6" ht="16.5">
      <c r="A12" s="179"/>
      <c r="B12" s="187" t="s">
        <v>145</v>
      </c>
      <c r="C12" s="168" t="s">
        <v>138</v>
      </c>
      <c r="D12" s="169"/>
      <c r="E12" s="170"/>
      <c r="F12" s="171"/>
    </row>
    <row r="13" spans="1:6" ht="33">
      <c r="A13" s="179">
        <v>2.2999999999999998</v>
      </c>
      <c r="B13" s="167" t="s">
        <v>146</v>
      </c>
      <c r="C13" s="168"/>
      <c r="D13" s="169"/>
      <c r="E13" s="186"/>
      <c r="F13" s="171"/>
    </row>
    <row r="14" spans="1:6" ht="16.5">
      <c r="A14" s="179"/>
      <c r="B14" s="187" t="s">
        <v>145</v>
      </c>
      <c r="C14" s="168" t="s">
        <v>138</v>
      </c>
      <c r="D14" s="169"/>
      <c r="E14" s="170"/>
      <c r="F14" s="171"/>
    </row>
    <row r="15" spans="1:6" ht="33">
      <c r="A15" s="179">
        <v>2.4</v>
      </c>
      <c r="B15" s="167" t="s">
        <v>147</v>
      </c>
      <c r="C15" s="168"/>
      <c r="D15" s="169"/>
      <c r="E15" s="186"/>
      <c r="F15" s="171"/>
    </row>
    <row r="16" spans="1:6" ht="16.5">
      <c r="A16" s="179"/>
      <c r="B16" s="187" t="s">
        <v>145</v>
      </c>
      <c r="C16" s="168" t="s">
        <v>138</v>
      </c>
      <c r="D16" s="169"/>
      <c r="E16" s="170"/>
      <c r="F16" s="171"/>
    </row>
    <row r="17" spans="1:6" ht="33">
      <c r="A17" s="179">
        <v>2.5</v>
      </c>
      <c r="B17" s="188" t="s">
        <v>148</v>
      </c>
      <c r="C17" s="168"/>
      <c r="D17" s="169"/>
      <c r="E17" s="186"/>
      <c r="F17" s="171"/>
    </row>
    <row r="18" spans="1:6" ht="16.5">
      <c r="A18" s="189"/>
      <c r="B18" s="187" t="s">
        <v>145</v>
      </c>
      <c r="C18" s="168" t="s">
        <v>138</v>
      </c>
      <c r="D18" s="190"/>
      <c r="E18" s="170"/>
      <c r="F18" s="191"/>
    </row>
    <row r="19" spans="1:6" ht="16.5">
      <c r="A19" s="189">
        <v>2.6</v>
      </c>
      <c r="B19" s="188" t="s">
        <v>149</v>
      </c>
      <c r="C19" s="168" t="s">
        <v>138</v>
      </c>
      <c r="D19" s="190"/>
      <c r="E19" s="186"/>
      <c r="F19" s="191"/>
    </row>
    <row r="20" spans="1:6" ht="16.5">
      <c r="A20" s="189"/>
      <c r="B20" s="192" t="s">
        <v>145</v>
      </c>
      <c r="C20" s="168" t="s">
        <v>138</v>
      </c>
      <c r="D20" s="190"/>
      <c r="E20" s="170"/>
      <c r="F20" s="191"/>
    </row>
    <row r="21" spans="1:6" ht="16.5">
      <c r="A21" s="189"/>
      <c r="B21" s="192" t="s">
        <v>150</v>
      </c>
      <c r="C21" s="168" t="s">
        <v>138</v>
      </c>
      <c r="D21" s="190"/>
      <c r="E21" s="170"/>
      <c r="F21" s="191"/>
    </row>
    <row r="22" spans="1:6" ht="16.5">
      <c r="A22" s="189">
        <v>2.7</v>
      </c>
      <c r="B22" s="193" t="s">
        <v>151</v>
      </c>
      <c r="C22" s="194"/>
      <c r="D22" s="190"/>
      <c r="E22" s="186"/>
      <c r="F22" s="191"/>
    </row>
    <row r="23" spans="1:6" ht="16.5">
      <c r="A23" s="189"/>
      <c r="B23" s="192" t="s">
        <v>145</v>
      </c>
      <c r="C23" s="168" t="s">
        <v>138</v>
      </c>
      <c r="D23" s="190"/>
      <c r="E23" s="170"/>
      <c r="F23" s="191"/>
    </row>
    <row r="24" spans="1:6" ht="16.5">
      <c r="A24" s="179"/>
      <c r="B24" s="187" t="s">
        <v>150</v>
      </c>
      <c r="C24" s="168" t="s">
        <v>138</v>
      </c>
      <c r="D24" s="169"/>
      <c r="E24" s="170"/>
      <c r="F24" s="171"/>
    </row>
    <row r="25" spans="1:6" ht="49.5">
      <c r="A25" s="179">
        <v>2.8</v>
      </c>
      <c r="B25" s="184" t="s">
        <v>152</v>
      </c>
      <c r="C25" s="168" t="s">
        <v>138</v>
      </c>
      <c r="D25" s="169"/>
      <c r="E25" s="170"/>
      <c r="F25" s="171"/>
    </row>
    <row r="26" spans="1:6" ht="16.5">
      <c r="A26" s="189">
        <v>2.9</v>
      </c>
      <c r="B26" s="195" t="s">
        <v>153</v>
      </c>
      <c r="C26" s="168" t="s">
        <v>138</v>
      </c>
      <c r="D26" s="190"/>
      <c r="E26" s="196"/>
      <c r="F26" s="191"/>
    </row>
    <row r="27" spans="1:6" ht="16.5">
      <c r="A27" s="197">
        <v>2.1</v>
      </c>
      <c r="B27" s="188" t="s">
        <v>154</v>
      </c>
      <c r="C27" s="168" t="s">
        <v>138</v>
      </c>
      <c r="D27" s="190"/>
      <c r="E27" s="196"/>
      <c r="F27" s="191"/>
    </row>
    <row r="28" spans="1:6" ht="16.5">
      <c r="A28" s="197">
        <v>2.11</v>
      </c>
      <c r="B28" s="188" t="s">
        <v>155</v>
      </c>
      <c r="C28" s="168" t="s">
        <v>138</v>
      </c>
      <c r="D28" s="190"/>
      <c r="E28" s="196"/>
      <c r="F28" s="191"/>
    </row>
    <row r="29" spans="1:6" ht="33">
      <c r="A29" s="197">
        <v>2.12</v>
      </c>
      <c r="B29" s="188" t="s">
        <v>156</v>
      </c>
      <c r="C29" s="168" t="s">
        <v>157</v>
      </c>
      <c r="D29" s="190"/>
      <c r="E29" s="170"/>
      <c r="F29" s="191"/>
    </row>
    <row r="30" spans="1:6" ht="49.5">
      <c r="A30" s="198">
        <v>2.13</v>
      </c>
      <c r="B30" s="192" t="s">
        <v>158</v>
      </c>
      <c r="C30" s="168" t="s">
        <v>157</v>
      </c>
      <c r="D30" s="190"/>
      <c r="E30" s="170"/>
      <c r="F30" s="191"/>
    </row>
    <row r="31" spans="1:6" ht="33">
      <c r="A31" s="198">
        <v>2.14</v>
      </c>
      <c r="B31" s="192" t="s">
        <v>159</v>
      </c>
      <c r="C31" s="168" t="s">
        <v>138</v>
      </c>
      <c r="D31" s="190"/>
      <c r="E31" s="170"/>
      <c r="F31" s="191"/>
    </row>
    <row r="32" spans="1:6" ht="16.5">
      <c r="A32" s="199"/>
      <c r="B32" s="200"/>
      <c r="C32" s="201"/>
      <c r="D32" s="202"/>
      <c r="E32" s="203"/>
      <c r="F32" s="204"/>
    </row>
    <row r="33" spans="1:6" ht="18">
      <c r="A33" s="179"/>
      <c r="B33" s="167"/>
      <c r="C33" s="172"/>
      <c r="D33" s="173"/>
      <c r="E33" s="174"/>
      <c r="F33" s="175"/>
    </row>
    <row r="34" spans="1:6" ht="18">
      <c r="A34" s="205">
        <v>3</v>
      </c>
      <c r="B34" s="206" t="s">
        <v>160</v>
      </c>
      <c r="C34" s="162"/>
      <c r="D34" s="163"/>
      <c r="E34" s="178"/>
      <c r="F34" s="165"/>
    </row>
    <row r="35" spans="1:6" ht="16.5">
      <c r="A35" s="179">
        <v>3.1</v>
      </c>
      <c r="B35" s="207" t="s">
        <v>161</v>
      </c>
      <c r="C35" s="208" t="s">
        <v>162</v>
      </c>
      <c r="D35" s="209"/>
      <c r="E35" s="210"/>
      <c r="F35" s="171"/>
    </row>
    <row r="36" spans="1:6" ht="16.5">
      <c r="A36" s="189">
        <v>3.2</v>
      </c>
      <c r="B36" s="211" t="s">
        <v>163</v>
      </c>
      <c r="C36" s="212" t="s">
        <v>162</v>
      </c>
      <c r="D36" s="209"/>
      <c r="E36" s="213"/>
      <c r="F36" s="191"/>
    </row>
    <row r="37" spans="1:6" ht="16.5">
      <c r="A37" s="179">
        <v>3.3</v>
      </c>
      <c r="B37" s="211" t="s">
        <v>164</v>
      </c>
      <c r="C37" s="208" t="s">
        <v>162</v>
      </c>
      <c r="D37" s="209"/>
      <c r="E37" s="213"/>
      <c r="F37" s="171"/>
    </row>
    <row r="38" spans="1:6" ht="16.5">
      <c r="A38" s="189">
        <v>3.4</v>
      </c>
      <c r="B38" s="211" t="s">
        <v>165</v>
      </c>
      <c r="C38" s="212" t="s">
        <v>162</v>
      </c>
      <c r="D38" s="209"/>
      <c r="E38" s="213"/>
      <c r="F38" s="191"/>
    </row>
    <row r="39" spans="1:6" ht="33">
      <c r="A39" s="179">
        <v>3.5</v>
      </c>
      <c r="B39" s="214" t="s">
        <v>166</v>
      </c>
      <c r="C39" s="208" t="s">
        <v>162</v>
      </c>
      <c r="D39" s="209"/>
      <c r="E39" s="213"/>
      <c r="F39" s="171"/>
    </row>
    <row r="40" spans="1:6" ht="16.5">
      <c r="A40" s="179">
        <v>3.6</v>
      </c>
      <c r="B40" s="215" t="s">
        <v>167</v>
      </c>
      <c r="C40" s="208" t="s">
        <v>162</v>
      </c>
      <c r="D40" s="209"/>
      <c r="E40" s="213"/>
      <c r="F40" s="171"/>
    </row>
    <row r="41" spans="1:6" ht="16.5">
      <c r="A41" s="179">
        <v>3.7</v>
      </c>
      <c r="B41" s="215" t="s">
        <v>168</v>
      </c>
      <c r="C41" s="208" t="s">
        <v>162</v>
      </c>
      <c r="D41" s="209"/>
      <c r="E41" s="210"/>
      <c r="F41" s="171"/>
    </row>
    <row r="42" spans="1:6" ht="16.5">
      <c r="A42" s="179">
        <v>3.7</v>
      </c>
      <c r="B42" s="215" t="s">
        <v>168</v>
      </c>
      <c r="C42" s="208" t="s">
        <v>162</v>
      </c>
      <c r="D42" s="209"/>
      <c r="E42" s="210"/>
      <c r="F42" s="171"/>
    </row>
    <row r="43" spans="1:6" ht="18">
      <c r="A43" s="179"/>
      <c r="B43" s="211"/>
      <c r="C43" s="216"/>
      <c r="D43" s="173"/>
      <c r="E43" s="174"/>
      <c r="F43" s="175"/>
    </row>
    <row r="44" spans="1:6" ht="18">
      <c r="A44" s="205">
        <v>4</v>
      </c>
      <c r="B44" s="206" t="s">
        <v>169</v>
      </c>
      <c r="C44" s="162"/>
      <c r="D44" s="163"/>
      <c r="E44" s="217"/>
      <c r="F44" s="165"/>
    </row>
    <row r="45" spans="1:6" ht="33">
      <c r="A45" s="166">
        <v>4.0999999999999996</v>
      </c>
      <c r="B45" s="184" t="s">
        <v>170</v>
      </c>
      <c r="C45" s="218" t="s">
        <v>171</v>
      </c>
      <c r="D45" s="219"/>
      <c r="E45" s="170"/>
      <c r="F45" s="220"/>
    </row>
    <row r="46" spans="1:6" ht="33">
      <c r="A46" s="166">
        <v>4.2</v>
      </c>
      <c r="B46" s="184" t="s">
        <v>172</v>
      </c>
      <c r="C46" s="218"/>
      <c r="D46" s="219"/>
      <c r="E46" s="170"/>
      <c r="F46" s="220"/>
    </row>
    <row r="47" spans="1:6" ht="66">
      <c r="A47" s="166">
        <v>4.3</v>
      </c>
      <c r="B47" s="184" t="s">
        <v>173</v>
      </c>
      <c r="C47" s="218"/>
      <c r="D47" s="219"/>
      <c r="E47" s="170"/>
      <c r="F47" s="220"/>
    </row>
    <row r="48" spans="1:6" ht="18">
      <c r="A48" s="166"/>
      <c r="B48" s="184"/>
      <c r="C48" s="216"/>
      <c r="D48" s="221"/>
      <c r="E48" s="174"/>
      <c r="F48" s="222"/>
    </row>
    <row r="49" spans="1:6" ht="18">
      <c r="A49" s="166"/>
      <c r="B49" s="223"/>
      <c r="C49" s="216"/>
      <c r="D49" s="173"/>
      <c r="E49" s="224"/>
      <c r="F49" s="175"/>
    </row>
    <row r="50" spans="1:6" ht="18">
      <c r="A50" s="176">
        <v>5</v>
      </c>
      <c r="B50" s="225" t="s">
        <v>174</v>
      </c>
      <c r="C50" s="226"/>
      <c r="D50" s="163"/>
      <c r="E50" s="217"/>
      <c r="F50" s="165"/>
    </row>
    <row r="51" spans="1:6" ht="49.5">
      <c r="A51" s="166">
        <v>5.0999999999999996</v>
      </c>
      <c r="B51" s="167" t="s">
        <v>175</v>
      </c>
      <c r="C51" s="227" t="s">
        <v>176</v>
      </c>
      <c r="D51" s="228"/>
      <c r="E51" s="213"/>
      <c r="F51" s="191"/>
    </row>
    <row r="52" spans="1:6" ht="49.5">
      <c r="A52" s="166">
        <v>5.2</v>
      </c>
      <c r="B52" s="167" t="s">
        <v>177</v>
      </c>
      <c r="C52" s="227" t="s">
        <v>162</v>
      </c>
      <c r="D52" s="209"/>
      <c r="E52" s="213"/>
      <c r="F52" s="171"/>
    </row>
    <row r="53" spans="1:6" ht="33">
      <c r="A53" s="166">
        <v>5.3</v>
      </c>
      <c r="B53" s="167" t="s">
        <v>178</v>
      </c>
      <c r="C53" s="227" t="s">
        <v>176</v>
      </c>
      <c r="D53" s="228"/>
      <c r="E53" s="213"/>
      <c r="F53" s="191"/>
    </row>
    <row r="54" spans="1:6" ht="49.5">
      <c r="A54" s="166">
        <v>5.4</v>
      </c>
      <c r="B54" s="167" t="s">
        <v>179</v>
      </c>
      <c r="C54" s="227" t="s">
        <v>162</v>
      </c>
      <c r="D54" s="209"/>
      <c r="E54" s="213"/>
      <c r="F54" s="171"/>
    </row>
    <row r="55" spans="1:6" ht="33">
      <c r="A55" s="166">
        <v>5.5</v>
      </c>
      <c r="B55" s="167" t="s">
        <v>180</v>
      </c>
      <c r="C55" s="227" t="s">
        <v>103</v>
      </c>
      <c r="D55" s="209"/>
      <c r="E55" s="213"/>
      <c r="F55" s="171"/>
    </row>
    <row r="56" spans="1:6" ht="16.5">
      <c r="A56" s="166">
        <v>5.6</v>
      </c>
      <c r="B56" s="187" t="s">
        <v>181</v>
      </c>
      <c r="C56" s="227"/>
      <c r="D56" s="209"/>
      <c r="E56" s="229"/>
      <c r="F56" s="171"/>
    </row>
    <row r="57" spans="1:6" ht="16.5">
      <c r="A57" s="166" t="s">
        <v>182</v>
      </c>
      <c r="B57" s="167" t="s">
        <v>183</v>
      </c>
      <c r="C57" s="227" t="s">
        <v>138</v>
      </c>
      <c r="D57" s="209"/>
      <c r="E57" s="230"/>
      <c r="F57" s="171"/>
    </row>
    <row r="58" spans="1:6" ht="16.5">
      <c r="A58" s="166" t="s">
        <v>184</v>
      </c>
      <c r="B58" s="167" t="s">
        <v>185</v>
      </c>
      <c r="C58" s="227" t="s">
        <v>138</v>
      </c>
      <c r="D58" s="209"/>
      <c r="E58" s="230"/>
      <c r="F58" s="171"/>
    </row>
    <row r="59" spans="1:6" ht="16.5">
      <c r="A59" s="166" t="s">
        <v>186</v>
      </c>
      <c r="B59" s="167" t="s">
        <v>187</v>
      </c>
      <c r="C59" s="227" t="s">
        <v>138</v>
      </c>
      <c r="D59" s="209"/>
      <c r="E59" s="230"/>
      <c r="F59" s="171"/>
    </row>
    <row r="60" spans="1:6" ht="16.5">
      <c r="A60" s="166">
        <v>5.7</v>
      </c>
      <c r="B60" s="187" t="s">
        <v>188</v>
      </c>
      <c r="C60" s="227"/>
      <c r="D60" s="209"/>
      <c r="E60" s="229"/>
      <c r="F60" s="171"/>
    </row>
    <row r="61" spans="1:6" ht="16.5">
      <c r="A61" s="166" t="s">
        <v>189</v>
      </c>
      <c r="B61" s="167" t="s">
        <v>183</v>
      </c>
      <c r="C61" s="227" t="s">
        <v>140</v>
      </c>
      <c r="D61" s="209"/>
      <c r="E61" s="230"/>
      <c r="F61" s="171"/>
    </row>
    <row r="62" spans="1:6" ht="16.5">
      <c r="A62" s="166" t="s">
        <v>190</v>
      </c>
      <c r="B62" s="167" t="s">
        <v>185</v>
      </c>
      <c r="C62" s="227" t="s">
        <v>140</v>
      </c>
      <c r="D62" s="209"/>
      <c r="E62" s="230"/>
      <c r="F62" s="171"/>
    </row>
    <row r="63" spans="1:6" ht="16.5">
      <c r="A63" s="166" t="s">
        <v>191</v>
      </c>
      <c r="B63" s="167" t="s">
        <v>187</v>
      </c>
      <c r="C63" s="227" t="s">
        <v>140</v>
      </c>
      <c r="D63" s="209"/>
      <c r="E63" s="230"/>
      <c r="F63" s="171"/>
    </row>
    <row r="64" spans="1:6" ht="33">
      <c r="A64" s="166">
        <v>5.8</v>
      </c>
      <c r="B64" s="167" t="s">
        <v>192</v>
      </c>
      <c r="C64" s="227" t="s">
        <v>138</v>
      </c>
      <c r="D64" s="209"/>
      <c r="E64" s="213"/>
      <c r="F64" s="171"/>
    </row>
    <row r="65" spans="1:6" ht="33">
      <c r="A65" s="166">
        <v>5.9</v>
      </c>
      <c r="B65" s="167" t="s">
        <v>193</v>
      </c>
      <c r="C65" s="227" t="s">
        <v>171</v>
      </c>
      <c r="D65" s="209"/>
      <c r="E65" s="213"/>
      <c r="F65" s="171"/>
    </row>
    <row r="66" spans="1:6" ht="16.5">
      <c r="A66" s="231"/>
      <c r="B66" s="167" t="s">
        <v>194</v>
      </c>
      <c r="C66" s="227" t="s">
        <v>138</v>
      </c>
      <c r="D66" s="232"/>
      <c r="E66" s="233"/>
      <c r="F66" s="234"/>
    </row>
    <row r="67" spans="1:6" ht="18">
      <c r="A67" s="166"/>
      <c r="B67" s="235"/>
      <c r="C67" s="216"/>
      <c r="D67" s="236"/>
      <c r="E67" s="237"/>
      <c r="F67" s="175"/>
    </row>
    <row r="68" spans="1:6" ht="20.25">
      <c r="A68" s="238">
        <v>6</v>
      </c>
      <c r="B68" s="225" t="s">
        <v>195</v>
      </c>
      <c r="C68" s="226"/>
      <c r="D68" s="239"/>
      <c r="E68" s="240"/>
      <c r="F68" s="241"/>
    </row>
    <row r="69" spans="1:6" ht="33">
      <c r="A69" s="242">
        <v>6.1</v>
      </c>
      <c r="B69" s="243" t="s">
        <v>196</v>
      </c>
      <c r="C69" s="244"/>
      <c r="D69" s="228"/>
      <c r="E69" s="245"/>
      <c r="F69" s="191"/>
    </row>
    <row r="70" spans="1:6" ht="16.5">
      <c r="A70" s="179"/>
      <c r="B70" s="246" t="s">
        <v>197</v>
      </c>
      <c r="C70" s="227" t="s">
        <v>198</v>
      </c>
      <c r="D70" s="228"/>
      <c r="E70" s="247"/>
      <c r="F70" s="191"/>
    </row>
    <row r="71" spans="1:6" ht="33">
      <c r="A71" s="248">
        <v>6.2</v>
      </c>
      <c r="B71" s="167" t="s">
        <v>199</v>
      </c>
      <c r="C71" s="227" t="s">
        <v>162</v>
      </c>
      <c r="D71" s="228"/>
      <c r="E71" s="247"/>
      <c r="F71" s="191"/>
    </row>
    <row r="72" spans="1:6" ht="49.5">
      <c r="A72" s="242">
        <v>6.3</v>
      </c>
      <c r="B72" s="249" t="s">
        <v>200</v>
      </c>
      <c r="C72" s="227" t="s">
        <v>162</v>
      </c>
      <c r="D72" s="228"/>
      <c r="E72" s="247"/>
      <c r="F72" s="191"/>
    </row>
    <row r="73" spans="1:6" ht="49.5">
      <c r="A73" s="242">
        <v>6.4</v>
      </c>
      <c r="B73" s="243" t="s">
        <v>201</v>
      </c>
      <c r="C73" s="227" t="s">
        <v>202</v>
      </c>
      <c r="D73" s="228"/>
      <c r="E73" s="247"/>
      <c r="F73" s="191"/>
    </row>
    <row r="74" spans="1:6" ht="33">
      <c r="A74" s="242">
        <v>6.5</v>
      </c>
      <c r="B74" s="249" t="s">
        <v>203</v>
      </c>
      <c r="C74" s="227" t="s">
        <v>162</v>
      </c>
      <c r="D74" s="228"/>
      <c r="E74" s="247"/>
      <c r="F74" s="191"/>
    </row>
    <row r="75" spans="1:6" ht="33">
      <c r="A75" s="250">
        <v>6.6</v>
      </c>
      <c r="B75" s="251" t="s">
        <v>204</v>
      </c>
      <c r="C75" s="252" t="s">
        <v>205</v>
      </c>
      <c r="D75" s="228"/>
      <c r="E75" s="253"/>
      <c r="F75" s="191"/>
    </row>
    <row r="76" spans="1:6" ht="49.5">
      <c r="A76" s="254">
        <v>6.7</v>
      </c>
      <c r="B76" s="249" t="s">
        <v>206</v>
      </c>
      <c r="C76" s="227" t="s">
        <v>162</v>
      </c>
      <c r="D76" s="228"/>
      <c r="E76" s="247"/>
      <c r="F76" s="191"/>
    </row>
    <row r="77" spans="1:6" ht="49.5">
      <c r="A77" s="254">
        <v>6.8</v>
      </c>
      <c r="B77" s="249" t="s">
        <v>207</v>
      </c>
      <c r="C77" s="227" t="s">
        <v>208</v>
      </c>
      <c r="D77" s="228"/>
      <c r="E77" s="247"/>
      <c r="F77" s="191"/>
    </row>
    <row r="78" spans="1:6" ht="49.5">
      <c r="A78" s="254">
        <v>6.9</v>
      </c>
      <c r="B78" s="249" t="s">
        <v>209</v>
      </c>
      <c r="C78" s="227" t="s">
        <v>208</v>
      </c>
      <c r="D78" s="228"/>
      <c r="E78" s="247"/>
      <c r="F78" s="191"/>
    </row>
    <row r="79" spans="1:6" ht="18">
      <c r="A79" s="166"/>
      <c r="B79" s="235"/>
      <c r="C79" s="216"/>
      <c r="D79" s="236"/>
      <c r="E79" s="237"/>
      <c r="F79" s="175"/>
    </row>
    <row r="80" spans="1:6" ht="18">
      <c r="A80" s="176">
        <v>7</v>
      </c>
      <c r="B80" s="225" t="s">
        <v>48</v>
      </c>
      <c r="C80" s="255"/>
      <c r="D80" s="239"/>
      <c r="E80" s="256"/>
      <c r="F80" s="241"/>
    </row>
    <row r="81" spans="1:6" ht="33">
      <c r="A81" s="248">
        <v>7.1</v>
      </c>
      <c r="B81" s="167" t="s">
        <v>210</v>
      </c>
      <c r="C81" s="227" t="s">
        <v>211</v>
      </c>
      <c r="D81" s="228"/>
      <c r="E81" s="247"/>
      <c r="F81" s="191"/>
    </row>
    <row r="82" spans="1:6" ht="18">
      <c r="A82" s="166"/>
      <c r="B82" s="235"/>
      <c r="C82" s="216"/>
      <c r="D82" s="236"/>
      <c r="E82" s="237"/>
      <c r="F82" s="257"/>
    </row>
    <row r="83" spans="1:6" ht="18">
      <c r="A83" s="176">
        <v>8</v>
      </c>
      <c r="B83" s="225" t="s">
        <v>212</v>
      </c>
      <c r="C83" s="226"/>
      <c r="D83" s="163"/>
      <c r="E83" s="178"/>
      <c r="F83" s="165"/>
    </row>
    <row r="84" spans="1:6" ht="82.5">
      <c r="A84" s="166">
        <v>8.1</v>
      </c>
      <c r="B84" s="243" t="s">
        <v>213</v>
      </c>
      <c r="C84" s="227" t="s">
        <v>162</v>
      </c>
      <c r="D84" s="258"/>
      <c r="E84" s="247"/>
      <c r="F84" s="191"/>
    </row>
    <row r="85" spans="1:6" ht="82.5">
      <c r="A85" s="166">
        <v>8.1999999999999993</v>
      </c>
      <c r="B85" s="184" t="s">
        <v>214</v>
      </c>
      <c r="C85" s="227" t="s">
        <v>162</v>
      </c>
      <c r="D85" s="259"/>
      <c r="E85" s="247"/>
      <c r="F85" s="171"/>
    </row>
    <row r="86" spans="1:6" ht="99">
      <c r="A86" s="166">
        <v>8.3000000000000007</v>
      </c>
      <c r="B86" s="167" t="s">
        <v>215</v>
      </c>
      <c r="C86" s="227" t="s">
        <v>162</v>
      </c>
      <c r="D86" s="258"/>
      <c r="E86" s="247"/>
      <c r="F86" s="191"/>
    </row>
    <row r="87" spans="1:6" ht="82.5">
      <c r="A87" s="166">
        <v>8.4</v>
      </c>
      <c r="B87" s="260" t="s">
        <v>216</v>
      </c>
      <c r="C87" s="227" t="s">
        <v>140</v>
      </c>
      <c r="D87" s="258"/>
      <c r="E87" s="247"/>
      <c r="F87" s="191"/>
    </row>
    <row r="88" spans="1:6" ht="66">
      <c r="A88" s="166">
        <v>8.5</v>
      </c>
      <c r="B88" s="184" t="s">
        <v>217</v>
      </c>
      <c r="C88" s="227" t="s">
        <v>140</v>
      </c>
      <c r="D88" s="258"/>
      <c r="E88" s="247"/>
      <c r="F88" s="191"/>
    </row>
    <row r="89" spans="1:6" ht="82.5">
      <c r="A89" s="166">
        <v>8.6</v>
      </c>
      <c r="B89" s="261" t="s">
        <v>218</v>
      </c>
      <c r="C89" s="227" t="s">
        <v>162</v>
      </c>
      <c r="D89" s="258"/>
      <c r="E89" s="247"/>
      <c r="F89" s="171"/>
    </row>
    <row r="90" spans="1:6" ht="33">
      <c r="A90" s="166">
        <v>8.6999999999999993</v>
      </c>
      <c r="B90" s="167" t="s">
        <v>219</v>
      </c>
      <c r="C90" s="227" t="s">
        <v>162</v>
      </c>
      <c r="D90" s="258"/>
      <c r="E90" s="247"/>
      <c r="F90" s="171"/>
    </row>
    <row r="91" spans="1:6" ht="49.5">
      <c r="A91" s="166">
        <v>8.8000000000000007</v>
      </c>
      <c r="B91" s="184" t="s">
        <v>220</v>
      </c>
      <c r="C91" s="227" t="s">
        <v>162</v>
      </c>
      <c r="D91" s="258"/>
      <c r="E91" s="247"/>
      <c r="F91" s="171"/>
    </row>
    <row r="92" spans="1:6" ht="49.5">
      <c r="A92" s="166">
        <v>8.9</v>
      </c>
      <c r="B92" s="184" t="s">
        <v>221</v>
      </c>
      <c r="C92" s="227" t="s">
        <v>162</v>
      </c>
      <c r="D92" s="258"/>
      <c r="E92" s="262"/>
      <c r="F92" s="171"/>
    </row>
    <row r="93" spans="1:6" ht="16.5">
      <c r="A93" s="263">
        <v>8.1</v>
      </c>
      <c r="B93" s="167" t="s">
        <v>222</v>
      </c>
      <c r="C93" s="168" t="s">
        <v>138</v>
      </c>
      <c r="D93" s="169"/>
      <c r="E93" s="170"/>
      <c r="F93" s="171"/>
    </row>
    <row r="94" spans="1:6" ht="33">
      <c r="A94" s="263">
        <v>8.11</v>
      </c>
      <c r="B94" s="167" t="s">
        <v>223</v>
      </c>
      <c r="C94" s="168" t="s">
        <v>138</v>
      </c>
      <c r="D94" s="169"/>
      <c r="E94" s="170"/>
      <c r="F94" s="171"/>
    </row>
    <row r="95" spans="1:6" ht="16.5">
      <c r="A95" s="263">
        <v>8.1199999999999992</v>
      </c>
      <c r="B95" s="167" t="s">
        <v>224</v>
      </c>
      <c r="C95" s="168" t="s">
        <v>225</v>
      </c>
      <c r="D95" s="169"/>
      <c r="E95" s="170"/>
      <c r="F95" s="264"/>
    </row>
    <row r="96" spans="1:6" ht="18">
      <c r="A96" s="166"/>
      <c r="B96" s="235"/>
      <c r="C96" s="216"/>
      <c r="D96" s="236"/>
      <c r="E96" s="237"/>
      <c r="F96" s="257"/>
    </row>
    <row r="97" spans="1:6" ht="18">
      <c r="A97" s="176">
        <v>9</v>
      </c>
      <c r="B97" s="225" t="s">
        <v>52</v>
      </c>
      <c r="C97" s="255"/>
      <c r="D97" s="239"/>
      <c r="E97" s="256"/>
      <c r="F97" s="241"/>
    </row>
    <row r="98" spans="1:6" ht="49.5">
      <c r="A98" s="248">
        <v>9.1</v>
      </c>
      <c r="B98" s="184" t="s">
        <v>226</v>
      </c>
      <c r="C98" s="227" t="s">
        <v>140</v>
      </c>
      <c r="D98" s="228"/>
      <c r="E98" s="247"/>
      <c r="F98" s="191"/>
    </row>
    <row r="99" spans="1:6" ht="49.5">
      <c r="A99" s="248">
        <v>9.1999999999999993</v>
      </c>
      <c r="B99" s="184" t="s">
        <v>227</v>
      </c>
      <c r="C99" s="227" t="s">
        <v>157</v>
      </c>
      <c r="D99" s="228"/>
      <c r="E99" s="262"/>
      <c r="F99" s="191"/>
    </row>
    <row r="100" spans="1:6" ht="18">
      <c r="A100" s="166"/>
      <c r="B100" s="235"/>
      <c r="C100" s="216"/>
      <c r="D100" s="236"/>
      <c r="E100" s="237"/>
      <c r="F100" s="257"/>
    </row>
    <row r="101" spans="1:6" ht="18">
      <c r="A101" s="176">
        <v>10</v>
      </c>
      <c r="B101" s="225" t="s">
        <v>228</v>
      </c>
      <c r="C101" s="226"/>
      <c r="D101" s="163"/>
      <c r="E101" s="178"/>
      <c r="F101" s="165"/>
    </row>
    <row r="102" spans="1:6" ht="49.5">
      <c r="A102" s="248">
        <v>10.1</v>
      </c>
      <c r="B102" s="167" t="s">
        <v>229</v>
      </c>
      <c r="C102" s="227" t="s">
        <v>162</v>
      </c>
      <c r="D102" s="228"/>
      <c r="E102" s="213"/>
      <c r="F102" s="191"/>
    </row>
    <row r="103" spans="1:6" ht="33">
      <c r="A103" s="248">
        <v>10.199999999999999</v>
      </c>
      <c r="B103" s="184" t="s">
        <v>230</v>
      </c>
      <c r="C103" s="227" t="s">
        <v>162</v>
      </c>
      <c r="D103" s="209"/>
      <c r="E103" s="213"/>
      <c r="F103" s="171"/>
    </row>
    <row r="104" spans="1:6" ht="16.5">
      <c r="A104" s="248">
        <v>10.3</v>
      </c>
      <c r="B104" s="184" t="s">
        <v>231</v>
      </c>
      <c r="C104" s="227" t="s">
        <v>198</v>
      </c>
      <c r="D104" s="209"/>
      <c r="E104" s="213"/>
      <c r="F104" s="171"/>
    </row>
    <row r="105" spans="1:6" ht="49.5">
      <c r="A105" s="248">
        <v>10.4</v>
      </c>
      <c r="B105" s="167" t="s">
        <v>232</v>
      </c>
      <c r="C105" s="227" t="s">
        <v>162</v>
      </c>
      <c r="D105" s="209"/>
      <c r="E105" s="213"/>
      <c r="F105" s="171"/>
    </row>
    <row r="106" spans="1:6" ht="16.5">
      <c r="A106" s="248">
        <v>10.5</v>
      </c>
      <c r="B106" s="184" t="s">
        <v>233</v>
      </c>
      <c r="C106" s="227" t="s">
        <v>234</v>
      </c>
      <c r="D106" s="209"/>
      <c r="E106" s="213"/>
      <c r="F106" s="171"/>
    </row>
    <row r="107" spans="1:6" ht="16.5">
      <c r="A107" s="248"/>
      <c r="B107" s="184" t="s">
        <v>235</v>
      </c>
      <c r="C107" s="227" t="s">
        <v>234</v>
      </c>
      <c r="D107" s="209"/>
      <c r="E107" s="213"/>
      <c r="F107" s="171"/>
    </row>
    <row r="108" spans="1:6" ht="16.5">
      <c r="A108" s="248">
        <v>10.6</v>
      </c>
      <c r="B108" s="167" t="s">
        <v>236</v>
      </c>
      <c r="C108" s="227" t="s">
        <v>162</v>
      </c>
      <c r="D108" s="209"/>
      <c r="E108" s="213"/>
      <c r="F108" s="171"/>
    </row>
    <row r="109" spans="1:6" ht="16.5">
      <c r="A109" s="248">
        <v>10.7</v>
      </c>
      <c r="B109" s="167" t="s">
        <v>237</v>
      </c>
      <c r="C109" s="227" t="s">
        <v>162</v>
      </c>
      <c r="D109" s="209"/>
      <c r="E109" s="213"/>
      <c r="F109" s="171"/>
    </row>
    <row r="110" spans="1:6" ht="49.5">
      <c r="A110" s="248">
        <v>10.8</v>
      </c>
      <c r="B110" s="167" t="s">
        <v>238</v>
      </c>
      <c r="C110" s="227" t="s">
        <v>162</v>
      </c>
      <c r="D110" s="228"/>
      <c r="E110" s="213"/>
      <c r="F110" s="191"/>
    </row>
    <row r="111" spans="1:6" ht="18">
      <c r="A111" s="166"/>
      <c r="B111" s="235"/>
      <c r="C111" s="218"/>
      <c r="D111" s="209"/>
      <c r="E111" s="229"/>
      <c r="F111" s="257"/>
    </row>
    <row r="112" spans="1:6" ht="20.25">
      <c r="A112" s="238">
        <v>11</v>
      </c>
      <c r="B112" s="265" t="s">
        <v>57</v>
      </c>
      <c r="C112" s="266"/>
      <c r="D112" s="267"/>
      <c r="E112" s="268"/>
      <c r="F112" s="269"/>
    </row>
    <row r="113" spans="1:6" ht="33">
      <c r="A113" s="242">
        <v>11.1</v>
      </c>
      <c r="B113" s="249" t="s">
        <v>239</v>
      </c>
      <c r="C113" s="227" t="s">
        <v>162</v>
      </c>
      <c r="D113" s="228"/>
      <c r="E113" s="213"/>
      <c r="F113" s="171"/>
    </row>
    <row r="114" spans="1:6" ht="33">
      <c r="A114" s="242">
        <v>11.2</v>
      </c>
      <c r="B114" s="249" t="s">
        <v>240</v>
      </c>
      <c r="C114" s="227" t="s">
        <v>162</v>
      </c>
      <c r="D114" s="228"/>
      <c r="E114" s="230"/>
      <c r="F114" s="171"/>
    </row>
    <row r="115" spans="1:6" ht="33">
      <c r="A115" s="242">
        <v>11.3</v>
      </c>
      <c r="B115" s="270" t="s">
        <v>241</v>
      </c>
      <c r="C115" s="227" t="s">
        <v>162</v>
      </c>
      <c r="D115" s="228"/>
      <c r="E115" s="210"/>
      <c r="F115" s="171"/>
    </row>
    <row r="116" spans="1:6" ht="16.5">
      <c r="A116" s="242">
        <v>11.4</v>
      </c>
      <c r="B116" s="270" t="s">
        <v>242</v>
      </c>
      <c r="C116" s="227" t="s">
        <v>243</v>
      </c>
      <c r="D116" s="228"/>
      <c r="E116" s="210"/>
      <c r="F116" s="171"/>
    </row>
    <row r="117" spans="1:6" ht="18">
      <c r="A117" s="166"/>
      <c r="B117" s="235"/>
      <c r="C117" s="271"/>
      <c r="D117" s="236"/>
      <c r="E117" s="237"/>
      <c r="F117" s="175"/>
    </row>
    <row r="118" spans="1:6" ht="18">
      <c r="A118" s="176">
        <v>12</v>
      </c>
      <c r="B118" s="272" t="s">
        <v>244</v>
      </c>
      <c r="C118" s="266"/>
      <c r="D118" s="267"/>
      <c r="E118" s="268"/>
      <c r="F118" s="269"/>
    </row>
    <row r="119" spans="1:6" ht="16.5">
      <c r="A119" s="273">
        <v>12.1</v>
      </c>
      <c r="B119" s="274" t="s">
        <v>245</v>
      </c>
      <c r="C119" s="227" t="s">
        <v>157</v>
      </c>
      <c r="D119" s="228"/>
      <c r="E119" s="275"/>
      <c r="F119" s="171"/>
    </row>
    <row r="120" spans="1:6" ht="33">
      <c r="A120" s="273">
        <v>12.2</v>
      </c>
      <c r="B120" s="249" t="s">
        <v>246</v>
      </c>
      <c r="C120" s="227" t="s">
        <v>162</v>
      </c>
      <c r="D120" s="228"/>
      <c r="E120" s="275"/>
      <c r="F120" s="171"/>
    </row>
    <row r="121" spans="1:6" ht="33">
      <c r="A121" s="273">
        <v>12.3</v>
      </c>
      <c r="B121" s="249" t="s">
        <v>247</v>
      </c>
      <c r="C121" s="227" t="s">
        <v>157</v>
      </c>
      <c r="D121" s="228"/>
      <c r="E121" s="275"/>
      <c r="F121" s="171"/>
    </row>
    <row r="122" spans="1:6" ht="16.5">
      <c r="A122" s="273">
        <v>12.4</v>
      </c>
      <c r="B122" s="274" t="s">
        <v>248</v>
      </c>
      <c r="C122" s="227" t="s">
        <v>162</v>
      </c>
      <c r="D122" s="228"/>
      <c r="E122" s="230"/>
      <c r="F122" s="171"/>
    </row>
    <row r="123" spans="1:6" ht="16.5">
      <c r="A123" s="273">
        <v>12.5</v>
      </c>
      <c r="B123" s="274" t="s">
        <v>249</v>
      </c>
      <c r="C123" s="227" t="s">
        <v>198</v>
      </c>
      <c r="D123" s="228"/>
      <c r="E123" s="276"/>
      <c r="F123" s="171"/>
    </row>
    <row r="124" spans="1:6" ht="18">
      <c r="A124" s="166"/>
      <c r="B124" s="235"/>
      <c r="C124" s="216"/>
      <c r="D124" s="236"/>
      <c r="E124" s="237"/>
      <c r="F124" s="175"/>
    </row>
    <row r="125" spans="1:6" ht="18">
      <c r="A125" s="176">
        <v>13</v>
      </c>
      <c r="B125" s="272" t="s">
        <v>250</v>
      </c>
      <c r="C125" s="216"/>
      <c r="D125" s="236"/>
      <c r="E125" s="237"/>
      <c r="F125" s="175"/>
    </row>
    <row r="126" spans="1:6" ht="16.5">
      <c r="A126" s="166">
        <v>13</v>
      </c>
      <c r="B126" s="277" t="s">
        <v>251</v>
      </c>
      <c r="C126" s="168" t="s">
        <v>205</v>
      </c>
      <c r="D126" s="169"/>
      <c r="E126" s="278"/>
      <c r="F126" s="171"/>
    </row>
    <row r="127" spans="1:6" ht="16.5">
      <c r="A127" s="166"/>
      <c r="B127" s="277"/>
      <c r="C127" s="168"/>
      <c r="D127" s="169"/>
      <c r="E127" s="279"/>
      <c r="F127" s="171"/>
    </row>
    <row r="128" spans="1:6" ht="18">
      <c r="A128" s="176">
        <v>15.3</v>
      </c>
      <c r="B128" s="225" t="s">
        <v>252</v>
      </c>
      <c r="C128" s="280"/>
      <c r="D128" s="281"/>
      <c r="E128" s="281"/>
      <c r="F128" s="282"/>
    </row>
    <row r="129" spans="1:6" ht="18">
      <c r="A129" s="283"/>
      <c r="B129" s="167"/>
      <c r="C129" s="280"/>
      <c r="D129" s="281"/>
      <c r="E129" s="281"/>
      <c r="F129" s="282"/>
    </row>
  </sheetData>
  <mergeCells count="4">
    <mergeCell ref="A1:A2"/>
    <mergeCell ref="B1:B2"/>
    <mergeCell ref="C1:C2"/>
    <mergeCell ref="D1:F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workbookViewId="0">
      <selection activeCell="D8" sqref="D8"/>
    </sheetView>
  </sheetViews>
  <sheetFormatPr defaultColWidth="10" defaultRowHeight="15"/>
  <cols>
    <col min="2" max="2" width="24.28515625" bestFit="1" customWidth="1"/>
  </cols>
  <sheetData>
    <row r="1" spans="1:7">
      <c r="A1" t="s">
        <v>126</v>
      </c>
      <c r="B1" t="s">
        <v>2</v>
      </c>
      <c r="C1" t="s">
        <v>261</v>
      </c>
      <c r="D1" t="s">
        <v>127</v>
      </c>
    </row>
    <row r="2" spans="1:7">
      <c r="A2">
        <v>1</v>
      </c>
      <c r="B2" t="s">
        <v>262</v>
      </c>
      <c r="C2" t="s">
        <v>138</v>
      </c>
      <c r="D2" s="284">
        <f>1532.83*2.5</f>
        <v>3832.0749999999998</v>
      </c>
      <c r="F2">
        <f>4000</f>
        <v>4000</v>
      </c>
      <c r="G2">
        <f>F2-1600</f>
        <v>2400</v>
      </c>
    </row>
    <row r="3" spans="1:7">
      <c r="A3">
        <v>2</v>
      </c>
      <c r="B3" t="s">
        <v>253</v>
      </c>
      <c r="C3" t="s">
        <v>138</v>
      </c>
      <c r="D3" s="284" t="e">
        <f>+#REF!+#REF!+#REF!</f>
        <v>#REF!</v>
      </c>
    </row>
    <row r="4" spans="1:7">
      <c r="A4">
        <v>3</v>
      </c>
      <c r="B4" t="s">
        <v>263</v>
      </c>
      <c r="C4" t="s">
        <v>138</v>
      </c>
      <c r="D4" s="284" t="e">
        <f>+#REF!-Summary!D3-Summary!D5</f>
        <v>#REF!</v>
      </c>
    </row>
    <row r="5" spans="1:7">
      <c r="A5">
        <v>4</v>
      </c>
      <c r="B5" t="s">
        <v>264</v>
      </c>
      <c r="C5" t="s">
        <v>138</v>
      </c>
      <c r="D5" t="e">
        <f>+#REF!+#REF!+#REF!+#REF!+#REF!+#REF!+#REF!+#REF!+#REF!+#REF!+#REF!+#REF!+#REF!</f>
        <v>#REF!</v>
      </c>
    </row>
    <row r="6" spans="1:7">
      <c r="A6">
        <v>5</v>
      </c>
      <c r="B6" t="s">
        <v>265</v>
      </c>
      <c r="C6" t="s">
        <v>138</v>
      </c>
      <c r="D6" s="284" t="e">
        <f>+#REF!</f>
        <v>#REF!</v>
      </c>
    </row>
    <row r="7" spans="1:7">
      <c r="A7">
        <v>6</v>
      </c>
      <c r="B7" t="s">
        <v>8</v>
      </c>
      <c r="C7" t="s">
        <v>140</v>
      </c>
      <c r="D7" s="284"/>
    </row>
    <row r="8" spans="1:7">
      <c r="A8">
        <v>6.1</v>
      </c>
      <c r="B8" s="285" t="s">
        <v>254</v>
      </c>
      <c r="C8" t="s">
        <v>140</v>
      </c>
      <c r="D8" s="284" t="e">
        <f>+#REF!</f>
        <v>#REF!</v>
      </c>
    </row>
    <row r="9" spans="1:7">
      <c r="A9">
        <v>6.2</v>
      </c>
      <c r="B9" s="285" t="s">
        <v>255</v>
      </c>
      <c r="C9" t="s">
        <v>140</v>
      </c>
      <c r="D9" s="284" t="e">
        <f>+#REF!+#REF!</f>
        <v>#REF!</v>
      </c>
    </row>
    <row r="10" spans="1:7">
      <c r="A10">
        <v>6.3</v>
      </c>
      <c r="B10" s="285" t="s">
        <v>256</v>
      </c>
      <c r="C10" t="s">
        <v>140</v>
      </c>
      <c r="D10" s="284" t="e">
        <f>+#REF!+#REF!</f>
        <v>#REF!</v>
      </c>
    </row>
    <row r="11" spans="1:7">
      <c r="A11">
        <v>6.4</v>
      </c>
      <c r="B11" s="285" t="s">
        <v>258</v>
      </c>
      <c r="C11" t="s">
        <v>140</v>
      </c>
      <c r="D11" s="284" t="e">
        <f>+#REF!+#REF!</f>
        <v>#REF!</v>
      </c>
    </row>
    <row r="12" spans="1:7">
      <c r="A12">
        <v>6.5</v>
      </c>
      <c r="B12" s="285" t="s">
        <v>257</v>
      </c>
      <c r="C12" t="s">
        <v>140</v>
      </c>
      <c r="D12" s="284" t="e">
        <f>+#REF!</f>
        <v>#REF!</v>
      </c>
    </row>
    <row r="13" spans="1:7">
      <c r="A13">
        <v>6.6</v>
      </c>
      <c r="B13" s="285" t="s">
        <v>271</v>
      </c>
      <c r="C13" t="s">
        <v>140</v>
      </c>
      <c r="D13" s="284" t="e">
        <f>+#REF!</f>
        <v>#REF!</v>
      </c>
    </row>
    <row r="14" spans="1:7">
      <c r="A14">
        <v>7</v>
      </c>
      <c r="B14" t="s">
        <v>9</v>
      </c>
      <c r="C14" t="s">
        <v>171</v>
      </c>
      <c r="D14" s="284" t="e">
        <f>+#REF!</f>
        <v>#REF!</v>
      </c>
    </row>
    <row r="15" spans="1:7">
      <c r="A15">
        <v>8</v>
      </c>
      <c r="B15" t="s">
        <v>272</v>
      </c>
      <c r="C15" t="s">
        <v>138</v>
      </c>
      <c r="D15" s="284" t="e">
        <f>(#REF!+#REF!)*15</f>
        <v>#REF!</v>
      </c>
    </row>
    <row r="16" spans="1:7">
      <c r="A16">
        <v>9</v>
      </c>
      <c r="B16" t="s">
        <v>266</v>
      </c>
      <c r="C16" t="s">
        <v>140</v>
      </c>
      <c r="D16" t="e">
        <f>+#REF!*15</f>
        <v>#REF!</v>
      </c>
    </row>
    <row r="17" spans="1:4">
      <c r="A17">
        <v>10</v>
      </c>
      <c r="B17" t="s">
        <v>267</v>
      </c>
      <c r="C17" t="s">
        <v>138</v>
      </c>
      <c r="D17" t="e">
        <f>+#REF!*15</f>
        <v>#REF!</v>
      </c>
    </row>
    <row r="18" spans="1:4">
      <c r="A18">
        <v>11</v>
      </c>
      <c r="B18" t="s">
        <v>269</v>
      </c>
      <c r="C18" t="s">
        <v>140</v>
      </c>
      <c r="D18" t="e">
        <f>+#REF!*15</f>
        <v>#REF!</v>
      </c>
    </row>
    <row r="19" spans="1:4">
      <c r="A19">
        <v>12</v>
      </c>
      <c r="B19" t="s">
        <v>270</v>
      </c>
      <c r="C19" t="s">
        <v>140</v>
      </c>
      <c r="D19" t="e">
        <f>+#REF!*15</f>
        <v>#REF!</v>
      </c>
    </row>
    <row r="20" spans="1:4">
      <c r="A20">
        <v>13</v>
      </c>
      <c r="B20" t="s">
        <v>268</v>
      </c>
      <c r="C20" t="s">
        <v>140</v>
      </c>
      <c r="D20" s="284" t="e">
        <f>+#REF!+#REF!</f>
        <v>#REF!</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K91"/>
  <sheetViews>
    <sheetView topLeftCell="A52" workbookViewId="0">
      <selection activeCell="I15" sqref="I15"/>
    </sheetView>
  </sheetViews>
  <sheetFormatPr defaultColWidth="10" defaultRowHeight="15"/>
  <cols>
    <col min="4" max="4" width="10" bestFit="1" customWidth="1"/>
    <col min="6" max="6" width="19.5703125" style="286" customWidth="1"/>
    <col min="7" max="8" width="7.85546875" customWidth="1"/>
  </cols>
  <sheetData>
    <row r="4" spans="2:8">
      <c r="G4" s="286"/>
      <c r="H4" s="286"/>
    </row>
    <row r="7" spans="2:8">
      <c r="B7">
        <v>259280</v>
      </c>
      <c r="D7">
        <f>1598*15</f>
        <v>23970</v>
      </c>
      <c r="E7">
        <f>1500*15</f>
        <v>22500</v>
      </c>
    </row>
    <row r="8" spans="2:8">
      <c r="B8">
        <f>+B7/10.764</f>
        <v>24087.699739873653</v>
      </c>
      <c r="D8">
        <f>+D7*10.764</f>
        <v>258013.08</v>
      </c>
      <c r="E8">
        <f>+E7*10.764</f>
        <v>242189.99999999997</v>
      </c>
    </row>
    <row r="9" spans="2:8">
      <c r="B9">
        <f>+B8/15</f>
        <v>1605.8466493249102</v>
      </c>
      <c r="D9">
        <f>1600*15*10.764</f>
        <v>258335.99999999997</v>
      </c>
    </row>
    <row r="11" spans="2:8">
      <c r="B11">
        <f>1605*10.764*15</f>
        <v>259143.29999999996</v>
      </c>
    </row>
    <row r="12" spans="2:8">
      <c r="B12">
        <f>0.847*15*10.764</f>
        <v>136.75662</v>
      </c>
      <c r="C12">
        <f>+B12/15</f>
        <v>9.117108</v>
      </c>
    </row>
    <row r="13" spans="2:8">
      <c r="B13">
        <f>+B12*900</f>
        <v>123080.958</v>
      </c>
      <c r="C13">
        <f>+C12*900</f>
        <v>8205.3971999999994</v>
      </c>
      <c r="D13">
        <f>+B11*900</f>
        <v>233228969.99999997</v>
      </c>
    </row>
    <row r="14" spans="2:8">
      <c r="D14">
        <f>+D13/10000000</f>
        <v>23.322896999999998</v>
      </c>
    </row>
    <row r="18" spans="6:11">
      <c r="F18" s="286" t="s">
        <v>104</v>
      </c>
    </row>
    <row r="19" spans="6:11">
      <c r="F19" s="287" t="s">
        <v>105</v>
      </c>
    </row>
    <row r="20" spans="6:11">
      <c r="F20" s="286" t="s">
        <v>106</v>
      </c>
      <c r="G20">
        <v>6</v>
      </c>
      <c r="H20">
        <v>1</v>
      </c>
      <c r="I20">
        <v>3.165</v>
      </c>
      <c r="J20">
        <f t="shared" ref="J20:J25" si="0">3-0.5</f>
        <v>2.5</v>
      </c>
      <c r="K20">
        <f>+PRODUCT(G20:J20)</f>
        <v>47.475000000000009</v>
      </c>
    </row>
    <row r="21" spans="6:11">
      <c r="G21">
        <v>6</v>
      </c>
      <c r="H21">
        <v>-1</v>
      </c>
      <c r="I21">
        <v>2.0649999999999999</v>
      </c>
      <c r="J21">
        <f t="shared" si="0"/>
        <v>2.5</v>
      </c>
      <c r="K21">
        <f t="shared" ref="K21:K84" si="1">+PRODUCT(G21:J21)</f>
        <v>-30.975000000000001</v>
      </c>
    </row>
    <row r="22" spans="6:11">
      <c r="G22">
        <v>6</v>
      </c>
      <c r="H22">
        <v>1</v>
      </c>
      <c r="I22">
        <v>0.98499999999999999</v>
      </c>
      <c r="J22">
        <f t="shared" si="0"/>
        <v>2.5</v>
      </c>
      <c r="K22">
        <f t="shared" si="1"/>
        <v>14.775</v>
      </c>
    </row>
    <row r="23" spans="6:11">
      <c r="F23" s="286" t="s">
        <v>107</v>
      </c>
      <c r="G23">
        <v>6</v>
      </c>
      <c r="H23">
        <v>1</v>
      </c>
      <c r="I23">
        <v>2.165</v>
      </c>
      <c r="J23">
        <f t="shared" si="0"/>
        <v>2.5</v>
      </c>
      <c r="K23">
        <f t="shared" si="1"/>
        <v>32.475000000000001</v>
      </c>
    </row>
    <row r="24" spans="6:11">
      <c r="G24">
        <v>6</v>
      </c>
      <c r="H24">
        <v>-1</v>
      </c>
      <c r="I24">
        <v>2.0649999999999999</v>
      </c>
      <c r="J24">
        <f t="shared" si="0"/>
        <v>2.5</v>
      </c>
      <c r="K24">
        <f t="shared" si="1"/>
        <v>-30.975000000000001</v>
      </c>
    </row>
    <row r="25" spans="6:11">
      <c r="F25" s="286" t="s">
        <v>108</v>
      </c>
      <c r="G25">
        <v>6</v>
      </c>
      <c r="H25">
        <v>1</v>
      </c>
      <c r="I25">
        <v>3.55</v>
      </c>
      <c r="J25">
        <f t="shared" si="0"/>
        <v>2.5</v>
      </c>
      <c r="K25">
        <f t="shared" si="1"/>
        <v>53.249999999999993</v>
      </c>
    </row>
    <row r="26" spans="6:11">
      <c r="G26">
        <v>6</v>
      </c>
      <c r="H26">
        <v>1</v>
      </c>
      <c r="I26">
        <v>1.92</v>
      </c>
      <c r="J26">
        <f t="shared" ref="J26:J28" si="2">3-0.5</f>
        <v>2.5</v>
      </c>
      <c r="K26">
        <f t="shared" si="1"/>
        <v>28.799999999999997</v>
      </c>
    </row>
    <row r="27" spans="6:11">
      <c r="G27">
        <v>6</v>
      </c>
      <c r="H27">
        <v>-1</v>
      </c>
      <c r="I27">
        <v>1.5</v>
      </c>
      <c r="J27">
        <v>1.5</v>
      </c>
      <c r="K27">
        <f t="shared" si="1"/>
        <v>-13.5</v>
      </c>
    </row>
    <row r="28" spans="6:11">
      <c r="F28" s="286" t="s">
        <v>109</v>
      </c>
      <c r="G28">
        <v>6</v>
      </c>
      <c r="H28">
        <v>1</v>
      </c>
      <c r="I28">
        <v>2.58</v>
      </c>
      <c r="J28">
        <f t="shared" si="2"/>
        <v>2.5</v>
      </c>
      <c r="K28">
        <f t="shared" si="1"/>
        <v>38.700000000000003</v>
      </c>
    </row>
    <row r="29" spans="6:11">
      <c r="G29">
        <v>6</v>
      </c>
      <c r="H29">
        <v>-2</v>
      </c>
      <c r="I29">
        <v>0.55000000000000004</v>
      </c>
      <c r="J29">
        <v>1</v>
      </c>
      <c r="K29">
        <f t="shared" si="1"/>
        <v>-6.6000000000000005</v>
      </c>
    </row>
    <row r="30" spans="6:11">
      <c r="G30">
        <v>6</v>
      </c>
      <c r="H30">
        <v>1</v>
      </c>
      <c r="I30">
        <v>2.2999999999999998</v>
      </c>
      <c r="J30">
        <f>3-0.35</f>
        <v>2.65</v>
      </c>
      <c r="K30">
        <f t="shared" si="1"/>
        <v>36.569999999999993</v>
      </c>
    </row>
    <row r="31" spans="6:11">
      <c r="F31" s="286" t="s">
        <v>110</v>
      </c>
      <c r="G31">
        <v>6</v>
      </c>
      <c r="H31">
        <v>1</v>
      </c>
      <c r="I31">
        <v>3.19</v>
      </c>
      <c r="J31">
        <f t="shared" ref="J31:J32" si="3">3-0.5</f>
        <v>2.5</v>
      </c>
      <c r="K31">
        <f t="shared" si="1"/>
        <v>47.85</v>
      </c>
    </row>
    <row r="32" spans="6:11">
      <c r="G32">
        <v>6</v>
      </c>
      <c r="H32">
        <v>-1</v>
      </c>
      <c r="I32">
        <v>2.4500000000000002</v>
      </c>
      <c r="J32">
        <f t="shared" si="3"/>
        <v>2.5</v>
      </c>
      <c r="K32">
        <f t="shared" si="1"/>
        <v>-36.75</v>
      </c>
    </row>
    <row r="33" spans="6:11">
      <c r="F33" s="286" t="s">
        <v>111</v>
      </c>
      <c r="G33">
        <v>6</v>
      </c>
      <c r="H33">
        <v>1</v>
      </c>
      <c r="I33">
        <v>0.41499999999999998</v>
      </c>
      <c r="J33">
        <f>3-0.35</f>
        <v>2.65</v>
      </c>
      <c r="K33">
        <f t="shared" si="1"/>
        <v>6.5984999999999996</v>
      </c>
    </row>
    <row r="34" spans="6:11">
      <c r="F34" s="286" t="s">
        <v>112</v>
      </c>
      <c r="G34">
        <v>6</v>
      </c>
      <c r="H34">
        <v>1</v>
      </c>
      <c r="I34">
        <v>1.5149999999999999</v>
      </c>
      <c r="J34">
        <f>3-0.125</f>
        <v>2.875</v>
      </c>
      <c r="K34">
        <f t="shared" si="1"/>
        <v>26.133749999999999</v>
      </c>
    </row>
    <row r="35" spans="6:11">
      <c r="G35">
        <v>6</v>
      </c>
      <c r="H35">
        <v>-1</v>
      </c>
      <c r="I35">
        <v>1.2</v>
      </c>
      <c r="J35">
        <v>2.4</v>
      </c>
      <c r="K35">
        <f t="shared" si="1"/>
        <v>-17.279999999999998</v>
      </c>
    </row>
    <row r="36" spans="6:11">
      <c r="F36" s="286" t="s">
        <v>109</v>
      </c>
      <c r="G36">
        <v>6</v>
      </c>
      <c r="H36">
        <v>1</v>
      </c>
      <c r="I36">
        <v>0.51500000000000001</v>
      </c>
      <c r="J36">
        <f>3-0.5</f>
        <v>2.5</v>
      </c>
      <c r="K36">
        <f t="shared" si="1"/>
        <v>7.7249999999999996</v>
      </c>
    </row>
    <row r="37" spans="6:11">
      <c r="F37" s="286" t="s">
        <v>109</v>
      </c>
      <c r="G37">
        <v>6</v>
      </c>
      <c r="H37">
        <v>1</v>
      </c>
      <c r="I37">
        <v>1.81</v>
      </c>
      <c r="J37">
        <f>3-0.5</f>
        <v>2.5</v>
      </c>
      <c r="K37">
        <f t="shared" si="1"/>
        <v>27.15</v>
      </c>
    </row>
    <row r="38" spans="6:11" ht="30">
      <c r="F38" s="286" t="s">
        <v>113</v>
      </c>
      <c r="G38">
        <v>2</v>
      </c>
      <c r="H38">
        <v>1</v>
      </c>
      <c r="I38">
        <v>4.7350000000000003</v>
      </c>
      <c r="J38">
        <f>3-0.35</f>
        <v>2.65</v>
      </c>
      <c r="K38">
        <f t="shared" si="1"/>
        <v>25.095500000000001</v>
      </c>
    </row>
    <row r="39" spans="6:11" ht="45" customHeight="1">
      <c r="F39" s="337" t="s">
        <v>114</v>
      </c>
      <c r="G39">
        <v>2</v>
      </c>
      <c r="H39">
        <v>1</v>
      </c>
      <c r="I39">
        <v>1.5</v>
      </c>
      <c r="J39">
        <f>3-0.45</f>
        <v>2.5499999999999998</v>
      </c>
      <c r="K39">
        <f t="shared" si="1"/>
        <v>7.6499999999999995</v>
      </c>
    </row>
    <row r="40" spans="6:11">
      <c r="F40" s="337"/>
      <c r="G40">
        <v>2</v>
      </c>
      <c r="H40">
        <v>1</v>
      </c>
      <c r="I40">
        <v>5.2450000000000001</v>
      </c>
      <c r="J40">
        <f>3-0.45</f>
        <v>2.5499999999999998</v>
      </c>
      <c r="K40">
        <f t="shared" si="1"/>
        <v>26.749499999999998</v>
      </c>
    </row>
    <row r="41" spans="6:11">
      <c r="F41" s="337"/>
      <c r="G41">
        <v>2</v>
      </c>
      <c r="H41">
        <v>1</v>
      </c>
      <c r="I41">
        <v>1.075</v>
      </c>
      <c r="J41">
        <f>3-0.125</f>
        <v>2.875</v>
      </c>
      <c r="K41">
        <f t="shared" si="1"/>
        <v>6.1812499999999995</v>
      </c>
    </row>
    <row r="42" spans="6:11" ht="45">
      <c r="F42" s="286" t="s">
        <v>115</v>
      </c>
      <c r="G42">
        <v>2</v>
      </c>
      <c r="H42">
        <v>1</v>
      </c>
      <c r="I42">
        <v>2.57</v>
      </c>
      <c r="J42">
        <f t="shared" ref="J42" si="4">3-0.5</f>
        <v>2.5</v>
      </c>
      <c r="K42">
        <f t="shared" si="1"/>
        <v>12.85</v>
      </c>
    </row>
    <row r="43" spans="6:11">
      <c r="F43" s="287" t="s">
        <v>116</v>
      </c>
    </row>
    <row r="44" spans="6:11">
      <c r="F44" s="286" t="s">
        <v>106</v>
      </c>
      <c r="G44">
        <v>2</v>
      </c>
      <c r="H44">
        <v>1</v>
      </c>
      <c r="I44">
        <v>3.0249999999999999</v>
      </c>
      <c r="J44">
        <f>3-0.5</f>
        <v>2.5</v>
      </c>
      <c r="K44">
        <f t="shared" si="1"/>
        <v>15.125</v>
      </c>
    </row>
    <row r="45" spans="6:11">
      <c r="G45">
        <v>2</v>
      </c>
      <c r="H45">
        <v>-1</v>
      </c>
      <c r="I45">
        <v>2.0649999999999999</v>
      </c>
      <c r="J45">
        <f>3-0.5</f>
        <v>2.5</v>
      </c>
      <c r="K45">
        <f t="shared" si="1"/>
        <v>-10.324999999999999</v>
      </c>
    </row>
    <row r="46" spans="6:11">
      <c r="G46">
        <v>2</v>
      </c>
      <c r="H46">
        <v>1</v>
      </c>
      <c r="I46">
        <v>3.8</v>
      </c>
      <c r="J46">
        <f>3-0.5</f>
        <v>2.5</v>
      </c>
      <c r="K46">
        <f t="shared" si="1"/>
        <v>19</v>
      </c>
    </row>
    <row r="47" spans="6:11">
      <c r="G47">
        <v>2</v>
      </c>
      <c r="H47">
        <v>-1</v>
      </c>
      <c r="I47">
        <v>0.55000000000000004</v>
      </c>
      <c r="J47">
        <v>1</v>
      </c>
      <c r="K47">
        <f t="shared" si="1"/>
        <v>-1.1000000000000001</v>
      </c>
    </row>
    <row r="48" spans="6:11">
      <c r="F48" s="286" t="s">
        <v>107</v>
      </c>
      <c r="G48">
        <v>2</v>
      </c>
      <c r="H48">
        <v>1</v>
      </c>
      <c r="I48">
        <v>2.8</v>
      </c>
      <c r="J48">
        <f t="shared" ref="J48:J51" si="5">3-0.5</f>
        <v>2.5</v>
      </c>
      <c r="K48">
        <f t="shared" si="1"/>
        <v>14</v>
      </c>
    </row>
    <row r="49" spans="6:11">
      <c r="G49">
        <v>2</v>
      </c>
      <c r="H49">
        <v>-1</v>
      </c>
      <c r="I49">
        <v>2.0649999999999999</v>
      </c>
      <c r="J49">
        <f t="shared" si="5"/>
        <v>2.5</v>
      </c>
      <c r="K49">
        <f t="shared" si="1"/>
        <v>-10.324999999999999</v>
      </c>
    </row>
    <row r="50" spans="6:11">
      <c r="F50" s="286" t="s">
        <v>117</v>
      </c>
      <c r="G50">
        <v>2</v>
      </c>
      <c r="H50">
        <v>1</v>
      </c>
      <c r="I50">
        <v>3.3</v>
      </c>
      <c r="J50">
        <f t="shared" si="5"/>
        <v>2.5</v>
      </c>
      <c r="K50">
        <f t="shared" si="1"/>
        <v>16.5</v>
      </c>
    </row>
    <row r="51" spans="6:11">
      <c r="G51">
        <v>2</v>
      </c>
      <c r="H51">
        <v>-1</v>
      </c>
      <c r="I51">
        <v>2.4500000000000002</v>
      </c>
      <c r="J51">
        <f t="shared" si="5"/>
        <v>2.5</v>
      </c>
      <c r="K51">
        <f t="shared" si="1"/>
        <v>-12.25</v>
      </c>
    </row>
    <row r="52" spans="6:11">
      <c r="G52">
        <v>2</v>
      </c>
      <c r="H52">
        <v>1</v>
      </c>
      <c r="I52">
        <v>1.99</v>
      </c>
      <c r="J52">
        <f>3-0.45</f>
        <v>2.5499999999999998</v>
      </c>
      <c r="K52">
        <f t="shared" si="1"/>
        <v>10.148999999999999</v>
      </c>
    </row>
    <row r="53" spans="6:11">
      <c r="G53">
        <v>2</v>
      </c>
      <c r="H53">
        <v>1</v>
      </c>
      <c r="I53">
        <v>3.43</v>
      </c>
      <c r="J53">
        <f>3-0.45</f>
        <v>2.5499999999999998</v>
      </c>
      <c r="K53">
        <f t="shared" si="1"/>
        <v>17.492999999999999</v>
      </c>
    </row>
    <row r="54" spans="6:11">
      <c r="F54" s="286" t="s">
        <v>112</v>
      </c>
      <c r="G54">
        <v>2</v>
      </c>
      <c r="H54">
        <v>1</v>
      </c>
      <c r="I54">
        <v>1.5</v>
      </c>
      <c r="J54">
        <f>3-0.45</f>
        <v>2.5499999999999998</v>
      </c>
      <c r="K54">
        <f t="shared" si="1"/>
        <v>7.6499999999999995</v>
      </c>
    </row>
    <row r="55" spans="6:11">
      <c r="G55">
        <v>2</v>
      </c>
      <c r="H55">
        <v>-1</v>
      </c>
      <c r="I55">
        <v>1.2</v>
      </c>
      <c r="J55">
        <v>2.4</v>
      </c>
      <c r="K55">
        <f t="shared" si="1"/>
        <v>-5.76</v>
      </c>
    </row>
    <row r="56" spans="6:11">
      <c r="F56" s="286" t="s">
        <v>108</v>
      </c>
      <c r="G56">
        <v>2</v>
      </c>
      <c r="H56">
        <v>1</v>
      </c>
      <c r="I56">
        <v>3.1150000000000002</v>
      </c>
      <c r="J56">
        <f>3-0.5</f>
        <v>2.5</v>
      </c>
      <c r="K56">
        <f t="shared" si="1"/>
        <v>15.575000000000001</v>
      </c>
    </row>
    <row r="57" spans="6:11">
      <c r="G57">
        <v>2</v>
      </c>
      <c r="H57">
        <v>1</v>
      </c>
      <c r="I57">
        <v>1.7849999999999999</v>
      </c>
      <c r="J57">
        <f>3-0.5</f>
        <v>2.5</v>
      </c>
      <c r="K57">
        <f t="shared" si="1"/>
        <v>8.9249999999999989</v>
      </c>
    </row>
    <row r="58" spans="6:11">
      <c r="G58">
        <v>2</v>
      </c>
      <c r="H58">
        <v>-1</v>
      </c>
      <c r="I58">
        <v>1.5</v>
      </c>
      <c r="J58">
        <v>1.5</v>
      </c>
      <c r="K58">
        <f t="shared" si="1"/>
        <v>-4.5</v>
      </c>
    </row>
    <row r="59" spans="6:11">
      <c r="F59" s="286" t="s">
        <v>109</v>
      </c>
      <c r="G59">
        <v>2</v>
      </c>
      <c r="H59">
        <v>1</v>
      </c>
      <c r="I59">
        <v>1.915</v>
      </c>
      <c r="J59">
        <f>3-0.45</f>
        <v>2.5499999999999998</v>
      </c>
      <c r="K59">
        <f t="shared" si="1"/>
        <v>9.7664999999999988</v>
      </c>
    </row>
    <row r="60" spans="6:11">
      <c r="G60">
        <v>2</v>
      </c>
      <c r="H60">
        <v>1</v>
      </c>
      <c r="I60">
        <v>2.04</v>
      </c>
      <c r="J60">
        <f>3-0.35</f>
        <v>2.65</v>
      </c>
      <c r="K60">
        <f t="shared" si="1"/>
        <v>10.811999999999999</v>
      </c>
    </row>
    <row r="61" spans="6:11">
      <c r="F61" s="287" t="s">
        <v>118</v>
      </c>
    </row>
    <row r="62" spans="6:11">
      <c r="F62" s="286" t="s">
        <v>117</v>
      </c>
      <c r="G62">
        <v>4</v>
      </c>
      <c r="H62">
        <v>1</v>
      </c>
      <c r="I62">
        <v>2.93</v>
      </c>
      <c r="J62">
        <f t="shared" ref="J62:J68" si="6">3-0.5</f>
        <v>2.5</v>
      </c>
      <c r="K62">
        <f t="shared" si="1"/>
        <v>29.3</v>
      </c>
    </row>
    <row r="63" spans="6:11">
      <c r="G63">
        <v>4</v>
      </c>
      <c r="H63">
        <v>-1</v>
      </c>
      <c r="I63">
        <v>2.0499999999999998</v>
      </c>
      <c r="J63">
        <f t="shared" si="6"/>
        <v>2.5</v>
      </c>
      <c r="K63">
        <f t="shared" si="1"/>
        <v>-20.5</v>
      </c>
    </row>
    <row r="64" spans="6:11">
      <c r="G64">
        <v>4</v>
      </c>
      <c r="H64">
        <v>1</v>
      </c>
      <c r="I64">
        <v>0.41499999999999998</v>
      </c>
      <c r="J64">
        <f t="shared" si="6"/>
        <v>2.5</v>
      </c>
      <c r="K64">
        <f t="shared" si="1"/>
        <v>4.1499999999999995</v>
      </c>
    </row>
    <row r="65" spans="6:11" ht="30">
      <c r="F65" s="286" t="s">
        <v>119</v>
      </c>
      <c r="G65">
        <v>4</v>
      </c>
      <c r="H65">
        <v>1</v>
      </c>
      <c r="I65">
        <v>4.6900000000000004</v>
      </c>
      <c r="J65">
        <f t="shared" si="6"/>
        <v>2.5</v>
      </c>
      <c r="K65">
        <f t="shared" si="1"/>
        <v>46.900000000000006</v>
      </c>
    </row>
    <row r="66" spans="6:11">
      <c r="F66" s="286" t="s">
        <v>108</v>
      </c>
      <c r="G66">
        <v>4</v>
      </c>
      <c r="H66">
        <v>1</v>
      </c>
      <c r="I66">
        <v>3.05</v>
      </c>
      <c r="J66">
        <f t="shared" si="6"/>
        <v>2.5</v>
      </c>
      <c r="K66">
        <f t="shared" si="1"/>
        <v>30.5</v>
      </c>
    </row>
    <row r="67" spans="6:11">
      <c r="G67">
        <v>4</v>
      </c>
      <c r="H67">
        <v>-1</v>
      </c>
      <c r="I67">
        <v>2.4500000000000002</v>
      </c>
      <c r="J67">
        <f t="shared" si="6"/>
        <v>2.5</v>
      </c>
      <c r="K67">
        <f t="shared" si="1"/>
        <v>-24.5</v>
      </c>
    </row>
    <row r="68" spans="6:11">
      <c r="F68" s="286" t="s">
        <v>109</v>
      </c>
      <c r="G68">
        <v>4</v>
      </c>
      <c r="H68">
        <v>1</v>
      </c>
      <c r="I68">
        <v>1.6</v>
      </c>
      <c r="J68">
        <f t="shared" si="6"/>
        <v>2.5</v>
      </c>
      <c r="K68">
        <f t="shared" si="1"/>
        <v>16</v>
      </c>
    </row>
    <row r="69" spans="6:11">
      <c r="G69">
        <v>4</v>
      </c>
      <c r="H69">
        <v>-1</v>
      </c>
      <c r="I69">
        <v>0.55000000000000004</v>
      </c>
      <c r="J69">
        <v>1</v>
      </c>
      <c r="K69">
        <f t="shared" si="1"/>
        <v>-2.2000000000000002</v>
      </c>
    </row>
    <row r="70" spans="6:11">
      <c r="F70" s="286" t="s">
        <v>120</v>
      </c>
      <c r="G70">
        <v>4</v>
      </c>
      <c r="H70">
        <v>1</v>
      </c>
      <c r="I70">
        <v>3.35</v>
      </c>
      <c r="J70">
        <v>2.5</v>
      </c>
      <c r="K70">
        <f t="shared" si="1"/>
        <v>33.5</v>
      </c>
    </row>
    <row r="71" spans="6:11">
      <c r="G71">
        <v>4</v>
      </c>
      <c r="H71">
        <v>1</v>
      </c>
      <c r="I71">
        <v>0.6</v>
      </c>
      <c r="J71">
        <v>2.5</v>
      </c>
      <c r="K71">
        <f t="shared" si="1"/>
        <v>6</v>
      </c>
    </row>
    <row r="72" spans="6:11">
      <c r="G72">
        <v>4</v>
      </c>
      <c r="H72">
        <v>1</v>
      </c>
      <c r="I72">
        <v>1.385</v>
      </c>
      <c r="J72">
        <v>2.5</v>
      </c>
      <c r="K72">
        <f t="shared" si="1"/>
        <v>13.85</v>
      </c>
    </row>
    <row r="73" spans="6:11">
      <c r="G73">
        <v>4</v>
      </c>
      <c r="H73">
        <v>-1</v>
      </c>
      <c r="I73">
        <v>0.55000000000000004</v>
      </c>
      <c r="J73">
        <v>1</v>
      </c>
      <c r="K73">
        <f t="shared" si="1"/>
        <v>-2.2000000000000002</v>
      </c>
    </row>
    <row r="74" spans="6:11">
      <c r="F74" s="286" t="s">
        <v>112</v>
      </c>
      <c r="G74">
        <v>4</v>
      </c>
      <c r="H74">
        <v>1</v>
      </c>
      <c r="I74">
        <v>1.57</v>
      </c>
      <c r="J74">
        <f>3-0.45</f>
        <v>2.5499999999999998</v>
      </c>
      <c r="K74">
        <f t="shared" si="1"/>
        <v>16.013999999999999</v>
      </c>
    </row>
    <row r="75" spans="6:11">
      <c r="G75">
        <v>4</v>
      </c>
      <c r="H75">
        <v>-1</v>
      </c>
      <c r="I75">
        <v>1.2</v>
      </c>
      <c r="J75">
        <v>2.4</v>
      </c>
      <c r="K75">
        <f t="shared" si="1"/>
        <v>-11.52</v>
      </c>
    </row>
    <row r="76" spans="6:11" ht="30">
      <c r="F76" s="288" t="s">
        <v>122</v>
      </c>
      <c r="G76">
        <v>2</v>
      </c>
      <c r="H76">
        <v>1</v>
      </c>
      <c r="I76">
        <v>5.28</v>
      </c>
      <c r="J76">
        <v>2.5</v>
      </c>
      <c r="K76">
        <f t="shared" si="1"/>
        <v>26.400000000000002</v>
      </c>
    </row>
    <row r="77" spans="6:11" ht="30">
      <c r="F77" s="288" t="s">
        <v>121</v>
      </c>
      <c r="G77">
        <v>2</v>
      </c>
      <c r="H77">
        <v>1</v>
      </c>
      <c r="I77">
        <v>2.41</v>
      </c>
      <c r="J77">
        <v>2.5</v>
      </c>
      <c r="K77">
        <f t="shared" si="1"/>
        <v>12.05</v>
      </c>
    </row>
    <row r="78" spans="6:11" ht="30">
      <c r="F78" s="288" t="s">
        <v>121</v>
      </c>
      <c r="G78">
        <v>2</v>
      </c>
      <c r="H78">
        <v>1</v>
      </c>
      <c r="I78">
        <v>6.79</v>
      </c>
      <c r="J78">
        <v>2.5</v>
      </c>
      <c r="K78">
        <f t="shared" si="1"/>
        <v>33.950000000000003</v>
      </c>
    </row>
    <row r="79" spans="6:11">
      <c r="F79" s="287" t="s">
        <v>123</v>
      </c>
    </row>
    <row r="80" spans="6:11">
      <c r="F80" s="286" t="s">
        <v>106</v>
      </c>
      <c r="G80">
        <v>2</v>
      </c>
      <c r="H80">
        <v>1</v>
      </c>
      <c r="I80">
        <v>3.43</v>
      </c>
      <c r="J80">
        <v>2.5</v>
      </c>
      <c r="K80">
        <f t="shared" si="1"/>
        <v>17.150000000000002</v>
      </c>
    </row>
    <row r="81" spans="6:11">
      <c r="F81" s="287" t="s">
        <v>124</v>
      </c>
      <c r="G81">
        <v>2</v>
      </c>
      <c r="H81">
        <v>1</v>
      </c>
      <c r="I81">
        <v>2.5499999999999998</v>
      </c>
      <c r="J81">
        <v>2.5</v>
      </c>
      <c r="K81">
        <f t="shared" si="1"/>
        <v>12.75</v>
      </c>
    </row>
    <row r="82" spans="6:11">
      <c r="G82">
        <v>2</v>
      </c>
      <c r="H82">
        <v>1</v>
      </c>
      <c r="I82">
        <v>3.53</v>
      </c>
      <c r="J82">
        <v>2.5</v>
      </c>
      <c r="K82">
        <f t="shared" si="1"/>
        <v>17.649999999999999</v>
      </c>
    </row>
    <row r="83" spans="6:11">
      <c r="G83">
        <v>2</v>
      </c>
      <c r="H83">
        <v>-1</v>
      </c>
      <c r="I83">
        <v>1.55</v>
      </c>
      <c r="J83">
        <v>1</v>
      </c>
      <c r="K83">
        <f t="shared" si="1"/>
        <v>-3.1</v>
      </c>
    </row>
    <row r="84" spans="6:11">
      <c r="F84" s="287" t="s">
        <v>125</v>
      </c>
      <c r="G84">
        <v>2</v>
      </c>
      <c r="H84">
        <v>1</v>
      </c>
      <c r="I84">
        <v>3.2</v>
      </c>
      <c r="J84">
        <v>2.5</v>
      </c>
      <c r="K84">
        <f t="shared" si="1"/>
        <v>16</v>
      </c>
    </row>
    <row r="85" spans="6:11">
      <c r="G85">
        <v>2</v>
      </c>
      <c r="H85">
        <v>1</v>
      </c>
      <c r="I85">
        <v>2.76</v>
      </c>
      <c r="J85">
        <v>2.5</v>
      </c>
      <c r="K85">
        <f t="shared" ref="K85:K89" si="7">+PRODUCT(G85:J85)</f>
        <v>13.799999999999999</v>
      </c>
    </row>
    <row r="86" spans="6:11">
      <c r="G86">
        <v>2</v>
      </c>
      <c r="H86">
        <v>1</v>
      </c>
      <c r="I86">
        <v>3.2</v>
      </c>
      <c r="J86">
        <v>2.5</v>
      </c>
      <c r="K86">
        <f t="shared" si="7"/>
        <v>16</v>
      </c>
    </row>
    <row r="87" spans="6:11">
      <c r="G87">
        <v>2</v>
      </c>
      <c r="H87">
        <v>-1</v>
      </c>
      <c r="I87">
        <v>1.8</v>
      </c>
      <c r="J87">
        <v>1</v>
      </c>
      <c r="K87">
        <f t="shared" si="7"/>
        <v>-3.6</v>
      </c>
    </row>
    <row r="88" spans="6:11">
      <c r="F88" s="287" t="s">
        <v>22</v>
      </c>
      <c r="G88">
        <v>4</v>
      </c>
      <c r="H88">
        <v>2</v>
      </c>
      <c r="I88">
        <v>1.9</v>
      </c>
      <c r="J88">
        <v>2.5</v>
      </c>
      <c r="K88">
        <f t="shared" si="7"/>
        <v>38</v>
      </c>
    </row>
    <row r="89" spans="6:11">
      <c r="G89">
        <v>4</v>
      </c>
      <c r="H89">
        <v>-1</v>
      </c>
      <c r="I89">
        <v>0.9</v>
      </c>
      <c r="J89">
        <v>2.1</v>
      </c>
      <c r="K89">
        <f t="shared" si="7"/>
        <v>-7.5600000000000005</v>
      </c>
    </row>
    <row r="91" spans="6:11">
      <c r="K91" s="289">
        <f>SUM(K19:K90)</f>
        <v>735.46799999999996</v>
      </c>
    </row>
  </sheetData>
  <mergeCells count="1">
    <mergeCell ref="F39:F4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Budget Tower-E</vt:lpstr>
      <vt:lpstr>Schedule-Tower-E</vt:lpstr>
      <vt:lpstr>BOQ</vt:lpstr>
      <vt:lpstr>Sheet6</vt:lpstr>
      <vt:lpstr>Summary</vt:lpstr>
      <vt:lpstr>Sheet2</vt:lpstr>
      <vt:lpstr>BOQ!Print_Area</vt:lpstr>
      <vt:lpstr>BOQ!Print_Titles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amitgoel</dc:creator>
  <cp:lastModifiedBy>HP</cp:lastModifiedBy>
  <cp:lastPrinted>2025-01-31T11:56:23Z</cp:lastPrinted>
  <dcterms:created xsi:type="dcterms:W3CDTF">2023-05-26T06:26:32Z</dcterms:created>
  <dcterms:modified xsi:type="dcterms:W3CDTF">2025-05-30T09:36:17Z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2f47e635d06d49f5960a32252f707602</vt:lpwstr>
  </property>
</Properties>
</file>